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comments/comment1.xml" ContentType="application/vnd.openxmlformats-officedocument.spreadsheetml.comments+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24" activeTab="30" autoFilterDateGrouping="1"/>
  </bookViews>
  <sheets>
    <sheet xmlns:r="http://schemas.openxmlformats.org/officeDocument/2006/relationships" name="Panel_Control" sheetId="1" state="visible" r:id="rId1"/>
    <sheet xmlns:r="http://schemas.openxmlformats.org/officeDocument/2006/relationships" name="MITRE_Ataques" sheetId="2" state="visible" r:id="rId2"/>
    <sheet xmlns:r="http://schemas.openxmlformats.org/officeDocument/2006/relationships" name="MITRE_Mitigaciones" sheetId="3" state="visible" r:id="rId3"/>
    <sheet xmlns:r="http://schemas.openxmlformats.org/officeDocument/2006/relationships" name="MITRE_Assets_ICS" sheetId="4" state="visible" r:id="rId4"/>
    <sheet xmlns:r="http://schemas.openxmlformats.org/officeDocument/2006/relationships" name="MITRE_Ejemplos_Mapeo" sheetId="5" state="visible" r:id="rId5"/>
    <sheet xmlns:r="http://schemas.openxmlformats.org/officeDocument/2006/relationships" name="MITRE_Reglas_Auto" sheetId="6" state="visible" r:id="rId6"/>
    <sheet xmlns:r="http://schemas.openxmlformats.org/officeDocument/2006/relationships" name="MITRE_Como_Usar_Auto" sheetId="7" state="visible" r:id="rId7"/>
    <sheet xmlns:r="http://schemas.openxmlformats.org/officeDocument/2006/relationships" name="MITRE_Mapeo_Inteligente" sheetId="8" state="visible" r:id="rId8"/>
    <sheet xmlns:r="http://schemas.openxmlformats.org/officeDocument/2006/relationships" name="Control_Documentos" sheetId="9" state="visible" r:id="rId9"/>
    <sheet xmlns:r="http://schemas.openxmlformats.org/officeDocument/2006/relationships" name="Portada" sheetId="10" state="visible" r:id="rId10"/>
    <sheet xmlns:r="http://schemas.openxmlformats.org/officeDocument/2006/relationships" name="Metodologia_Riesgos" sheetId="11" state="visible" r:id="rId11"/>
    <sheet xmlns:r="http://schemas.openxmlformats.org/officeDocument/2006/relationships" name="SoA" sheetId="12" state="visible" r:id="rId12"/>
    <sheet xmlns:r="http://schemas.openxmlformats.org/officeDocument/2006/relationships" name="Plan_Auditoria" sheetId="13" state="visible" r:id="rId13"/>
    <sheet xmlns:r="http://schemas.openxmlformats.org/officeDocument/2006/relationships" name="Revision_Direccion" sheetId="14" state="visible" r:id="rId14"/>
    <sheet xmlns:r="http://schemas.openxmlformats.org/officeDocument/2006/relationships" name="Plan_Proyecto_SGSI" sheetId="15" state="visible" r:id="rId15"/>
    <sheet xmlns:r="http://schemas.openxmlformats.org/officeDocument/2006/relationships" name="Datos_Organizacion" sheetId="16" state="visible" r:id="rId16"/>
    <sheet xmlns:r="http://schemas.openxmlformats.org/officeDocument/2006/relationships" name="Activos" sheetId="17" state="visible" r:id="rId17"/>
    <sheet xmlns:r="http://schemas.openxmlformats.org/officeDocument/2006/relationships" name="Plan_Continuidad" sheetId="18" state="visible" r:id="rId18"/>
    <sheet xmlns:r="http://schemas.openxmlformats.org/officeDocument/2006/relationships" name="BIA" sheetId="19" state="visible" r:id="rId19"/>
    <sheet xmlns:r="http://schemas.openxmlformats.org/officeDocument/2006/relationships" name="Plan_Formacion" sheetId="20" state="visible" r:id="rId20"/>
    <sheet xmlns:r="http://schemas.openxmlformats.org/officeDocument/2006/relationships" name="NDA_Proveedores" sheetId="21" state="visible" r:id="rId21"/>
    <sheet xmlns:r="http://schemas.openxmlformats.org/officeDocument/2006/relationships" name="NDA_Empleados" sheetId="22" state="visible" r:id="rId22"/>
    <sheet xmlns:r="http://schemas.openxmlformats.org/officeDocument/2006/relationships" name="Comite_Seguridad" sheetId="23" state="visible" r:id="rId23"/>
    <sheet xmlns:r="http://schemas.openxmlformats.org/officeDocument/2006/relationships" name="CMDB" sheetId="24" state="visible" r:id="rId24"/>
    <sheet xmlns:r="http://schemas.openxmlformats.org/officeDocument/2006/relationships" name="Procedimiento_Hardening" sheetId="25" state="visible" r:id="rId25"/>
    <sheet xmlns:r="http://schemas.openxmlformats.org/officeDocument/2006/relationships" name="Plan_Director_Ciber" sheetId="26" state="visible" r:id="rId26"/>
    <sheet xmlns:r="http://schemas.openxmlformats.org/officeDocument/2006/relationships" name="DRP_Pruebas" sheetId="27" state="visible" r:id="rId27"/>
    <sheet xmlns:r="http://schemas.openxmlformats.org/officeDocument/2006/relationships" name="DRP_Informes" sheetId="28" state="visible" r:id="rId28"/>
    <sheet xmlns:r="http://schemas.openxmlformats.org/officeDocument/2006/relationships" name="DRP_Mantenimiento" sheetId="29" state="visible" r:id="rId29"/>
    <sheet xmlns:r="http://schemas.openxmlformats.org/officeDocument/2006/relationships" name="Dashboard" sheetId="30" state="visible" r:id="rId30"/>
    <sheet xmlns:r="http://schemas.openxmlformats.org/officeDocument/2006/relationships" name="Matriz_Riesgos" sheetId="31" state="visible" r:id="rId31"/>
    <sheet xmlns:r="http://schemas.openxmlformats.org/officeDocument/2006/relationships" name="Analisis_Riesgos" sheetId="32" state="visible" r:id="rId32"/>
    <sheet xmlns:r="http://schemas.openxmlformats.org/officeDocument/2006/relationships" name="Plan_Tratamiento" sheetId="33" state="visible" r:id="rId33"/>
    <sheet xmlns:r="http://schemas.openxmlformats.org/officeDocument/2006/relationships" name="Config_Categorias" sheetId="34" state="visible" r:id="rId34"/>
    <sheet xmlns:r="http://schemas.openxmlformats.org/officeDocument/2006/relationships" name="Config_Areas" sheetId="35" state="visible" r:id="rId35"/>
    <sheet xmlns:r="http://schemas.openxmlformats.org/officeDocument/2006/relationships" name="Config_Clases" sheetId="36" state="visible" r:id="rId36"/>
    <sheet xmlns:r="http://schemas.openxmlformats.org/officeDocument/2006/relationships" name="Controles_ISO27001" sheetId="37" state="visible" r:id="rId37"/>
    <sheet xmlns:r="http://schemas.openxmlformats.org/officeDocument/2006/relationships" name="Declaracion_Aplicabilidad" sheetId="38" state="visible" r:id="rId38"/>
    <sheet xmlns:r="http://schemas.openxmlformats.org/officeDocument/2006/relationships" name="Inventario_Amenazas" sheetId="39" state="visible" r:id="rId39"/>
    <sheet xmlns:r="http://schemas.openxmlformats.org/officeDocument/2006/relationships" name="Inventario_Vulnerabilidades" sheetId="40" state="visible" r:id="rId40"/>
    <sheet xmlns:r="http://schemas.openxmlformats.org/officeDocument/2006/relationships" name="Gestion_Incidentes" sheetId="41" state="visible" r:id="rId41"/>
    <sheet xmlns:r="http://schemas.openxmlformats.org/officeDocument/2006/relationships" name="Politicas_Seguridad" sheetId="42" state="visible" r:id="rId42"/>
    <sheet xmlns:r="http://schemas.openxmlformats.org/officeDocument/2006/relationships" name="Procedimientos" sheetId="43" state="visible" r:id="rId43"/>
    <sheet xmlns:r="http://schemas.openxmlformats.org/officeDocument/2006/relationships" name="Auditorias" sheetId="44" state="visible" r:id="rId44"/>
    <sheet xmlns:r="http://schemas.openxmlformats.org/officeDocument/2006/relationships" name="Registro_Formacion" sheetId="45" state="visible" r:id="rId45"/>
    <sheet xmlns:r="http://schemas.openxmlformats.org/officeDocument/2006/relationships" name="Clasificacion_Incidentes" sheetId="46" state="visible" r:id="rId46"/>
    <sheet xmlns:r="http://schemas.openxmlformats.org/officeDocument/2006/relationships" name="Registro_Eventos" sheetId="47" state="visible" r:id="rId47"/>
    <sheet xmlns:r="http://schemas.openxmlformats.org/officeDocument/2006/relationships" name="Instrucciones" sheetId="48" state="visible" r:id="rId48"/>
    <sheet xmlns:r="http://schemas.openxmlformats.org/officeDocument/2006/relationships" name="Plan_Contingencia" sheetId="49" state="visible" r:id="rId49"/>
    <sheet xmlns:r="http://schemas.openxmlformats.org/officeDocument/2006/relationships" name="Metricas_KPI" sheetId="50" state="visible" r:id="rId50"/>
    <sheet xmlns:r="http://schemas.openxmlformats.org/officeDocument/2006/relationships" name="Log_Acciones" sheetId="51" state="visible" r:id="rId51"/>
  </sheets>
  <definedNames>
    <definedName name="_xlnm.Print_Titles" localSheetId="0">'Panel_Control'!$1:$1</definedName>
    <definedName name="_xlnm.Print_Titles" localSheetId="15">'Datos_Organizacion'!$1:$1</definedName>
    <definedName name="_xlnm.Print_Titles" localSheetId="16">'Activos'!$1:$1</definedName>
    <definedName name="_xlnm.Print_Titles" localSheetId="29">'Dashboard'!$1:$1</definedName>
    <definedName name="_xlnm.Print_Titles" localSheetId="30">'Matriz_Riesgos'!$1:$1</definedName>
    <definedName name="_xlnm.Print_Titles" localSheetId="31">'Analisis_Riesgos'!$1:$1</definedName>
    <definedName name="_xlnm.Print_Titles" localSheetId="32">'Plan_Tratamiento'!$1:$1</definedName>
  </definedNames>
  <calcPr calcId="191029" fullCalcOnLoad="1"/>
</workbook>
</file>

<file path=xl/styles.xml><?xml version="1.0" encoding="utf-8"?>
<styleSheet xmlns="http://schemas.openxmlformats.org/spreadsheetml/2006/main">
  <numFmts count="0"/>
  <fonts count="97">
    <font>
      <name val="Calibri"/>
      <family val="2"/>
      <color theme="1"/>
      <sz val="11"/>
      <scheme val="minor"/>
    </font>
    <font>
      <name val="Calibri"/>
      <family val="2"/>
      <b val="1"/>
      <color rgb="FF009900"/>
      <sz val="12"/>
    </font>
    <font>
      <name val="Calibri"/>
      <family val="2"/>
      <b val="1"/>
      <color rgb="FFFF6600"/>
      <sz val="14"/>
    </font>
    <font>
      <name val="Calibri"/>
      <family val="2"/>
      <b val="1"/>
      <color rgb="FF009900"/>
      <sz val="14"/>
    </font>
    <font>
      <name val="Calibri"/>
      <family val="2"/>
      <b val="1"/>
      <color rgb="FFFFFFFF"/>
      <sz val="28"/>
    </font>
    <font>
      <name val="Calibri"/>
      <family val="2"/>
      <b val="1"/>
      <color rgb="FF0066CC"/>
      <sz val="20"/>
    </font>
    <font>
      <name val="Calibri"/>
      <family val="2"/>
      <color rgb="FF666666"/>
      <sz val="14"/>
    </font>
    <font>
      <name val="Calibri"/>
      <family val="2"/>
      <b val="1"/>
      <color rgb="FF333333"/>
      <sz val="16"/>
    </font>
    <font>
      <name val="Calibri"/>
      <family val="2"/>
      <color rgb="FF666666"/>
      <sz val="12"/>
    </font>
    <font>
      <name val="Calibri"/>
      <family val="2"/>
      <b val="1"/>
      <color rgb="FF0066CC"/>
      <sz val="14"/>
    </font>
    <font>
      <name val="Calibri"/>
      <family val="2"/>
      <color rgb="FF333333"/>
      <sz val="11"/>
    </font>
    <font>
      <name val="Calibri"/>
      <family val="2"/>
      <i val="1"/>
      <color rgb="FF999999"/>
      <sz val="9"/>
    </font>
    <font>
      <name val="Calibri"/>
      <family val="2"/>
      <b val="1"/>
      <color rgb="FFFFFFFF"/>
      <sz val="16"/>
    </font>
    <font>
      <name val="Calibri"/>
      <family val="2"/>
      <b val="1"/>
      <color rgb="FF70AD47"/>
      <sz val="12"/>
    </font>
    <font>
      <name val="Calibri"/>
      <family val="2"/>
      <b val="1"/>
      <color rgb="FFFFFFFF"/>
      <sz val="11"/>
    </font>
    <font>
      <name val="Calibri"/>
      <family val="2"/>
      <b val="1"/>
      <sz val="11"/>
    </font>
    <font>
      <name val="Calibri"/>
      <family val="2"/>
      <b val="1"/>
      <color rgb="FFFFFFFF"/>
      <sz val="14"/>
    </font>
    <font>
      <name val="Calibri"/>
      <family val="2"/>
      <b val="1"/>
      <color rgb="FFFFFFFF"/>
      <sz val="10"/>
    </font>
    <font>
      <name val="Calibri"/>
      <family val="2"/>
      <b val="1"/>
      <color rgb="FF5B9BD5"/>
      <sz val="12"/>
    </font>
    <font>
      <name val="Calibri"/>
      <family val="2"/>
      <b val="1"/>
      <color rgb="FF666666"/>
      <sz val="10"/>
    </font>
    <font>
      <name val="Calibri"/>
      <family val="2"/>
      <b val="1"/>
      <color rgb="FF4472C4"/>
      <sz val="20"/>
    </font>
    <font>
      <name val="Calibri"/>
      <family val="2"/>
      <b val="1"/>
      <color rgb="FFFF6600"/>
      <sz val="20"/>
    </font>
    <font>
      <name val="Calibri"/>
      <family val="2"/>
      <b val="1"/>
      <color rgb="FFFF0000"/>
      <sz val="20"/>
    </font>
    <font>
      <name val="Calibri"/>
      <family val="2"/>
      <b val="1"/>
      <color rgb="FF70AD47"/>
      <sz val="20"/>
    </font>
    <font>
      <name val="Calibri"/>
      <family val="2"/>
      <b val="1"/>
      <color rgb="FFFFFFFF"/>
      <sz val="9"/>
    </font>
    <font>
      <name val="Calibri"/>
      <family val="2"/>
      <b val="1"/>
      <color rgb="FF000000"/>
      <sz val="11"/>
    </font>
    <font>
      <name val="Calibri"/>
      <family val="2"/>
      <b val="1"/>
      <color rgb="FFFF6600"/>
      <sz val="11"/>
    </font>
    <font>
      <name val="Calibri"/>
      <family val="2"/>
      <b val="1"/>
      <color rgb="FFC00000"/>
      <sz val="12"/>
    </font>
    <font>
      <name val="Calibri"/>
      <family val="2"/>
      <b val="1"/>
      <sz val="10"/>
    </font>
    <font>
      <name val="Calibri"/>
      <family val="2"/>
      <b val="1"/>
      <color rgb="FF000000"/>
      <sz val="12"/>
    </font>
    <font>
      <name val="Calibri"/>
      <family val="2"/>
      <b val="1"/>
      <color rgb="FFFFFFFF"/>
      <sz val="12"/>
    </font>
    <font>
      <name val="Calibri"/>
      <family val="2"/>
      <b val="1"/>
      <color rgb="FFFF0000"/>
      <sz val="12"/>
    </font>
    <font>
      <name val="Calibri"/>
      <family val="2"/>
      <b val="1"/>
      <color rgb="FF70AD47"/>
      <sz val="14"/>
    </font>
    <font>
      <name val="Calibri"/>
      <family val="2"/>
      <b val="1"/>
      <color rgb="FFFFC000"/>
      <sz val="14"/>
    </font>
    <font>
      <name val="Calibri"/>
      <family val="2"/>
      <b val="1"/>
      <color rgb="FFC00000"/>
      <sz val="14"/>
    </font>
    <font>
      <name val="Calibri"/>
      <family val="2"/>
      <b val="1"/>
      <color rgb="FF4472C4"/>
      <sz val="14"/>
    </font>
    <font>
      <name val="Calibri"/>
      <family val="2"/>
      <b val="1"/>
      <color rgb="FF009900"/>
      <sz val="10"/>
    </font>
    <font>
      <name val="Calibri"/>
      <family val="2"/>
      <i val="1"/>
      <color rgb="FF666666"/>
      <sz val="10"/>
    </font>
    <font>
      <name val="Calibri"/>
      <family val="2"/>
      <b val="1"/>
      <color rgb="FF2E75B5"/>
      <sz val="11"/>
    </font>
    <font>
      <name val="Calibri"/>
      <family val="2"/>
      <i val="1"/>
      <color rgb="FF666666"/>
      <sz val="9"/>
    </font>
    <font>
      <name val="Calibri"/>
      <family val="2"/>
      <i val="1"/>
      <color rgb="FF2E75B5"/>
      <sz val="9"/>
    </font>
    <font>
      <name val="Calibri"/>
      <family val="2"/>
      <b val="1"/>
      <color rgb="FF00B050"/>
      <sz val="12"/>
    </font>
    <font>
      <name val="Calibri"/>
      <family val="2"/>
      <b val="1"/>
      <color rgb="FF00B050"/>
      <sz val="11"/>
    </font>
    <font>
      <name val="Calibri"/>
      <family val="2"/>
      <b val="1"/>
      <color rgb="FFE74C3C"/>
      <sz val="10"/>
    </font>
    <font>
      <name val="Calibri"/>
      <family val="2"/>
      <b val="1"/>
      <color rgb="FF000000"/>
      <sz val="9"/>
    </font>
    <font>
      <name val="Calibri"/>
      <family val="2"/>
      <b val="1"/>
      <color rgb="FFE67E22"/>
      <sz val="12"/>
    </font>
    <font>
      <name val="Calibri"/>
      <family val="2"/>
      <b val="1"/>
      <color rgb="FFC65911"/>
      <sz val="12"/>
    </font>
    <font>
      <name val="Calibri"/>
      <family val="2"/>
      <b val="1"/>
      <i val="1"/>
      <color rgb="FFC65911"/>
      <sz val="11"/>
    </font>
    <font>
      <name val="Calibri"/>
      <family val="2"/>
      <b val="1"/>
      <color rgb="FF00B0F0"/>
      <sz val="14"/>
    </font>
    <font>
      <name val="Calibri"/>
      <family val="2"/>
      <b val="1"/>
      <color rgb="FF4472C4"/>
      <sz val="12"/>
    </font>
    <font>
      <name val="Calibri"/>
      <family val="2"/>
      <color rgb="FF000000"/>
      <sz val="11"/>
    </font>
    <font>
      <name val="Calibri"/>
      <family val="2"/>
      <color rgb="FF000000"/>
      <sz val="10"/>
    </font>
    <font>
      <name val="Calibri"/>
      <family val="2"/>
      <i val="1"/>
      <color rgb="FF666666"/>
      <sz val="11"/>
    </font>
    <font>
      <name val="Calibri"/>
      <family val="2"/>
      <color rgb="FF999999"/>
      <sz val="10"/>
    </font>
    <font>
      <name val="Calibri"/>
      <family val="2"/>
      <sz val="11"/>
    </font>
    <font>
      <name val="Segoe UI"/>
      <family val="2"/>
      <b val="1"/>
      <color rgb="FFFFFFFF"/>
      <sz val="22"/>
    </font>
    <font>
      <name val="Segoe UI"/>
      <family val="2"/>
      <i val="1"/>
      <color rgb="FF000000"/>
      <sz val="10"/>
    </font>
    <font>
      <name val="Segoe UI"/>
      <family val="2"/>
      <color rgb="FF2E75B6"/>
      <sz val="9"/>
      <u val="single"/>
    </font>
    <font>
      <name val="Segoe UI"/>
      <family val="2"/>
      <b val="1"/>
      <color rgb="FFFFFFFF"/>
      <sz val="13"/>
    </font>
    <font>
      <name val="Segoe UI"/>
      <family val="2"/>
      <b val="1"/>
      <color rgb="FF4472C4"/>
      <sz val="10"/>
    </font>
    <font>
      <name val="Segoe UI"/>
      <family val="2"/>
      <color rgb="FF000000"/>
      <sz val="9"/>
    </font>
    <font>
      <name val="Segoe UI"/>
      <family val="2"/>
      <b val="1"/>
      <color rgb="FFED7D31"/>
      <sz val="10"/>
    </font>
    <font>
      <name val="Segoe UI"/>
      <family val="2"/>
      <b val="1"/>
      <color rgb="FF70AD47"/>
      <sz val="10"/>
    </font>
    <font>
      <name val="Segoe UI"/>
      <family val="2"/>
      <b val="1"/>
      <color rgb="FF5B9BD5"/>
      <sz val="10"/>
    </font>
    <font>
      <name val="Segoe UI"/>
      <family val="2"/>
      <b val="1"/>
      <color rgb="FF9966CC"/>
      <sz val="10"/>
    </font>
    <font>
      <name val="Segoe UI"/>
      <family val="2"/>
      <i val="1"/>
      <color rgb="FF000000"/>
      <sz val="9"/>
    </font>
    <font>
      <name val="Calibri"/>
      <family val="2"/>
      <b val="1"/>
      <color rgb="FFFFFFFF"/>
      <sz val="11"/>
    </font>
    <font>
      <name val="Calibri"/>
      <family val="2"/>
      <i val="1"/>
      <color rgb="FF7F7F7F"/>
      <sz val="9"/>
    </font>
    <font>
      <name val="Calibri"/>
      <family val="2"/>
      <color theme="1"/>
      <sz val="10"/>
      <scheme val="minor"/>
    </font>
    <font>
      <name val="Calibri"/>
      <family val="2"/>
      <b val="1"/>
      <color theme="1"/>
      <sz val="10"/>
      <scheme val="minor"/>
    </font>
    <font>
      <name val="Calibri"/>
      <family val="2"/>
      <b val="1"/>
      <color rgb="FFFFFFFF"/>
      <sz val="11"/>
      <scheme val="minor"/>
    </font>
    <font>
      <name val="Calibri"/>
      <b val="1"/>
      <color rgb="FFFFFFFF"/>
      <sz val="11"/>
    </font>
    <font>
      <name val="Calibri"/>
      <b val="1"/>
      <color rgb="FFFFFFFF"/>
      <sz val="11"/>
    </font>
    <font>
      <name val="Calibri"/>
      <b val="1"/>
      <color rgb="FFFFFFFF"/>
      <sz val="11"/>
    </font>
    <font>
      <name val="Calibri"/>
      <b val="1"/>
      <color rgb="FF1F4E78"/>
      <sz val="14"/>
    </font>
    <font>
      <name val="Calibri"/>
      <i val="1"/>
      <sz val="10"/>
    </font>
    <font>
      <name val="Calibri"/>
      <b val="1"/>
      <color rgb="FFFFFFFF"/>
      <sz val="12"/>
    </font>
    <font>
      <name val="Calibri"/>
      <b val="1"/>
      <sz val="11"/>
    </font>
    <font>
      <name val="Calibri"/>
      <i val="1"/>
      <sz val="9"/>
    </font>
    <font>
      <name val="Calibri"/>
      <sz val="10"/>
    </font>
    <font>
      <name val="Calibri"/>
      <b val="1"/>
      <sz val="10"/>
    </font>
    <font>
      <name val="Calibri"/>
      <i val="1"/>
      <color rgb="FF666666"/>
      <sz val="8"/>
    </font>
    <font>
      <name val="Calibri"/>
      <sz val="9"/>
    </font>
    <font>
      <name val="Calibri"/>
      <b val="1"/>
      <color rgb="FFFFFFFF"/>
      <sz val="12"/>
    </font>
    <font>
      <name val="Calibri"/>
      <b val="1"/>
      <color rgb="FFFFFFFF"/>
      <sz val="10"/>
    </font>
    <font>
      <name val="Calibri"/>
      <b val="1"/>
      <color rgb="FFFFFFFF"/>
      <sz val="14"/>
    </font>
    <font>
      <name val="Calibri"/>
      <i val="1"/>
      <color rgb="FF7030A0"/>
      <sz val="9"/>
    </font>
    <font>
      <name val="Calibri"/>
      <b val="1"/>
      <color rgb="FFD32F2F"/>
      <sz val="16"/>
    </font>
    <font>
      <name val="Calibri"/>
      <b val="1"/>
      <color rgb="FF1976D2"/>
      <sz val="16"/>
    </font>
    <font>
      <name val="Calibri"/>
      <b val="1"/>
      <color rgb="FF388E3C"/>
      <sz val="16"/>
    </font>
    <font>
      <name val="Calibri"/>
      <b val="1"/>
      <color rgb="FF388E3C"/>
      <sz val="11"/>
    </font>
    <font>
      <name val="Calibri"/>
      <b val="1"/>
      <color rgb="FFD32F2F"/>
      <sz val="11"/>
    </font>
    <font>
      <name val="Calibri"/>
      <b val="1"/>
      <color rgb="FFFFFFFF"/>
      <sz val="9"/>
      <u val="single"/>
    </font>
    <font>
      <name val="Calibri"/>
      <i val="1"/>
      <color rgb="FF7F7F7F"/>
      <sz val="9"/>
    </font>
    <font>
      <name val="Calibri"/>
      <i val="1"/>
      <color rgb="FF00B050"/>
      <sz val="9"/>
    </font>
    <font>
      <name val="Calibri"/>
      <family val="2"/>
      <color theme="1"/>
      <sz val="9"/>
      <scheme val="minor"/>
    </font>
    <font>
      <name val="Segoe UI"/>
      <family val="2"/>
      <b val="1"/>
      <color rgb="FF000000"/>
      <sz val="10"/>
    </font>
  </fonts>
  <fills count="78">
    <fill>
      <patternFill/>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00B0F0"/>
        <bgColor rgb="FF00B0F0"/>
      </patternFill>
    </fill>
    <fill>
      <patternFill patternType="solid">
        <fgColor rgb="FF7F7F7F"/>
        <bgColor rgb="FF7F7F7F"/>
      </patternFill>
    </fill>
    <fill>
      <patternFill patternType="solid">
        <fgColor rgb="FF203764"/>
        <bgColor rgb="FF203764"/>
      </patternFill>
    </fill>
    <fill>
      <patternFill patternType="solid">
        <fgColor rgb="FFF39C12"/>
        <bgColor rgb="FFF39C12"/>
      </patternFill>
    </fill>
    <fill>
      <patternFill patternType="solid">
        <fgColor rgb="FF1ABC9C"/>
        <bgColor rgb="FF1ABC9C"/>
      </patternFill>
    </fill>
    <fill>
      <patternFill patternType="solid">
        <fgColor rgb="FF9B59B6"/>
        <bgColor rgb="FF9B59B6"/>
      </patternFill>
    </fill>
    <fill>
      <patternFill patternType="solid">
        <fgColor rgb="FF2980B9"/>
        <bgColor rgb="FF2980B9"/>
      </patternFill>
    </fill>
    <fill>
      <patternFill patternType="solid">
        <fgColor rgb="FF1F4E78"/>
        <bgColor rgb="FF1F4E78"/>
      </patternFill>
    </fill>
    <fill>
      <patternFill patternType="solid">
        <fgColor rgb="FFF2F2F2"/>
        <bgColor rgb="FFF2F2F2"/>
      </patternFill>
    </fill>
    <fill>
      <patternFill patternType="solid">
        <fgColor rgb="FF4472C4"/>
        <bgColor rgb="FF4472C4"/>
      </patternFill>
    </fill>
    <fill>
      <patternFill patternType="solid">
        <fgColor rgb="FFED7D31"/>
        <bgColor rgb="FFED7D31"/>
      </patternFill>
    </fill>
    <fill>
      <patternFill patternType="solid">
        <fgColor rgb="FF70AD47"/>
        <bgColor rgb="FF70AD47"/>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C00000"/>
        <bgColor rgb="FFC00000"/>
      </patternFill>
    </fill>
    <fill>
      <patternFill patternType="solid">
        <fgColor rgb="FFFCE4D6"/>
        <bgColor rgb="FFFCE4D6"/>
      </patternFill>
    </fill>
    <fill>
      <patternFill patternType="solid">
        <fgColor rgb="FFE2EFDA"/>
        <bgColor rgb="FFE2EFDA"/>
      </patternFill>
    </fill>
    <fill>
      <patternFill patternType="solid">
        <fgColor rgb="FFFFC000"/>
        <bgColor rgb="FFFFC000"/>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s>
  <borders count="6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medium">
        <color rgb="FF2E75B6"/>
      </top>
      <bottom/>
      <diagonal/>
    </border>
    <border>
      <left/>
      <right style="medium">
        <color rgb="FF2E75B6"/>
      </right>
      <top style="medium">
        <color rgb="FF2E75B6"/>
      </top>
      <bottom/>
      <diagonal/>
    </border>
    <border>
      <left/>
      <right/>
      <top style="thin">
        <color rgb="FF9966CC"/>
      </top>
      <bottom/>
      <diagonal/>
    </border>
    <border>
      <left/>
      <right style="thin">
        <color rgb="FF9966CC"/>
      </right>
      <top style="thin">
        <color rgb="FF9966CC"/>
      </top>
      <bottom/>
      <diagonal/>
    </border>
    <border>
      <left/>
      <right/>
      <top style="medium">
        <color rgb="FF1F4E78"/>
      </top>
      <bottom/>
      <diagonal/>
    </border>
    <border>
      <left/>
      <right style="medium">
        <color rgb="FF1F4E78"/>
      </right>
      <top style="medium">
        <color rgb="FF1F4E78"/>
      </top>
      <bottom/>
      <diagonal/>
    </border>
    <border>
      <left/>
      <right/>
      <top style="medium">
        <color rgb="FF4472C4"/>
      </top>
      <bottom/>
      <diagonal/>
    </border>
    <border>
      <left/>
      <right style="medium">
        <color rgb="FF4472C4"/>
      </right>
      <top style="medium">
        <color rgb="FF4472C4"/>
      </top>
      <bottom/>
      <diagonal/>
    </border>
    <border>
      <left/>
      <right/>
      <top style="medium">
        <color rgb="FFED7D31"/>
      </top>
      <bottom/>
      <diagonal/>
    </border>
    <border>
      <left/>
      <right style="medium">
        <color rgb="FFED7D31"/>
      </right>
      <top style="medium">
        <color rgb="FFED7D31"/>
      </top>
      <bottom/>
      <diagonal/>
    </border>
    <border>
      <left/>
      <right/>
      <top style="medium">
        <color rgb="FF9966CC"/>
      </top>
      <bottom/>
      <diagonal/>
    </border>
    <border>
      <left/>
      <right style="medium">
        <color rgb="FF9966CC"/>
      </right>
      <top style="medium">
        <color rgb="FF9966CC"/>
      </top>
      <bottom/>
      <diagonal/>
    </border>
    <border>
      <left/>
      <right/>
      <top style="thin">
        <color rgb="FFBFBFBF"/>
      </top>
      <bottom/>
      <diagonal/>
    </border>
    <border>
      <left/>
      <right style="thin">
        <color rgb="FFBFBFBF"/>
      </right>
      <top style="thin">
        <color rgb="FFBFBFBF"/>
      </top>
      <bottom/>
      <diagonal/>
    </border>
    <border>
      <left/>
      <right/>
      <top style="medium">
        <color rgb="FF70AD47"/>
      </top>
      <bottom/>
      <diagonal/>
    </border>
    <border>
      <left/>
      <right style="medium">
        <color rgb="FF70AD47"/>
      </right>
      <top style="medium">
        <color rgb="FF70AD47"/>
      </top>
      <bottom/>
      <diagonal/>
    </border>
    <border>
      <left/>
      <right/>
      <top style="medium">
        <color rgb="FF5B9BD5"/>
      </top>
      <bottom/>
      <diagonal/>
    </border>
    <border>
      <left/>
      <right style="medium">
        <color rgb="FF5B9BD5"/>
      </right>
      <top style="medium">
        <color rgb="FF5B9BD5"/>
      </top>
      <bottom/>
      <diagonal/>
    </border>
  </borders>
  <cellStyleXfs count="1">
    <xf numFmtId="0" fontId="0" fillId="0" borderId="39"/>
  </cellStyleXfs>
  <cellXfs count="290">
    <xf numFmtId="0" fontId="0" fillId="0" borderId="0" pivotButton="0" quotePrefix="0" xfId="0"/>
    <xf numFmtId="0" fontId="0" fillId="0" borderId="1" applyAlignment="1" pivotButton="0" quotePrefix="0" xfId="0">
      <alignment horizontal="left" vertical="center"/>
    </xf>
    <xf numFmtId="0" fontId="14" fillId="4" borderId="0" pivotButton="0" quotePrefix="0" xfId="0"/>
    <xf numFmtId="0" fontId="15" fillId="0" borderId="1" pivotButton="0" quotePrefix="0" xfId="0"/>
    <xf numFmtId="0" fontId="0" fillId="0" borderId="1" pivotButton="0" quotePrefix="0" xfId="0"/>
    <xf numFmtId="0" fontId="17" fillId="5" borderId="1" applyAlignment="1" pivotButton="0" quotePrefix="0" xfId="0">
      <alignment horizontal="center" vertical="center" wrapText="1"/>
    </xf>
    <xf numFmtId="0" fontId="0" fillId="0" borderId="1" applyAlignment="1" pivotButton="0" quotePrefix="0" xfId="0">
      <alignment horizontal="center" vertical="center"/>
    </xf>
    <xf numFmtId="0" fontId="19" fillId="0" borderId="1" applyAlignment="1" pivotButton="0" quotePrefix="0" xfId="0">
      <alignment horizontal="center"/>
    </xf>
    <xf numFmtId="0" fontId="20" fillId="7" borderId="1" applyAlignment="1" pivotButton="0" quotePrefix="0" xfId="0">
      <alignment horizontal="center"/>
    </xf>
    <xf numFmtId="0" fontId="21" fillId="7" borderId="1" applyAlignment="1" pivotButton="0" quotePrefix="0" xfId="0">
      <alignment horizontal="center"/>
    </xf>
    <xf numFmtId="0" fontId="22" fillId="7" borderId="1" applyAlignment="1" pivotButton="0" quotePrefix="0" xfId="0">
      <alignment horizontal="center"/>
    </xf>
    <xf numFmtId="0" fontId="23" fillId="7" borderId="1" applyAlignment="1" pivotButton="0" quotePrefix="0" xfId="0">
      <alignment horizontal="center"/>
    </xf>
    <xf numFmtId="0" fontId="17" fillId="6" borderId="1" applyAlignment="1" pivotButton="0" quotePrefix="0" xfId="0">
      <alignment horizontal="center"/>
    </xf>
    <xf numFmtId="0" fontId="14" fillId="8" borderId="1" applyAlignment="1" pivotButton="0" quotePrefix="0" xfId="0">
      <alignment horizontal="center"/>
    </xf>
    <xf numFmtId="0" fontId="0" fillId="0" borderId="1" applyAlignment="1" pivotButton="0" quotePrefix="0" xfId="0">
      <alignment horizontal="center"/>
    </xf>
    <xf numFmtId="0" fontId="14" fillId="4" borderId="1" applyAlignment="1" pivotButton="0" quotePrefix="0" xfId="0">
      <alignment horizontal="center"/>
    </xf>
    <xf numFmtId="0" fontId="14" fillId="9" borderId="1" applyAlignment="1" pivotButton="0" quotePrefix="0" xfId="0">
      <alignment horizontal="center"/>
    </xf>
    <xf numFmtId="0" fontId="14" fillId="5" borderId="1" applyAlignment="1" pivotButton="0" quotePrefix="0" xfId="0">
      <alignment horizontal="center"/>
    </xf>
    <xf numFmtId="0" fontId="14" fillId="10" borderId="1" applyAlignment="1" pivotButton="0" quotePrefix="0" xfId="0">
      <alignment horizontal="center"/>
    </xf>
    <xf numFmtId="0" fontId="24" fillId="9" borderId="1" applyAlignment="1" pivotButton="0" quotePrefix="0" xfId="0">
      <alignment horizontal="center" vertical="center" wrapText="1"/>
    </xf>
    <xf numFmtId="0" fontId="0" fillId="0" borderId="1" applyAlignment="1" pivotButton="0" quotePrefix="0" xfId="0">
      <alignment horizontal="center" vertical="center" wrapText="1"/>
    </xf>
    <xf numFmtId="0" fontId="14" fillId="9" borderId="1" applyAlignment="1" pivotButton="0" quotePrefix="0" xfId="0">
      <alignment horizontal="center" vertical="center" wrapText="1"/>
    </xf>
    <xf numFmtId="0" fontId="25" fillId="5" borderId="1" applyAlignment="1" pivotButton="0" quotePrefix="0" xfId="0">
      <alignment horizontal="center" vertical="center" wrapText="1"/>
    </xf>
    <xf numFmtId="0" fontId="14" fillId="9" borderId="1" applyAlignment="1" pivotButton="0" quotePrefix="0" xfId="0">
      <alignment horizontal="center" vertical="center"/>
    </xf>
    <xf numFmtId="0" fontId="14" fillId="5" borderId="1" applyAlignment="1" pivotButton="0" quotePrefix="0" xfId="0">
      <alignment horizontal="center" vertical="center"/>
    </xf>
    <xf numFmtId="0" fontId="14" fillId="4" borderId="1" applyAlignment="1" pivotButton="0" quotePrefix="0" xfId="0">
      <alignment horizontal="center" vertical="center"/>
    </xf>
    <xf numFmtId="0" fontId="24" fillId="11" borderId="1" applyAlignment="1" pivotButton="0" quotePrefix="0" xfId="0">
      <alignment horizontal="center" vertical="center" wrapText="1"/>
    </xf>
    <xf numFmtId="0" fontId="24" fillId="11" borderId="1" applyAlignment="1" pivotButton="0" quotePrefix="0" xfId="0">
      <alignment horizontal="center" vertical="center"/>
    </xf>
    <xf numFmtId="0" fontId="29" fillId="5" borderId="1" applyAlignment="1" pivotButton="0" quotePrefix="0" xfId="0">
      <alignment horizontal="center" vertical="center"/>
    </xf>
    <xf numFmtId="0" fontId="29" fillId="9" borderId="1" applyAlignment="1" pivotButton="0" quotePrefix="0" xfId="0">
      <alignment horizontal="center" vertical="center"/>
    </xf>
    <xf numFmtId="0" fontId="30" fillId="8" borderId="1" applyAlignment="1" pivotButton="0" quotePrefix="0" xfId="0">
      <alignment horizontal="center" vertical="center"/>
    </xf>
    <xf numFmtId="0" fontId="30" fillId="10" borderId="1" applyAlignment="1" pivotButton="0" quotePrefix="0" xfId="0">
      <alignment horizontal="center" vertical="center"/>
    </xf>
    <xf numFmtId="0" fontId="29" fillId="4" borderId="1" applyAlignment="1" pivotButton="0" quotePrefix="0" xfId="0">
      <alignment horizontal="center" vertical="center"/>
    </xf>
    <xf numFmtId="0" fontId="14" fillId="10" borderId="1" applyAlignment="1" pivotButton="0" quotePrefix="0" xfId="0">
      <alignment horizontal="center" vertical="center"/>
    </xf>
    <xf numFmtId="0" fontId="29" fillId="12" borderId="1" applyAlignment="1" pivotButton="0" quotePrefix="0" xfId="0">
      <alignment horizontal="center" vertical="center"/>
    </xf>
    <xf numFmtId="0" fontId="24" fillId="8" borderId="1" applyAlignment="1" pivotButton="0" quotePrefix="0" xfId="0">
      <alignment horizontal="center" vertical="center"/>
    </xf>
    <xf numFmtId="0" fontId="24" fillId="13" borderId="1" applyAlignment="1" pivotButton="0" quotePrefix="0" xfId="0">
      <alignment horizontal="center" vertical="center" wrapText="1"/>
    </xf>
    <xf numFmtId="0" fontId="14" fillId="11" borderId="1" applyAlignment="1" pivotButton="0" quotePrefix="0" xfId="0">
      <alignment horizontal="center" vertical="center" wrapText="1"/>
    </xf>
    <xf numFmtId="0" fontId="28" fillId="0" borderId="1" applyAlignment="1" pivotButton="0" quotePrefix="0" xfId="0">
      <alignment horizontal="right" vertical="center"/>
    </xf>
    <xf numFmtId="0" fontId="3" fillId="7" borderId="1" applyAlignment="1" pivotButton="0" quotePrefix="0" xfId="0">
      <alignment horizontal="center" vertical="center"/>
    </xf>
    <xf numFmtId="0" fontId="32" fillId="7" borderId="1" applyAlignment="1" pivotButton="0" quotePrefix="0" xfId="0">
      <alignment horizontal="center" vertical="center"/>
    </xf>
    <xf numFmtId="0" fontId="33" fillId="7" borderId="1" applyAlignment="1" pivotButton="0" quotePrefix="0" xfId="0">
      <alignment horizontal="center" vertical="center"/>
    </xf>
    <xf numFmtId="0" fontId="2" fillId="7" borderId="1" applyAlignment="1" pivotButton="0" quotePrefix="0" xfId="0">
      <alignment horizontal="center" vertical="center"/>
    </xf>
    <xf numFmtId="0" fontId="34" fillId="7" borderId="1" applyAlignment="1" pivotButton="0" quotePrefix="0" xfId="0">
      <alignment horizontal="center" vertical="center"/>
    </xf>
    <xf numFmtId="0" fontId="35" fillId="7" borderId="1" applyAlignment="1" pivotButton="0" quotePrefix="0" xfId="0">
      <alignment horizontal="center" vertical="center"/>
    </xf>
    <xf numFmtId="0" fontId="14" fillId="11" borderId="1" applyAlignment="1" pivotButton="0" quotePrefix="0" xfId="0">
      <alignment horizontal="center" vertical="center"/>
    </xf>
    <xf numFmtId="0" fontId="17" fillId="14" borderId="1" applyAlignment="1" pivotButton="0" quotePrefix="0" xfId="0">
      <alignment horizontal="center" vertical="center"/>
    </xf>
    <xf numFmtId="0" fontId="0" fillId="0" borderId="1" applyAlignment="1" pivotButton="0" quotePrefix="0" xfId="0">
      <alignment horizontal="left" vertical="center" wrapText="1"/>
    </xf>
    <xf numFmtId="0" fontId="14" fillId="10" borderId="1" applyAlignment="1" pivotButton="0" quotePrefix="0" xfId="0">
      <alignment horizontal="left" vertical="center" wrapText="1"/>
    </xf>
    <xf numFmtId="0" fontId="14" fillId="9" borderId="1" applyAlignment="1" pivotButton="0" quotePrefix="0" xfId="0">
      <alignment horizontal="left" vertical="center" wrapText="1"/>
    </xf>
    <xf numFmtId="0" fontId="25" fillId="5" borderId="1" applyAlignment="1" pivotButton="0" quotePrefix="0" xfId="0">
      <alignment horizontal="left" vertical="center" wrapText="1"/>
    </xf>
    <xf numFmtId="0" fontId="14" fillId="11" borderId="1" applyAlignment="1" pivotButton="0" quotePrefix="0" xfId="0">
      <alignment horizontal="left" vertical="center" wrapText="1"/>
    </xf>
    <xf numFmtId="0" fontId="25" fillId="4" borderId="1" applyAlignment="1" pivotButton="0" quotePrefix="0" xfId="0">
      <alignment horizontal="left" vertical="center" wrapText="1"/>
    </xf>
    <xf numFmtId="0" fontId="24" fillId="15" borderId="1" applyAlignment="1" pivotButton="0" quotePrefix="0" xfId="0">
      <alignment horizontal="center" vertical="center" wrapText="1"/>
    </xf>
    <xf numFmtId="0" fontId="14" fillId="4" borderId="1" applyAlignment="1" pivotButton="0" quotePrefix="0" xfId="0">
      <alignment horizontal="center" vertical="center" wrapText="1"/>
    </xf>
    <xf numFmtId="0" fontId="14" fillId="8" borderId="1" applyAlignment="1" pivotButton="0" quotePrefix="0" xfId="0">
      <alignment horizontal="center" vertical="center" wrapText="1"/>
    </xf>
    <xf numFmtId="0" fontId="15" fillId="3" borderId="1" pivotButton="0" quotePrefix="0" xfId="0"/>
    <xf numFmtId="0" fontId="24" fillId="16" borderId="1" applyAlignment="1" pivotButton="0" quotePrefix="0" xfId="0">
      <alignment horizontal="center" vertical="center" wrapText="1"/>
    </xf>
    <xf numFmtId="0" fontId="14" fillId="16" borderId="1" applyAlignment="1" pivotButton="0" quotePrefix="0" xfId="0">
      <alignment horizontal="center" vertical="center" wrapText="1"/>
    </xf>
    <xf numFmtId="0" fontId="15" fillId="0" borderId="1" applyAlignment="1" pivotButton="0" quotePrefix="0" xfId="0">
      <alignment horizontal="left"/>
    </xf>
    <xf numFmtId="0" fontId="41" fillId="0" borderId="1" applyAlignment="1" pivotButton="0" quotePrefix="0" xfId="0">
      <alignment horizontal="center"/>
    </xf>
    <xf numFmtId="0" fontId="17" fillId="17" borderId="1" applyAlignment="1" pivotButton="0" quotePrefix="0" xfId="0">
      <alignment horizontal="center" vertical="center" wrapText="1"/>
    </xf>
    <xf numFmtId="0" fontId="14" fillId="10" borderId="1" applyAlignment="1" pivotButton="0" quotePrefix="0" xfId="0">
      <alignment horizontal="center" vertical="center" wrapText="1"/>
    </xf>
    <xf numFmtId="0" fontId="14" fillId="17" borderId="1" applyAlignment="1" pivotButton="0" quotePrefix="0" xfId="0">
      <alignment horizontal="center"/>
    </xf>
    <xf numFmtId="0" fontId="24" fillId="18" borderId="1" applyAlignment="1" pivotButton="0" quotePrefix="0" xfId="0">
      <alignment horizontal="center" vertical="center" wrapText="1"/>
    </xf>
    <xf numFmtId="0" fontId="24" fillId="10" borderId="1" applyAlignment="1" pivotButton="0" quotePrefix="0" xfId="0">
      <alignment horizontal="center" vertical="center" wrapText="1"/>
    </xf>
    <xf numFmtId="0" fontId="24" fillId="19" borderId="1" applyAlignment="1" pivotButton="0" quotePrefix="0" xfId="0">
      <alignment horizontal="center" vertical="center" wrapText="1"/>
    </xf>
    <xf numFmtId="0" fontId="24" fillId="20" borderId="1" applyAlignment="1" pivotButton="0" quotePrefix="0" xfId="0">
      <alignment horizontal="center" vertical="center" wrapText="1"/>
    </xf>
    <xf numFmtId="0" fontId="24" fillId="14" borderId="1" applyAlignment="1" pivotButton="0" quotePrefix="0" xfId="0">
      <alignment horizontal="center" vertical="center" wrapText="1"/>
    </xf>
    <xf numFmtId="0" fontId="44" fillId="21" borderId="1" applyAlignment="1" pivotButton="0" quotePrefix="0" xfId="0">
      <alignment horizontal="center" vertical="center" wrapText="1"/>
    </xf>
    <xf numFmtId="0" fontId="24" fillId="22" borderId="1" applyAlignment="1" pivotButton="0" quotePrefix="0" xfId="0">
      <alignment horizontal="center" vertical="center" wrapText="1"/>
    </xf>
    <xf numFmtId="0" fontId="24" fillId="22" borderId="1" applyAlignment="1" pivotButton="0" quotePrefix="0" xfId="0">
      <alignment horizontal="center" vertical="center"/>
    </xf>
    <xf numFmtId="0" fontId="24" fillId="23" borderId="1" applyAlignment="1" pivotButton="0" quotePrefix="0" xfId="0">
      <alignment horizontal="center" vertical="center" wrapText="1"/>
    </xf>
    <xf numFmtId="0" fontId="24" fillId="24" borderId="1" applyAlignment="1" pivotButton="0" quotePrefix="0" xfId="0">
      <alignment horizontal="center" vertical="center" wrapText="1"/>
    </xf>
    <xf numFmtId="0" fontId="24" fillId="25" borderId="1" applyAlignment="1" pivotButton="0" quotePrefix="0" xfId="0">
      <alignment horizontal="center" vertical="center" wrapText="1"/>
    </xf>
    <xf numFmtId="0" fontId="24" fillId="26" borderId="1" applyAlignment="1" pivotButton="0" quotePrefix="0" xfId="0">
      <alignment horizontal="center" vertical="center"/>
    </xf>
    <xf numFmtId="0" fontId="24" fillId="33" borderId="1" applyAlignment="1" pivotButton="0" quotePrefix="0" xfId="0">
      <alignment horizontal="center" vertical="center"/>
    </xf>
    <xf numFmtId="0" fontId="24" fillId="28" borderId="1" applyAlignment="1" pivotButton="0" quotePrefix="0" xfId="0">
      <alignment horizontal="center" vertical="center"/>
    </xf>
    <xf numFmtId="0" fontId="54" fillId="0" borderId="11" pivotButton="0" quotePrefix="0" xfId="0"/>
    <xf numFmtId="0" fontId="57" fillId="0" borderId="14" applyAlignment="1" pivotButton="0" quotePrefix="0" xfId="0">
      <alignment horizontal="left" vertical="center" indent="1"/>
    </xf>
    <xf numFmtId="0" fontId="60" fillId="0" borderId="14" applyAlignment="1" pivotButton="0" quotePrefix="0" xfId="0">
      <alignment horizontal="left" vertical="center" wrapText="1" indent="1"/>
    </xf>
    <xf numFmtId="0" fontId="66" fillId="41" borderId="1" applyAlignment="1" pivotButton="0" quotePrefix="0" xfId="0">
      <alignment horizontal="center" vertical="center"/>
    </xf>
    <xf numFmtId="0" fontId="66" fillId="42" borderId="1" applyAlignment="1" pivotButton="0" quotePrefix="0" xfId="0">
      <alignment horizontal="center" vertical="center" wrapText="1"/>
    </xf>
    <xf numFmtId="0" fontId="66" fillId="43" borderId="1" applyAlignment="1" pivotButton="0" quotePrefix="0" xfId="0">
      <alignment horizontal="center" vertical="center" wrapText="1"/>
    </xf>
    <xf numFmtId="0" fontId="68" fillId="0" borderId="14" pivotButton="0" quotePrefix="0" xfId="0"/>
    <xf numFmtId="14" fontId="68" fillId="0" borderId="14" pivotButton="0" quotePrefix="0" xfId="0"/>
    <xf numFmtId="0" fontId="68" fillId="49" borderId="14" pivotButton="0" quotePrefix="0" xfId="0"/>
    <xf numFmtId="14" fontId="68" fillId="49" borderId="14" pivotButton="0" quotePrefix="0" xfId="0"/>
    <xf numFmtId="0" fontId="69" fillId="50" borderId="14" pivotButton="0" quotePrefix="0" xfId="0"/>
    <xf numFmtId="0" fontId="69" fillId="51" borderId="14" pivotButton="0" quotePrefix="0" xfId="0"/>
    <xf numFmtId="0" fontId="69" fillId="52" borderId="14" applyAlignment="1" pivotButton="0" quotePrefix="0" xfId="0">
      <alignment horizontal="center"/>
    </xf>
    <xf numFmtId="9" fontId="68" fillId="0" borderId="14" applyAlignment="1" pivotButton="0" quotePrefix="0" xfId="0">
      <alignment horizontal="center"/>
    </xf>
    <xf numFmtId="14" fontId="17" fillId="6" borderId="1" applyAlignment="1" pivotButton="0" quotePrefix="0" xfId="0">
      <alignment horizontal="center"/>
    </xf>
    <xf numFmtId="0" fontId="70" fillId="53" borderId="0" pivotButton="0" quotePrefix="0" xfId="0"/>
    <xf numFmtId="22" fontId="0" fillId="0" borderId="0" pivotButton="0" quotePrefix="0" xfId="0"/>
    <xf numFmtId="0" fontId="71" fillId="54" borderId="44" applyAlignment="1" pivotButton="0" quotePrefix="0" xfId="0">
      <alignment horizontal="center" vertical="center"/>
    </xf>
    <xf numFmtId="0" fontId="72" fillId="55" borderId="45" applyAlignment="1" pivotButton="0" quotePrefix="0" xfId="0">
      <alignment horizontal="center" vertical="center"/>
    </xf>
    <xf numFmtId="0" fontId="73" fillId="56" borderId="46" applyAlignment="1" pivotButton="0" quotePrefix="0" xfId="0">
      <alignment horizontal="center" vertical="center" wrapText="1"/>
    </xf>
    <xf numFmtId="0" fontId="0" fillId="0" borderId="46" applyAlignment="1" pivotButton="0" quotePrefix="0" xfId="0">
      <alignment vertical="top" wrapText="1"/>
    </xf>
    <xf numFmtId="0" fontId="0" fillId="0" borderId="46" pivotButton="0" quotePrefix="0" xfId="0"/>
    <xf numFmtId="0" fontId="73" fillId="56" borderId="46" applyAlignment="1" pivotButton="0" quotePrefix="0" xfId="0">
      <alignment horizontal="center" wrapText="1"/>
    </xf>
    <xf numFmtId="0" fontId="0" fillId="59" borderId="0" pivotButton="0" quotePrefix="0" xfId="0"/>
    <xf numFmtId="0" fontId="0" fillId="60" borderId="0" pivotButton="0" quotePrefix="0" xfId="0"/>
    <xf numFmtId="0" fontId="0" fillId="61" borderId="0" pivotButton="0" quotePrefix="0" xfId="0"/>
    <xf numFmtId="0" fontId="0" fillId="0" borderId="46" applyAlignment="1" pivotButton="0" quotePrefix="0" xfId="0">
      <alignment vertical="center" wrapText="1"/>
    </xf>
    <xf numFmtId="0" fontId="0" fillId="59" borderId="46" applyAlignment="1" pivotButton="0" quotePrefix="0" xfId="0">
      <alignment vertical="center" wrapText="1"/>
    </xf>
    <xf numFmtId="0" fontId="81" fillId="0" borderId="0" applyAlignment="1" pivotButton="0" quotePrefix="0" xfId="0">
      <alignment horizontal="center"/>
    </xf>
    <xf numFmtId="0" fontId="80" fillId="64" borderId="46" applyAlignment="1" pivotButton="0" quotePrefix="0" xfId="0">
      <alignment horizontal="center" vertical="center" wrapText="1"/>
    </xf>
    <xf numFmtId="0" fontId="82" fillId="64" borderId="46" applyAlignment="1" pivotButton="0" quotePrefix="0" xfId="0">
      <alignment vertical="top" wrapText="1"/>
    </xf>
    <xf numFmtId="0" fontId="84" fillId="66" borderId="47" applyAlignment="1" pivotButton="0" quotePrefix="0" xfId="0">
      <alignment horizontal="center" vertical="center"/>
    </xf>
    <xf numFmtId="0" fontId="79" fillId="0" borderId="47" applyAlignment="1" pivotButton="0" quotePrefix="0" xfId="0">
      <alignment horizontal="left" vertical="center"/>
    </xf>
    <xf numFmtId="0" fontId="77" fillId="0" borderId="47" applyAlignment="1" pivotButton="0" quotePrefix="0" xfId="0">
      <alignment horizontal="center" vertical="center"/>
    </xf>
    <xf numFmtId="0" fontId="79" fillId="44" borderId="47" applyAlignment="1" pivotButton="0" quotePrefix="0" xfId="0">
      <alignment horizontal="center" vertical="center"/>
    </xf>
    <xf numFmtId="0" fontId="54" fillId="0" borderId="47" pivotButton="0" quotePrefix="0" xfId="0"/>
    <xf numFmtId="0" fontId="77" fillId="67" borderId="47" applyAlignment="1" pivotButton="0" quotePrefix="0" xfId="0">
      <alignment horizontal="center" vertical="center"/>
    </xf>
    <xf numFmtId="0" fontId="79" fillId="45" borderId="47" applyAlignment="1" pivotButton="0" quotePrefix="0" xfId="0">
      <alignment horizontal="center" vertical="center"/>
    </xf>
    <xf numFmtId="0" fontId="84" fillId="71" borderId="47" applyAlignment="1" pivotButton="0" quotePrefix="0" xfId="0">
      <alignment horizontal="center" vertical="center"/>
    </xf>
    <xf numFmtId="0" fontId="87" fillId="0" borderId="47" applyAlignment="1" pivotButton="0" quotePrefix="0" xfId="0">
      <alignment horizontal="center" vertical="center"/>
    </xf>
    <xf numFmtId="0" fontId="82" fillId="0" borderId="47" applyAlignment="1" pivotButton="0" quotePrefix="0" xfId="0">
      <alignment horizontal="left" vertical="center"/>
    </xf>
    <xf numFmtId="0" fontId="79" fillId="46" borderId="47" applyAlignment="1" pivotButton="0" quotePrefix="0" xfId="0">
      <alignment horizontal="center" vertical="center"/>
    </xf>
    <xf numFmtId="0" fontId="84" fillId="72" borderId="47" applyAlignment="1" pivotButton="0" quotePrefix="0" xfId="0">
      <alignment horizontal="center" vertical="center"/>
    </xf>
    <xf numFmtId="0" fontId="88" fillId="0" borderId="47" applyAlignment="1" pivotButton="0" quotePrefix="0" xfId="0">
      <alignment horizontal="center" vertical="center"/>
    </xf>
    <xf numFmtId="0" fontId="84" fillId="73" borderId="47" applyAlignment="1" pivotButton="0" quotePrefix="0" xfId="0">
      <alignment horizontal="center" vertical="center"/>
    </xf>
    <xf numFmtId="0" fontId="89" fillId="0" borderId="47" applyAlignment="1" pivotButton="0" quotePrefix="0" xfId="0">
      <alignment horizontal="center" vertical="center"/>
    </xf>
    <xf numFmtId="0" fontId="77" fillId="68" borderId="47" applyAlignment="1" pivotButton="0" quotePrefix="0" xfId="0">
      <alignment horizontal="center" vertical="center"/>
    </xf>
    <xf numFmtId="0" fontId="79" fillId="47" borderId="47" applyAlignment="1" pivotButton="0" quotePrefix="0" xfId="0">
      <alignment horizontal="center" vertical="center"/>
    </xf>
    <xf numFmtId="0" fontId="77" fillId="69" borderId="47" applyAlignment="1" pivotButton="0" quotePrefix="0" xfId="0">
      <alignment horizontal="center" vertical="center"/>
    </xf>
    <xf numFmtId="0" fontId="79" fillId="48" borderId="47" applyAlignment="1" pivotButton="0" quotePrefix="0" xfId="0">
      <alignment horizontal="center" vertical="center"/>
    </xf>
    <xf numFmtId="0" fontId="90" fillId="0" borderId="47" applyAlignment="1" pivotButton="0" quotePrefix="0" xfId="0">
      <alignment horizontal="center" vertical="center"/>
    </xf>
    <xf numFmtId="0" fontId="82" fillId="0" borderId="47" applyAlignment="1" pivotButton="0" quotePrefix="0" xfId="0">
      <alignment horizontal="center" vertical="center"/>
    </xf>
    <xf numFmtId="0" fontId="91" fillId="0" borderId="47" applyAlignment="1" pivotButton="0" quotePrefix="0" xfId="0">
      <alignment horizontal="center" vertical="center"/>
    </xf>
    <xf numFmtId="0" fontId="93" fillId="0" borderId="11" pivotButton="0" quotePrefix="0" xfId="0"/>
    <xf numFmtId="0" fontId="94" fillId="0" borderId="11" pivotButton="0" quotePrefix="0" xfId="0"/>
    <xf numFmtId="0" fontId="16" fillId="76" borderId="46" applyAlignment="1" pivotButton="0" quotePrefix="0" xfId="0">
      <alignment horizontal="center" vertical="center" wrapText="1"/>
    </xf>
    <xf numFmtId="0" fontId="14" fillId="76" borderId="46" applyAlignment="1" pivotButton="0" quotePrefix="0" xfId="0">
      <alignment horizontal="center" vertical="center" wrapText="1"/>
    </xf>
    <xf numFmtId="0" fontId="70" fillId="77" borderId="0" applyAlignment="1" pivotButton="0" quotePrefix="0" xfId="0">
      <alignment horizontal="center"/>
    </xf>
    <xf numFmtId="22" fontId="95" fillId="0" borderId="47" pivotButton="0" quotePrefix="0" xfId="0"/>
    <xf numFmtId="0" fontId="95" fillId="0" borderId="47" pivotButton="0" quotePrefix="0" xfId="0"/>
    <xf numFmtId="0" fontId="85" fillId="70" borderId="47" applyAlignment="1" pivotButton="0" quotePrefix="0" xfId="0">
      <alignment horizontal="center" vertical="center"/>
    </xf>
    <xf numFmtId="0" fontId="0" fillId="0" borderId="47" pivotButton="0" quotePrefix="0" xfId="0"/>
    <xf numFmtId="0" fontId="63" fillId="35" borderId="22" applyAlignment="1" pivotButton="0" quotePrefix="0" xfId="0">
      <alignment horizontal="center" vertical="center"/>
    </xf>
    <xf numFmtId="0" fontId="58" fillId="39" borderId="21" applyAlignment="1" pivotButton="0" quotePrefix="0" xfId="0">
      <alignment horizontal="center" vertical="center"/>
    </xf>
    <xf numFmtId="0" fontId="0" fillId="0" borderId="25" pivotButton="0" quotePrefix="0" xfId="0"/>
    <xf numFmtId="0" fontId="0" fillId="0" borderId="26" pivotButton="0" quotePrefix="0" xfId="0"/>
    <xf numFmtId="0" fontId="59" fillId="35" borderId="16" applyAlignment="1" pivotButton="0" quotePrefix="0" xfId="0">
      <alignment horizontal="center" vertical="center"/>
    </xf>
    <xf numFmtId="0" fontId="67" fillId="0" borderId="39" applyAlignment="1" pivotButton="0" quotePrefix="0" xfId="0">
      <alignment horizontal="center" vertical="center"/>
    </xf>
    <xf numFmtId="0" fontId="0" fillId="0" borderId="0" pivotButton="0" quotePrefix="0" xfId="0"/>
    <xf numFmtId="0" fontId="84" fillId="70" borderId="47" applyAlignment="1" pivotButton="0" quotePrefix="0" xfId="0">
      <alignment horizontal="center" vertical="center"/>
    </xf>
    <xf numFmtId="0" fontId="86" fillId="0" borderId="47" applyAlignment="1" pivotButton="0" quotePrefix="0" xfId="0">
      <alignment horizontal="center" vertical="center"/>
    </xf>
    <xf numFmtId="0" fontId="83" fillId="65" borderId="12" applyAlignment="1" pivotButton="0" quotePrefix="0" xfId="0">
      <alignment horizontal="center" vertical="center"/>
    </xf>
    <xf numFmtId="0" fontId="0" fillId="0" borderId="33" pivotButton="0" quotePrefix="0" xfId="0"/>
    <xf numFmtId="0" fontId="0" fillId="0" borderId="34" pivotButton="0" quotePrefix="0" xfId="0"/>
    <xf numFmtId="0" fontId="65" fillId="35" borderId="14" applyAlignment="1" pivotButton="0" quotePrefix="0" xfId="0">
      <alignment horizontal="center" vertical="center" wrapText="1"/>
    </xf>
    <xf numFmtId="0" fontId="0" fillId="0" borderId="29" pivotButton="0" quotePrefix="0" xfId="0"/>
    <xf numFmtId="0" fontId="0" fillId="0" borderId="30" pivotButton="0" quotePrefix="0" xfId="0"/>
    <xf numFmtId="0" fontId="64" fillId="35" borderId="24" applyAlignment="1" pivotButton="0" quotePrefix="0" xfId="0">
      <alignment horizontal="center" vertical="center"/>
    </xf>
    <xf numFmtId="0" fontId="0" fillId="0" borderId="27" pivotButton="0" quotePrefix="0" xfId="0"/>
    <xf numFmtId="0" fontId="0" fillId="0" borderId="28" pivotButton="0" quotePrefix="0" xfId="0"/>
    <xf numFmtId="0" fontId="62" fillId="35" borderId="20" applyAlignment="1" pivotButton="0" quotePrefix="0" xfId="0">
      <alignment horizontal="center" vertical="center"/>
    </xf>
    <xf numFmtId="0" fontId="92" fillId="74" borderId="47" applyAlignment="1" pivotButton="0" quotePrefix="0" xfId="0">
      <alignment horizontal="center" vertical="center"/>
    </xf>
    <xf numFmtId="0" fontId="58" fillId="38" borderId="19" applyAlignment="1" pivotButton="0" quotePrefix="0" xfId="0">
      <alignment horizontal="center" vertical="center"/>
    </xf>
    <xf numFmtId="0" fontId="0" fillId="0" borderId="42" pivotButton="0" quotePrefix="0" xfId="0"/>
    <xf numFmtId="0" fontId="0" fillId="0" borderId="43" pivotButton="0" quotePrefix="0" xfId="0"/>
    <xf numFmtId="0" fontId="61" fillId="35" borderId="18" applyAlignment="1" pivotButton="0" quotePrefix="0" xfId="0">
      <alignment horizontal="center" vertical="center"/>
    </xf>
    <xf numFmtId="0" fontId="83" fillId="75" borderId="13" applyAlignment="1" pivotButton="0" quotePrefix="0" xfId="0">
      <alignment horizontal="center" vertical="center"/>
    </xf>
    <xf numFmtId="0" fontId="0" fillId="0" borderId="31" pivotButton="0" quotePrefix="0" xfId="0"/>
    <xf numFmtId="0" fontId="0" fillId="0" borderId="32" pivotButton="0" quotePrefix="0" xfId="0"/>
    <xf numFmtId="0" fontId="55" fillId="34" borderId="12" applyAlignment="1" pivotButton="0" quotePrefix="0" xfId="0">
      <alignment horizontal="center" vertical="center"/>
    </xf>
    <xf numFmtId="0" fontId="58" fillId="36" borderId="15" applyAlignment="1" pivotButton="0" quotePrefix="0" xfId="0">
      <alignment horizontal="center" vertical="center"/>
    </xf>
    <xf numFmtId="0" fontId="0" fillId="0" borderId="35" pivotButton="0" quotePrefix="0" xfId="0"/>
    <xf numFmtId="0" fontId="0" fillId="0" borderId="36" pivotButton="0" quotePrefix="0" xfId="0"/>
    <xf numFmtId="0" fontId="58" fillId="37" borderId="17" applyAlignment="1" pivotButton="0" quotePrefix="0" xfId="0">
      <alignment horizontal="center" vertical="center"/>
    </xf>
    <xf numFmtId="0" fontId="0" fillId="0" borderId="37" pivotButton="0" quotePrefix="0" xfId="0"/>
    <xf numFmtId="0" fontId="0" fillId="0" borderId="38" pivotButton="0" quotePrefix="0" xfId="0"/>
    <xf numFmtId="0" fontId="56" fillId="35" borderId="39" applyAlignment="1" pivotButton="0" quotePrefix="0" xfId="0">
      <alignment horizontal="center" vertical="center"/>
    </xf>
    <xf numFmtId="0" fontId="58" fillId="40" borderId="23" applyAlignment="1" pivotButton="0" quotePrefix="0" xfId="0">
      <alignment horizontal="center" vertical="center"/>
    </xf>
    <xf numFmtId="0" fontId="0" fillId="0" borderId="40" pivotButton="0" quotePrefix="0" xfId="0"/>
    <xf numFmtId="0" fontId="0" fillId="0" borderId="41" pivotButton="0" quotePrefix="0" xfId="0"/>
    <xf numFmtId="0" fontId="74" fillId="0" borderId="39" applyAlignment="1" pivotButton="0" quotePrefix="0" xfId="0">
      <alignment horizontal="center" vertical="center"/>
    </xf>
    <xf numFmtId="0" fontId="79" fillId="0" borderId="39" applyAlignment="1" pivotButton="0" quotePrefix="0" xfId="0">
      <alignment horizontal="left" wrapText="1"/>
    </xf>
    <xf numFmtId="0" fontId="75" fillId="0" borderId="39" applyAlignment="1" pivotButton="0" quotePrefix="0" xfId="0">
      <alignment horizontal="center"/>
    </xf>
    <xf numFmtId="0" fontId="76" fillId="63" borderId="39" applyAlignment="1" pivotButton="0" quotePrefix="0" xfId="0">
      <alignment horizontal="center"/>
    </xf>
    <xf numFmtId="0" fontId="76" fillId="58" borderId="39" applyAlignment="1" pivotButton="0" quotePrefix="0" xfId="0">
      <alignment horizontal="center"/>
    </xf>
    <xf numFmtId="0" fontId="76" fillId="62" borderId="39" applyAlignment="1" pivotButton="0" quotePrefix="0" xfId="0">
      <alignment horizontal="center"/>
    </xf>
    <xf numFmtId="0" fontId="76" fillId="57" borderId="39" applyAlignment="1" pivotButton="0" quotePrefix="0" xfId="0">
      <alignment horizontal="center"/>
    </xf>
    <xf numFmtId="0" fontId="78" fillId="0" borderId="39" applyAlignment="1" pivotButton="0" quotePrefix="0" xfId="0">
      <alignment horizontal="center"/>
    </xf>
    <xf numFmtId="0" fontId="73" fillId="57" borderId="39" applyAlignment="1" pivotButton="0" quotePrefix="0" xfId="0">
      <alignment horizontal="center"/>
    </xf>
    <xf numFmtId="0" fontId="73" fillId="58" borderId="39" applyAlignment="1" pivotButton="0" quotePrefix="0" xfId="0">
      <alignment horizontal="center"/>
    </xf>
    <xf numFmtId="0" fontId="0" fillId="0" borderId="39" applyAlignment="1" pivotButton="0" quotePrefix="0" xfId="0">
      <alignment vertical="top" wrapText="1"/>
    </xf>
    <xf numFmtId="0" fontId="77" fillId="0" borderId="39" applyAlignment="1" pivotButton="0" quotePrefix="0" xfId="0">
      <alignment horizontal="center"/>
    </xf>
    <xf numFmtId="0" fontId="16" fillId="15" borderId="39" applyAlignment="1" pivotButton="0" quotePrefix="0" xfId="0">
      <alignment horizontal="center" vertical="center"/>
    </xf>
    <xf numFmtId="0" fontId="4" fillId="2" borderId="39" applyAlignment="1" pivotButton="0" quotePrefix="0" xfId="0">
      <alignment horizontal="center" vertical="center" wrapText="1"/>
    </xf>
    <xf numFmtId="0" fontId="5" fillId="0" borderId="39" applyAlignment="1" pivotButton="0" quotePrefix="0" xfId="0">
      <alignment horizontal="center" vertical="center"/>
    </xf>
    <xf numFmtId="0" fontId="6" fillId="0" borderId="39" applyAlignment="1" pivotButton="0" quotePrefix="0" xfId="0">
      <alignment horizontal="center" vertical="center"/>
    </xf>
    <xf numFmtId="0" fontId="10" fillId="0" borderId="39" applyAlignment="1" pivotButton="0" quotePrefix="0" xfId="0">
      <alignment horizontal="center" vertical="center"/>
    </xf>
    <xf numFmtId="0" fontId="11" fillId="0" borderId="39" applyAlignment="1" pivotButton="0" quotePrefix="0" xfId="0">
      <alignment horizontal="center" vertical="center"/>
    </xf>
    <xf numFmtId="0" fontId="7" fillId="3" borderId="39" applyAlignment="1" pivotButton="0" quotePrefix="0" xfId="0">
      <alignment horizontal="center" vertical="center"/>
    </xf>
    <xf numFmtId="0" fontId="8" fillId="0" borderId="39" applyAlignment="1" pivotButton="0" quotePrefix="0" xfId="0">
      <alignment horizontal="center" vertical="center"/>
    </xf>
    <xf numFmtId="0" fontId="9" fillId="0" borderId="39" applyAlignment="1" pivotButton="0" quotePrefix="0" xfId="0">
      <alignment horizontal="center" vertical="center"/>
    </xf>
    <xf numFmtId="0" fontId="46" fillId="0" borderId="39" pivotButton="0" quotePrefix="0" xfId="0"/>
    <xf numFmtId="0" fontId="16" fillId="26" borderId="39" applyAlignment="1" pivotButton="0" quotePrefix="0" xfId="0">
      <alignment horizontal="center" vertical="center"/>
    </xf>
    <xf numFmtId="0" fontId="47" fillId="0" borderId="39" pivotButton="0" quotePrefix="0" xfId="0"/>
    <xf numFmtId="0" fontId="52" fillId="0" borderId="39" pivotButton="0" quotePrefix="0" xfId="0"/>
    <xf numFmtId="0" fontId="16" fillId="20" borderId="39" applyAlignment="1" pivotButton="0" quotePrefix="0" xfId="0">
      <alignment horizontal="center" vertical="center"/>
    </xf>
    <xf numFmtId="0" fontId="53" fillId="0" borderId="39" pivotButton="0" quotePrefix="0" xfId="0"/>
    <xf numFmtId="0" fontId="16" fillId="14" borderId="39" applyAlignment="1" pivotButton="0" quotePrefix="0" xfId="0">
      <alignment horizontal="center" vertical="center"/>
    </xf>
    <xf numFmtId="0" fontId="16" fillId="29" borderId="39" applyAlignment="1" pivotButton="0" quotePrefix="0" xfId="0">
      <alignment horizontal="center" vertical="center"/>
    </xf>
    <xf numFmtId="0" fontId="12" fillId="4" borderId="39" applyAlignment="1" pivotButton="0" quotePrefix="0" xfId="0">
      <alignment horizontal="center" vertical="center"/>
    </xf>
    <xf numFmtId="0" fontId="13" fillId="0" borderId="39" pivotButton="0" quotePrefix="0" xfId="0"/>
    <xf numFmtId="0" fontId="0" fillId="0" borderId="46" applyAlignment="1" pivotButton="0" quotePrefix="0" xfId="0">
      <alignment vertical="top" wrapText="1"/>
    </xf>
    <xf numFmtId="0" fontId="0" fillId="0" borderId="2" pivotButton="0" quotePrefix="0" xfId="0"/>
    <xf numFmtId="0" fontId="0" fillId="0" borderId="4" pivotButton="0" quotePrefix="0" xfId="0"/>
    <xf numFmtId="0" fontId="0" fillId="0" borderId="3"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16" fillId="5" borderId="39" applyAlignment="1" pivotButton="0" quotePrefix="0" xfId="0">
      <alignment horizontal="center" vertical="center"/>
    </xf>
    <xf numFmtId="0" fontId="16" fillId="24" borderId="39" applyAlignment="1" pivotButton="0" quotePrefix="0" xfId="0">
      <alignment horizontal="center" vertical="center"/>
    </xf>
    <xf numFmtId="0" fontId="16" fillId="17" borderId="39" applyAlignment="1" pivotButton="0" quotePrefix="0" xfId="0">
      <alignment horizontal="center" vertical="center"/>
    </xf>
    <xf numFmtId="0" fontId="16" fillId="30" borderId="39" applyAlignment="1" pivotButton="0" quotePrefix="0" xfId="0">
      <alignment horizontal="center" vertical="center"/>
    </xf>
    <xf numFmtId="0" fontId="16" fillId="31" borderId="39" applyAlignment="1" pivotButton="0" quotePrefix="0" xfId="0">
      <alignment horizontal="center" vertical="center"/>
    </xf>
    <xf numFmtId="0" fontId="16" fillId="25" borderId="39" applyAlignment="1" pivotButton="0" quotePrefix="0" xfId="0">
      <alignment horizontal="center" vertical="center"/>
    </xf>
    <xf numFmtId="0" fontId="16" fillId="32" borderId="39" applyAlignment="1" pivotButton="0" quotePrefix="0" xfId="0">
      <alignment horizontal="center" vertical="center"/>
    </xf>
    <xf numFmtId="0" fontId="16" fillId="33" borderId="39" applyAlignment="1" pivotButton="0" quotePrefix="0" xfId="0">
      <alignment horizontal="center" vertical="center"/>
    </xf>
    <xf numFmtId="0" fontId="16" fillId="23" borderId="39" applyAlignment="1" pivotButton="0" quotePrefix="0" xfId="0">
      <alignment horizontal="center" vertical="center"/>
    </xf>
    <xf numFmtId="0" fontId="18" fillId="0" borderId="39" pivotButton="0" quotePrefix="0" xfId="0"/>
    <xf numFmtId="0" fontId="12" fillId="6" borderId="39" applyAlignment="1" pivotButton="0" quotePrefix="0" xfId="0">
      <alignment horizontal="center" vertical="center"/>
    </xf>
    <xf numFmtId="0" fontId="26" fillId="0" borderId="39" pivotButton="0" quotePrefix="0" xfId="0"/>
    <xf numFmtId="0" fontId="14" fillId="8" borderId="48" applyAlignment="1" pivotButton="0" quotePrefix="0" xfId="0">
      <alignment horizontal="center" vertical="center"/>
    </xf>
    <xf numFmtId="0" fontId="14" fillId="8" borderId="9" applyAlignment="1" pivotButton="0" quotePrefix="0" xfId="0">
      <alignment horizontal="center" vertical="center"/>
    </xf>
    <xf numFmtId="0" fontId="14" fillId="8" borderId="10" applyAlignment="1" pivotButton="0" quotePrefix="0" xfId="0">
      <alignment horizontal="center" vertical="center"/>
    </xf>
    <xf numFmtId="0" fontId="14" fillId="9" borderId="48" applyAlignment="1" pivotButton="0" quotePrefix="0" xfId="0">
      <alignment horizontal="center" vertical="center"/>
    </xf>
    <xf numFmtId="0" fontId="14" fillId="9" borderId="9" applyAlignment="1" pivotButton="0" quotePrefix="0" xfId="0">
      <alignment horizontal="center" vertical="center"/>
    </xf>
    <xf numFmtId="0" fontId="14" fillId="9" borderId="10" applyAlignment="1" pivotButton="0" quotePrefix="0" xfId="0">
      <alignment horizontal="center" vertical="center"/>
    </xf>
    <xf numFmtId="0" fontId="14" fillId="5" borderId="48" applyAlignment="1" pivotButton="0" quotePrefix="0" xfId="0">
      <alignment horizontal="center" vertical="center"/>
    </xf>
    <xf numFmtId="0" fontId="14" fillId="5" borderId="9" applyAlignment="1" pivotButton="0" quotePrefix="0" xfId="0">
      <alignment horizontal="center" vertical="center"/>
    </xf>
    <xf numFmtId="0" fontId="14" fillId="5" borderId="10" applyAlignment="1" pivotButton="0" quotePrefix="0" xfId="0">
      <alignment horizontal="center" vertical="center"/>
    </xf>
    <xf numFmtId="0" fontId="14" fillId="4" borderId="48" applyAlignment="1" pivotButton="0" quotePrefix="0" xfId="0">
      <alignment horizontal="center" vertical="center"/>
    </xf>
    <xf numFmtId="0" fontId="14" fillId="4" borderId="9" applyAlignment="1" pivotButton="0" quotePrefix="0" xfId="0">
      <alignment horizontal="center" vertical="center"/>
    </xf>
    <xf numFmtId="0" fontId="14" fillId="4" borderId="10" applyAlignment="1" pivotButton="0" quotePrefix="0" xfId="0">
      <alignment horizontal="center" vertical="center"/>
    </xf>
    <xf numFmtId="0" fontId="16" fillId="9" borderId="39" applyAlignment="1" pivotButton="0" quotePrefix="0" xfId="0">
      <alignment horizontal="center" vertical="center"/>
    </xf>
    <xf numFmtId="0" fontId="16" fillId="10" borderId="39" applyAlignment="1" pivotButton="0" quotePrefix="0" xfId="0">
      <alignment horizontal="center" vertical="center"/>
    </xf>
    <xf numFmtId="0" fontId="25" fillId="9" borderId="46" applyAlignment="1" pivotButton="0" quotePrefix="0" xfId="0">
      <alignment horizontal="center" vertical="center"/>
    </xf>
    <xf numFmtId="0" fontId="0" fillId="0" borderId="9" pivotButton="0" quotePrefix="0" xfId="0"/>
    <xf numFmtId="0" fontId="0" fillId="0" borderId="10" pivotButton="0" quotePrefix="0" xfId="0"/>
    <xf numFmtId="0" fontId="24" fillId="11" borderId="46" applyAlignment="1" pivotButton="0" quotePrefix="0" xfId="0">
      <alignment horizontal="center" vertical="center"/>
    </xf>
    <xf numFmtId="0" fontId="28" fillId="0" borderId="39" applyAlignment="1" pivotButton="0" quotePrefix="0" xfId="0">
      <alignment horizontal="center" vertical="center"/>
    </xf>
    <xf numFmtId="0" fontId="27" fillId="0" borderId="39" pivotButton="0" quotePrefix="0" xfId="0"/>
    <xf numFmtId="0" fontId="14" fillId="8" borderId="46" applyAlignment="1" pivotButton="0" quotePrefix="0" xfId="0">
      <alignment horizontal="center" vertical="center"/>
    </xf>
    <xf numFmtId="0" fontId="31" fillId="0" borderId="39" pivotButton="0" quotePrefix="0" xfId="0"/>
    <xf numFmtId="0" fontId="14" fillId="10" borderId="46" applyAlignment="1" pivotButton="0" quotePrefix="0" xfId="0">
      <alignment horizontal="center" vertical="center"/>
    </xf>
    <xf numFmtId="0" fontId="28" fillId="0" borderId="39" pivotButton="0" quotePrefix="0" xfId="0"/>
    <xf numFmtId="0" fontId="25" fillId="4" borderId="46" applyAlignment="1" pivotButton="0" quotePrefix="0" xfId="0">
      <alignment horizontal="center" vertical="center"/>
    </xf>
    <xf numFmtId="0" fontId="25" fillId="5" borderId="46" applyAlignment="1" pivotButton="0" quotePrefix="0" xfId="0">
      <alignment horizontal="center" vertical="center"/>
    </xf>
    <xf numFmtId="0" fontId="36" fillId="0" borderId="39" pivotButton="0" quotePrefix="0" xfId="0"/>
    <xf numFmtId="0" fontId="16" fillId="13" borderId="39" applyAlignment="1" pivotButton="0" quotePrefix="0" xfId="0">
      <alignment horizontal="center" vertical="center"/>
    </xf>
    <xf numFmtId="0" fontId="1" fillId="0" borderId="39" pivotButton="0" quotePrefix="0" xfId="0"/>
    <xf numFmtId="0" fontId="37" fillId="0" borderId="39" pivotButton="0" quotePrefix="0" xfId="0"/>
    <xf numFmtId="0" fontId="39" fillId="0" borderId="39" pivotButton="0" quotePrefix="0" xfId="0"/>
    <xf numFmtId="0" fontId="38" fillId="0" borderId="39" pivotButton="0" quotePrefix="0" xfId="0"/>
    <xf numFmtId="0" fontId="40" fillId="0" borderId="39" pivotButton="0" quotePrefix="0" xfId="0"/>
    <xf numFmtId="0" fontId="16" fillId="16" borderId="39" applyAlignment="1" pivotButton="0" quotePrefix="0" xfId="0">
      <alignment horizontal="center" vertical="center"/>
    </xf>
    <xf numFmtId="0" fontId="41" fillId="0" borderId="39" pivotButton="0" quotePrefix="0" xfId="0"/>
    <xf numFmtId="0" fontId="42" fillId="0" borderId="39" pivotButton="0" quotePrefix="0" xfId="0"/>
    <xf numFmtId="0" fontId="0" fillId="0" borderId="46" applyAlignment="1" pivotButton="0" quotePrefix="0" xfId="0">
      <alignment horizontal="left"/>
    </xf>
    <xf numFmtId="0" fontId="43" fillId="0" borderId="39" pivotButton="0" quotePrefix="0" xfId="0"/>
    <xf numFmtId="0" fontId="16" fillId="18" borderId="39" applyAlignment="1" pivotButton="0" quotePrefix="0" xfId="0">
      <alignment horizontal="center" vertical="center"/>
    </xf>
    <xf numFmtId="0" fontId="16" fillId="19" borderId="39" applyAlignment="1" pivotButton="0" quotePrefix="0" xfId="0">
      <alignment horizontal="center" vertical="center"/>
    </xf>
    <xf numFmtId="0" fontId="16" fillId="21" borderId="39" applyAlignment="1" pivotButton="0" quotePrefix="0" xfId="0">
      <alignment horizontal="center" vertical="center"/>
    </xf>
    <xf numFmtId="0" fontId="45" fillId="0" borderId="39" pivotButton="0" quotePrefix="0" xfId="0"/>
    <xf numFmtId="0" fontId="16" fillId="22" borderId="39" applyAlignment="1" pivotButton="0" quotePrefix="0" xfId="0">
      <alignment horizontal="center" vertical="center"/>
    </xf>
    <xf numFmtId="0" fontId="41" fillId="3" borderId="39" applyAlignment="1" pivotButton="0" quotePrefix="0" xfId="0">
      <alignment horizontal="left" vertical="top" wrapText="1"/>
    </xf>
    <xf numFmtId="0" fontId="51" fillId="0" borderId="39" applyAlignment="1" pivotButton="0" quotePrefix="0" xfId="0">
      <alignment horizontal="left" vertical="top" wrapText="1"/>
    </xf>
    <xf numFmtId="0" fontId="49" fillId="3" borderId="39" applyAlignment="1" pivotButton="0" quotePrefix="0" xfId="0">
      <alignment horizontal="left" vertical="top" wrapText="1"/>
    </xf>
    <xf numFmtId="0" fontId="12" fillId="27" borderId="39" applyAlignment="1" pivotButton="0" quotePrefix="0" xfId="0">
      <alignment horizontal="center" vertical="center"/>
    </xf>
    <xf numFmtId="0" fontId="50" fillId="0" borderId="39" applyAlignment="1" pivotButton="0" quotePrefix="0" xfId="0">
      <alignment horizontal="left" vertical="top" wrapText="1"/>
    </xf>
    <xf numFmtId="0" fontId="48" fillId="3" borderId="39" applyAlignment="1" pivotButton="0" quotePrefix="0" xfId="0">
      <alignment horizontal="left" vertical="top" wrapText="1"/>
    </xf>
    <xf numFmtId="0" fontId="16" fillId="28" borderId="39" applyAlignment="1" pivotButton="0" quotePrefix="0" xfId="0">
      <alignment horizontal="center" vertical="center"/>
    </xf>
    <xf numFmtId="0" fontId="0" fillId="0" borderId="47" applyAlignment="1" pivotButton="0" quotePrefix="0" xfId="0">
      <alignment vertical="top" wrapText="1"/>
    </xf>
    <xf numFmtId="0" fontId="14" fillId="8" borderId="47" applyAlignment="1" pivotButton="0" quotePrefix="0" xfId="0">
      <alignment horizontal="center" vertical="center"/>
    </xf>
    <xf numFmtId="0" fontId="14" fillId="9" borderId="47" applyAlignment="1" pivotButton="0" quotePrefix="0" xfId="0">
      <alignment horizontal="center" vertical="center"/>
    </xf>
    <xf numFmtId="0" fontId="14" fillId="5" borderId="47" applyAlignment="1" pivotButton="0" quotePrefix="0" xfId="0">
      <alignment horizontal="center" vertical="center"/>
    </xf>
    <xf numFmtId="0" fontId="14" fillId="4" borderId="47" applyAlignment="1" pivotButton="0" quotePrefix="0" xfId="0">
      <alignment horizontal="center" vertical="center"/>
    </xf>
    <xf numFmtId="0" fontId="24" fillId="11" borderId="47" applyAlignment="1" pivotButton="0" quotePrefix="0" xfId="0">
      <alignment horizontal="center" vertical="center"/>
    </xf>
    <xf numFmtId="0" fontId="14" fillId="10" borderId="47" applyAlignment="1" pivotButton="0" quotePrefix="0" xfId="0">
      <alignment horizontal="center" vertical="center"/>
    </xf>
    <xf numFmtId="0" fontId="25" fillId="9" borderId="47" applyAlignment="1" pivotButton="0" quotePrefix="0" xfId="0">
      <alignment horizontal="center" vertical="center"/>
    </xf>
    <xf numFmtId="0" fontId="25" fillId="5" borderId="47" applyAlignment="1" pivotButton="0" quotePrefix="0" xfId="0">
      <alignment horizontal="center" vertical="center"/>
    </xf>
    <xf numFmtId="0" fontId="25" fillId="4" borderId="47" applyAlignment="1" pivotButton="0" quotePrefix="0" xfId="0">
      <alignment horizontal="center" vertical="center"/>
    </xf>
    <xf numFmtId="0" fontId="0" fillId="0" borderId="47" applyAlignment="1" pivotButton="0" quotePrefix="0" xfId="0">
      <alignment horizontal="left"/>
    </xf>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styles" Target="styles.xml" Id="rId52"/><Relationship Type="http://schemas.openxmlformats.org/officeDocument/2006/relationships/theme" Target="theme/theme1.xml" Id="rId53"/><Relationship Type="http://schemas.microsoft.com/office/2006/relationships/vbaProject" Target="vbaProject.bin" Id="rId54"/></Relationships>
</file>

<file path=xl/comments/comment1.xml><?xml version="1.0" encoding="utf-8"?>
<comments xmlns="http://schemas.openxmlformats.org/spreadsheetml/2006/main">
  <authors>
    <author>SGSI</author>
  </authors>
  <commentList>
    <comment ref="Y3" authorId="0" shapeId="0">
      <text>
        <t>Ingrese el código MITRE relacionado (ej: T0800)
Consulte la hoja MITRE_Ataques para ver todas las técnicas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_rels/sheet3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Hoja1">
    <tabColor rgb="FF0066CC"/>
    <outlinePr summaryBelow="1" summaryRight="1"/>
    <pageSetUpPr fitToPage="1"/>
  </sheetPr>
  <dimension ref="A1:S50"/>
  <sheetViews>
    <sheetView showGridLines="0" topLeftCell="A4" workbookViewId="0">
      <selection activeCell="A1" sqref="A1:J1"/>
    </sheetView>
  </sheetViews>
  <sheetFormatPr baseColWidth="10" defaultColWidth="9.140625" defaultRowHeight="15"/>
  <cols>
    <col width="3" customWidth="1" style="146" min="1" max="1"/>
    <col width="2" customWidth="1" style="146" min="2" max="2"/>
    <col width="25" customWidth="1" style="146" min="3" max="4"/>
    <col width="2" customWidth="1" style="146" min="5" max="5"/>
    <col width="25" customWidth="1" style="146" min="6" max="7"/>
    <col width="2" customWidth="1" style="146" min="8" max="8"/>
    <col width="25" customWidth="1" style="146" min="9" max="9"/>
    <col width="35" customWidth="1" style="146" min="10" max="10"/>
    <col width="18" customWidth="1" style="146" min="11" max="11"/>
    <col width="12" customWidth="1" style="146" min="12" max="12"/>
    <col width="10" customWidth="1" style="146" min="13" max="13"/>
    <col width="18" customWidth="1" style="146" min="15" max="15"/>
    <col width="10" customWidth="1" style="146" min="16" max="16"/>
    <col width="9.28515625" bestFit="1" customWidth="1" style="146" min="17" max="17"/>
  </cols>
  <sheetData>
    <row r="1" ht="45" customHeight="1" s="146">
      <c r="A1" s="78" t="n"/>
      <c r="B1" s="78" t="n"/>
      <c r="C1" s="167" t="inlineStr">
        <is>
          <t>🎛️ PANEL DE CONTROL - SGSI v4.0</t>
        </is>
      </c>
      <c r="D1" s="150" t="n"/>
      <c r="E1" s="150" t="n"/>
      <c r="F1" s="150" t="n"/>
      <c r="G1" s="150" t="n"/>
      <c r="H1" s="150" t="n"/>
      <c r="I1" s="150" t="n"/>
      <c r="J1" s="151" t="n"/>
      <c r="K1" s="78" t="n"/>
      <c r="L1" s="78" t="n"/>
      <c r="M1" s="78" t="n"/>
      <c r="N1" s="78" t="n"/>
      <c r="O1" s="78" t="n"/>
      <c r="P1" s="78" t="n"/>
      <c r="Q1" s="78" t="n"/>
      <c r="R1" s="78" t="n"/>
      <c r="S1" s="78" t="n"/>
    </row>
    <row r="2" ht="24.95" customHeight="1" s="146">
      <c r="A2" s="78" t="n"/>
      <c r="B2" s="78" t="n"/>
      <c r="C2" s="174" t="inlineStr">
        <is>
          <t>Sistema de Gestión de Seguridad de la Información ISO 27001:2022</t>
        </is>
      </c>
      <c r="K2" s="78" t="n"/>
      <c r="L2" s="78" t="n"/>
      <c r="M2" s="78" t="n"/>
      <c r="N2" s="78" t="n"/>
      <c r="O2" s="78" t="n"/>
      <c r="P2" s="78" t="n"/>
      <c r="Q2" s="78" t="n"/>
      <c r="R2" s="78" t="n"/>
      <c r="S2" s="78" t="n"/>
    </row>
    <row r="3" ht="8.1" customHeight="1" s="146">
      <c r="A3" s="78" t="n"/>
      <c r="B3" s="78" t="n"/>
      <c r="C3" s="78" t="n"/>
      <c r="D3" s="78" t="n"/>
      <c r="E3" s="78" t="n"/>
      <c r="F3" s="78" t="n"/>
      <c r="G3" s="78" t="n"/>
      <c r="H3" s="78" t="n"/>
      <c r="I3" s="78" t="n"/>
      <c r="J3" s="78" t="n"/>
      <c r="K3" s="78" t="n"/>
      <c r="L3" s="78" t="n"/>
      <c r="M3" s="78" t="n"/>
      <c r="N3" s="78" t="n"/>
      <c r="O3" s="78" t="n"/>
      <c r="P3" s="78" t="n"/>
      <c r="Q3" s="78" t="n"/>
      <c r="R3" s="78" t="n"/>
      <c r="S3" s="78" t="n"/>
    </row>
    <row r="4" ht="30" customHeight="1" s="146">
      <c r="A4" s="78" t="n"/>
      <c r="B4" s="78" t="n"/>
      <c r="C4" s="164" t="inlineStr">
        <is>
          <t>🧭 NAVEGACIÓN RÁPIDA - 23 HOJAS PRINCIPALES</t>
        </is>
      </c>
      <c r="D4" s="165" t="n"/>
      <c r="E4" s="165" t="n"/>
      <c r="F4" s="165" t="n"/>
      <c r="G4" s="165" t="n"/>
      <c r="H4" s="165" t="n"/>
      <c r="I4" s="165" t="n"/>
      <c r="J4" s="166" t="n"/>
      <c r="K4" s="78" t="n"/>
      <c r="L4" s="78" t="n"/>
      <c r="M4" s="78" t="n"/>
      <c r="N4" s="78" t="n"/>
      <c r="O4" s="78" t="n"/>
      <c r="P4" s="78" t="n"/>
      <c r="Q4" s="78" t="n"/>
      <c r="R4" s="78" t="n"/>
      <c r="S4" s="78" t="n"/>
    </row>
    <row r="5" ht="21.95" customHeight="1" s="146">
      <c r="A5" s="78" t="n"/>
      <c r="B5" s="78" t="n"/>
      <c r="C5" s="79" t="inlineStr">
        <is>
          <t>📦 Inventario de Activos</t>
        </is>
      </c>
      <c r="D5" s="79" t="inlineStr">
        <is>
          <t>🏷️ Clasificación de Activos</t>
        </is>
      </c>
      <c r="E5" s="78" t="n"/>
      <c r="F5" s="79" t="inlineStr">
        <is>
          <t>💰 Valoración de Activos</t>
        </is>
      </c>
      <c r="G5" s="79" t="inlineStr">
        <is>
          <t>⚠️ Identificación de Riesgos</t>
        </is>
      </c>
      <c r="H5" s="78" t="n"/>
      <c r="I5" s="78" t="n"/>
      <c r="J5" s="78" t="n"/>
      <c r="K5" s="149" t="inlineStr">
        <is>
          <t>📊 ESTADÍSTICAS DE ACTIVOS</t>
        </is>
      </c>
      <c r="L5" s="150" t="n"/>
      <c r="M5" s="151" t="n"/>
      <c r="N5" s="78" t="n"/>
      <c r="O5" s="138" t="inlineStr">
        <is>
          <t>🛡️ MITRE ATT&amp;CK ICS DASHBOARD</t>
        </is>
      </c>
      <c r="P5" s="244" t="n"/>
      <c r="Q5" s="245" t="n"/>
      <c r="R5" s="78" t="n"/>
      <c r="S5" s="78" t="n"/>
    </row>
    <row r="6" ht="21.95" customHeight="1" s="146">
      <c r="A6" s="78" t="n"/>
      <c r="B6" s="78" t="n"/>
      <c r="C6" s="79" t="inlineStr">
        <is>
          <t>📊 Análisis de Riesgos</t>
        </is>
      </c>
      <c r="D6" s="79" t="inlineStr">
        <is>
          <t>🎯 Evaluación de Riesgos</t>
        </is>
      </c>
      <c r="E6" s="78" t="n"/>
      <c r="F6" s="79" t="inlineStr">
        <is>
          <t>🛡️ Plan de Tratamiento</t>
        </is>
      </c>
      <c r="G6" s="79" t="inlineStr">
        <is>
          <t>📈 Seguimiento Tratamiento</t>
        </is>
      </c>
      <c r="H6" s="78" t="n"/>
      <c r="I6" s="78" t="n"/>
      <c r="J6" s="78" t="n"/>
      <c r="K6" s="109" t="inlineStr">
        <is>
          <t>INDICADOR</t>
        </is>
      </c>
      <c r="L6" s="109" t="inlineStr">
        <is>
          <t>CANTIDAD</t>
        </is>
      </c>
      <c r="M6" s="109" t="inlineStr">
        <is>
          <t>%</t>
        </is>
      </c>
      <c r="N6" s="78" t="n"/>
      <c r="O6" s="148" t="inlineStr">
        <is>
          <t>Framework de Ciberseguridad Industrial v17.1</t>
        </is>
      </c>
      <c r="P6" s="244" t="n"/>
      <c r="Q6" s="245" t="n"/>
      <c r="R6" s="78" t="n"/>
      <c r="S6" s="78" t="n"/>
    </row>
    <row r="7" ht="21.95" customHeight="1" s="146">
      <c r="A7" s="78" t="n"/>
      <c r="B7" s="78" t="n"/>
      <c r="C7" s="79" t="inlineStr">
        <is>
          <t>✅ Controles Implementados</t>
        </is>
      </c>
      <c r="D7" s="79" t="inlineStr">
        <is>
          <t>📋 Declaración Aplicabilidad</t>
        </is>
      </c>
      <c r="E7" s="78" t="n"/>
      <c r="F7" s="79" t="inlineStr">
        <is>
          <t>📜 Políticas de Seguridad</t>
        </is>
      </c>
      <c r="G7" s="79" t="inlineStr">
        <is>
          <t>⚙️ Procedimientos Operativos</t>
        </is>
      </c>
      <c r="H7" s="78" t="n"/>
      <c r="I7" s="78" t="n"/>
      <c r="J7" s="78" t="n"/>
      <c r="K7" s="110" t="inlineStr">
        <is>
          <t>Total Activos</t>
        </is>
      </c>
      <c r="L7" s="111">
        <f>COUNTA(Activos!A2:A7)</f>
        <v/>
      </c>
      <c r="M7" s="112" t="inlineStr">
        <is>
          <t>100%</t>
        </is>
      </c>
      <c r="N7" s="78" t="n"/>
      <c r="O7" s="113" t="n"/>
      <c r="P7" s="113" t="n"/>
      <c r="Q7" s="113" t="n"/>
      <c r="R7" s="78" t="n"/>
      <c r="S7" s="78" t="n"/>
    </row>
    <row r="8" ht="21.95" customHeight="1" s="146">
      <c r="A8" s="78" t="n"/>
      <c r="B8" s="78" t="n"/>
      <c r="C8" s="79" t="inlineStr">
        <is>
          <t>👥 Roles y Responsabilidades</t>
        </is>
      </c>
      <c r="D8" s="79" t="inlineStr">
        <is>
          <t>📊 Indicadores KPI</t>
        </is>
      </c>
      <c r="E8" s="78" t="n"/>
      <c r="F8" s="79" t="inlineStr">
        <is>
          <t>🔍 Auditoría Interna</t>
        </is>
      </c>
      <c r="G8" s="79" t="inlineStr">
        <is>
          <t>👔 Revisión Dirección</t>
        </is>
      </c>
      <c r="H8" s="78" t="n"/>
      <c r="I8" s="78" t="n"/>
      <c r="J8" s="78" t="n"/>
      <c r="K8" s="110" t="inlineStr">
        <is>
          <t>Activos Críticos</t>
        </is>
      </c>
      <c r="L8" s="114">
        <f>COUNTIF(Activos!O2:O7,5)</f>
        <v/>
      </c>
      <c r="M8" s="115">
        <f>IF(L7&gt;0,ROUND((L8/L7)*100,1)&amp;"%","0%")</f>
        <v/>
      </c>
      <c r="N8" s="78" t="n"/>
      <c r="O8" s="116" t="inlineStr">
        <is>
          <t>⚔️ TÉCNICAS</t>
        </is>
      </c>
      <c r="P8" s="117" t="n">
        <v>83</v>
      </c>
      <c r="Q8" s="118" t="inlineStr">
        <is>
          <t>técnicas</t>
        </is>
      </c>
      <c r="R8" s="78" t="n"/>
      <c r="S8" s="78" t="n"/>
    </row>
    <row r="9" ht="21.95" customHeight="1" s="146">
      <c r="A9" s="78" t="n"/>
      <c r="B9" s="78" t="n"/>
      <c r="C9" s="79" t="inlineStr">
        <is>
          <t>🚨 Incidentes de Seguridad</t>
        </is>
      </c>
      <c r="D9" s="79" t="inlineStr">
        <is>
          <t>🔄 Gestión de Cambios</t>
        </is>
      </c>
      <c r="E9" s="78" t="n"/>
      <c r="F9" s="79" t="inlineStr">
        <is>
          <t>🎓 Capacitación</t>
        </is>
      </c>
      <c r="G9" s="79" t="inlineStr">
        <is>
          <t>⚖️ Cumplimiento Legal</t>
        </is>
      </c>
      <c r="H9" s="78" t="n"/>
      <c r="I9" s="78" t="n"/>
      <c r="J9" s="78" t="n"/>
      <c r="K9" s="110" t="inlineStr">
        <is>
          <t>Activos IT</t>
        </is>
      </c>
      <c r="L9" s="111">
        <f>COUNTIF(Activos!C2:C7,"Hardware")</f>
        <v/>
      </c>
      <c r="M9" s="119">
        <f>IF(L7&gt;0,ROUND((L9/L7)*100,1)&amp;"%","0%")</f>
        <v/>
      </c>
      <c r="N9" s="78" t="n"/>
      <c r="O9" s="120" t="inlineStr">
        <is>
          <t>🛡️ MITIGACIONES</t>
        </is>
      </c>
      <c r="P9" s="121" t="n">
        <v>52</v>
      </c>
      <c r="Q9" s="118" t="inlineStr">
        <is>
          <t>controles</t>
        </is>
      </c>
      <c r="R9" s="78" t="n"/>
      <c r="S9" s="78" t="n"/>
    </row>
    <row r="10" ht="21.95" customHeight="1" s="146">
      <c r="A10" s="78" t="n"/>
      <c r="B10" s="78" t="n"/>
      <c r="C10" s="79" t="inlineStr">
        <is>
          <t>♻️ Mejora Continua</t>
        </is>
      </c>
      <c r="D10" s="79" t="inlineStr">
        <is>
          <t>📊 Dashboard Ejecutivo</t>
        </is>
      </c>
      <c r="E10" s="78" t="n"/>
      <c r="F10" s="79" t="inlineStr">
        <is>
          <t>📖 Instrucciones</t>
        </is>
      </c>
      <c r="G10" s="78" t="n"/>
      <c r="H10" s="78" t="n"/>
      <c r="I10" s="78" t="n"/>
      <c r="J10" s="78" t="n"/>
      <c r="K10" s="110" t="inlineStr">
        <is>
          <t>Activos OT</t>
        </is>
      </c>
      <c r="L10" s="111">
        <f>COUNTIF(Activos!C2:C7,"OT")</f>
        <v/>
      </c>
      <c r="M10" s="115">
        <f>IF(L7&gt;0,ROUND((L10/L7)*100,1)&amp;"%","0%")</f>
        <v/>
      </c>
      <c r="N10" s="78" t="n"/>
      <c r="O10" s="122" t="inlineStr">
        <is>
          <t>🏭 ASSETS ICS</t>
        </is>
      </c>
      <c r="P10" s="123" t="n">
        <v>14</v>
      </c>
      <c r="Q10" s="118" t="inlineStr">
        <is>
          <t>tipos</t>
        </is>
      </c>
      <c r="R10" s="78" t="n"/>
      <c r="S10" s="78" t="n"/>
    </row>
    <row r="11" ht="23.25" customHeight="1" s="146">
      <c r="A11" s="78" t="inlineStr">
        <is>
          <t>0'</t>
        </is>
      </c>
      <c r="B11" s="78" t="n"/>
      <c r="C11" s="78" t="n"/>
      <c r="D11" s="78" t="n"/>
      <c r="E11" s="78" t="n"/>
      <c r="F11" s="78" t="n"/>
      <c r="G11" s="78" t="n"/>
      <c r="H11" s="78" t="n"/>
      <c r="I11" s="78" t="n"/>
      <c r="J11" s="78" t="n"/>
      <c r="K11" s="110" t="inlineStr">
        <is>
          <t>Con MITRE</t>
        </is>
      </c>
      <c r="L11" s="124">
        <f>COUNTA(Activos!U2:U7)</f>
        <v/>
      </c>
      <c r="M11" s="125">
        <f>IF(L7&gt;0,ROUND((L11/L7)*100,1)&amp;"%","0%")</f>
        <v/>
      </c>
      <c r="N11" s="78" t="n"/>
      <c r="O11" s="113" t="n"/>
      <c r="P11" s="113" t="n"/>
      <c r="Q11" s="113" t="n"/>
      <c r="R11" s="78" t="n"/>
      <c r="S11" s="78" t="n"/>
    </row>
    <row r="12" ht="27.95" customHeight="1" s="146">
      <c r="A12" s="78" t="n"/>
      <c r="B12" s="78" t="n"/>
      <c r="C12" s="168" t="inlineStr">
        <is>
          <t>📦 MÓDULO DE GESTIÓN DE ACTIVOS</t>
        </is>
      </c>
      <c r="D12" s="169" t="n"/>
      <c r="E12" s="169" t="n"/>
      <c r="F12" s="169" t="n"/>
      <c r="G12" s="169" t="n"/>
      <c r="H12" s="169" t="n"/>
      <c r="I12" s="169" t="n"/>
      <c r="J12" s="170" t="n"/>
      <c r="K12" s="110" t="inlineStr">
        <is>
          <t>Sin MITRE</t>
        </is>
      </c>
      <c r="L12" s="126">
        <f>COUNTBLANK(Activos!U2:U7)</f>
        <v/>
      </c>
      <c r="M12" s="127">
        <f>IF(L7&gt;0,ROUND((L12/L7)*100,1)&amp;"%","0%")</f>
        <v/>
      </c>
      <c r="N12" s="78" t="n"/>
      <c r="O12" s="147" t="inlineStr">
        <is>
          <t>📊 COBERTURA</t>
        </is>
      </c>
      <c r="P12" s="244" t="n"/>
      <c r="Q12" s="245" t="n"/>
      <c r="R12" s="78" t="n"/>
      <c r="S12" s="78" t="n"/>
    </row>
    <row r="13" ht="21.95" customHeight="1" s="146">
      <c r="A13" s="78" t="n"/>
      <c r="B13" s="78" t="n"/>
      <c r="C13" s="78" t="n"/>
      <c r="D13" s="78" t="n"/>
      <c r="E13" s="78" t="n"/>
      <c r="F13" s="78" t="n"/>
      <c r="G13" s="78" t="n"/>
      <c r="H13" s="78" t="n"/>
      <c r="I13" s="144" t="inlineStr">
        <is>
          <t>▶ Ingresar Activo</t>
        </is>
      </c>
      <c r="J13" s="80" t="inlineStr">
        <is>
          <t>Formulario para agregar nuevo activo con validación automática de campos</t>
        </is>
      </c>
      <c r="K13" s="78" t="n"/>
      <c r="L13" s="78" t="n"/>
      <c r="M13" s="78" t="n"/>
      <c r="N13" s="78" t="n"/>
      <c r="O13" s="118" t="inlineStr">
        <is>
          <t>Activos mapeados:</t>
        </is>
      </c>
      <c r="P13" s="128">
        <f>COUNTA(Activos!U2:U7)</f>
        <v/>
      </c>
      <c r="Q13" s="129">
        <f>IF(L7&gt;0,ROUND((O13/L7)*100,1)&amp;"%","0%")</f>
        <v/>
      </c>
      <c r="R13" s="78" t="n"/>
      <c r="S13" s="78" t="n"/>
    </row>
    <row r="14" ht="21.95" customHeight="1" s="146">
      <c r="A14" s="78" t="n"/>
      <c r="B14" s="78" t="n"/>
      <c r="C14" s="78" t="n"/>
      <c r="D14" s="78" t="n"/>
      <c r="E14" s="78" t="n"/>
      <c r="F14" s="78" t="n"/>
      <c r="G14" s="78" t="n"/>
      <c r="H14" s="78" t="n"/>
      <c r="I14" s="144" t="inlineStr">
        <is>
          <t>▶ Generar Reporte</t>
        </is>
      </c>
      <c r="J14" s="80" t="inlineStr">
        <is>
          <t>Genera reporte filtrado de activos por categoría y criticidad</t>
        </is>
      </c>
      <c r="K14" s="145" t="inlineStr">
        <is>
          <t>🕒 Actualizado automáticamente</t>
        </is>
      </c>
      <c r="N14" s="78" t="n"/>
      <c r="O14" s="118" t="inlineStr">
        <is>
          <t>Riesgos con técnicas:</t>
        </is>
      </c>
      <c r="P14" s="130">
        <f>COUNTA(Matriz_Riesgos!Z2:Z6)</f>
        <v/>
      </c>
      <c r="Q14" s="118" t="inlineStr">
        <is>
          <t>mapeados</t>
        </is>
      </c>
      <c r="R14" s="78" t="n"/>
      <c r="S14" s="78" t="n"/>
    </row>
    <row r="15" ht="21.95" customHeight="1" s="146">
      <c r="A15" s="78" t="n"/>
      <c r="B15" s="78" t="n"/>
      <c r="C15" s="78" t="n"/>
      <c r="D15" s="78" t="n"/>
      <c r="E15" s="78" t="n"/>
      <c r="F15" s="78" t="n"/>
      <c r="G15" s="78" t="n"/>
      <c r="H15" s="78" t="n"/>
      <c r="I15" s="144" t="inlineStr">
        <is>
          <t>▶ Exportar CSV</t>
        </is>
      </c>
      <c r="J15" s="80" t="inlineStr">
        <is>
          <t>Exporta inventario completo a formato CSV para integración</t>
        </is>
      </c>
      <c r="K15" s="78" t="n"/>
      <c r="L15" s="78" t="n"/>
      <c r="M15" s="78" t="n"/>
      <c r="N15" s="78" t="n"/>
      <c r="O15" s="113" t="n"/>
      <c r="P15" s="113" t="n"/>
      <c r="Q15" s="113" t="n"/>
      <c r="R15" s="78" t="n"/>
      <c r="S15" s="78" t="n"/>
    </row>
    <row r="16" ht="21.95" customHeight="1" s="146">
      <c r="A16" s="78" t="n"/>
      <c r="B16" s="78" t="n"/>
      <c r="C16" s="78" t="n"/>
      <c r="D16" s="78" t="n"/>
      <c r="E16" s="78" t="n"/>
      <c r="F16" s="78" t="n"/>
      <c r="G16" s="78" t="n"/>
      <c r="H16" s="78" t="n"/>
      <c r="I16" s="144" t="inlineStr">
        <is>
          <t>▶ Actualizar Propietarios</t>
        </is>
      </c>
      <c r="J16" s="80" t="inlineStr">
        <is>
          <t>Actualiza responsable/propietario de múltiples activos</t>
        </is>
      </c>
      <c r="K16" s="78" t="n"/>
      <c r="L16" s="78" t="n"/>
      <c r="M16" s="78" t="n"/>
      <c r="N16" s="78" t="n"/>
      <c r="O16" s="159" t="inlineStr">
        <is>
          <t>🔗 Ver Hojas MITRE</t>
        </is>
      </c>
      <c r="P16" s="244" t="n"/>
      <c r="Q16" s="245" t="n"/>
      <c r="R16" s="78" t="n"/>
      <c r="S16" s="78" t="n"/>
    </row>
    <row r="17" ht="21.95" customHeight="1" s="146">
      <c r="A17" s="78" t="n"/>
      <c r="B17" s="78" t="n"/>
      <c r="C17" s="78" t="n"/>
      <c r="D17" s="78" t="n"/>
      <c r="E17" s="78" t="n"/>
      <c r="F17" s="78" t="n"/>
      <c r="G17" s="78" t="n"/>
      <c r="H17" s="78" t="n"/>
      <c r="I17" s="144" t="inlineStr">
        <is>
          <t>▶ Calcular Valor</t>
        </is>
      </c>
      <c r="J17" s="80" t="inlineStr">
        <is>
          <t>Calcula valor del activo según clasificación C+I+D y criticidad</t>
        </is>
      </c>
      <c r="K17" s="78" t="n"/>
      <c r="L17" s="78" t="n"/>
      <c r="M17" s="78" t="n"/>
      <c r="N17" s="78" t="n"/>
      <c r="O17" s="78" t="n"/>
      <c r="P17" s="78" t="n"/>
      <c r="Q17" s="78" t="n"/>
      <c r="R17" s="78" t="n"/>
      <c r="S17" s="78" t="n"/>
    </row>
    <row r="18" ht="21.95" customHeight="1" s="146">
      <c r="A18" s="78" t="n"/>
      <c r="B18" s="78" t="n"/>
      <c r="C18" s="78" t="n"/>
      <c r="D18" s="78" t="n"/>
      <c r="E18" s="78" t="n"/>
      <c r="F18" s="78" t="n"/>
      <c r="G18" s="78" t="n"/>
      <c r="H18" s="78" t="n"/>
      <c r="I18" s="144" t="inlineStr">
        <is>
          <t>▶ Validar Duplicados</t>
        </is>
      </c>
      <c r="J18" s="80" t="inlineStr">
        <is>
          <t>Busca y resalta activos duplicados para limpieza preventiva</t>
        </is>
      </c>
      <c r="K18" s="78" t="n"/>
      <c r="L18" s="78" t="n"/>
      <c r="M18" s="78" t="n"/>
      <c r="N18" s="78" t="n"/>
      <c r="O18" s="78" t="n"/>
      <c r="P18" s="78" t="n"/>
      <c r="Q18" s="78" t="n"/>
      <c r="R18" s="78" t="n"/>
      <c r="S18" s="78" t="n"/>
    </row>
    <row r="19" ht="21.95" customHeight="1" s="146">
      <c r="A19" s="78" t="n"/>
      <c r="B19" s="78" t="n"/>
      <c r="C19" s="78" t="n"/>
      <c r="D19" s="78" t="n"/>
      <c r="E19" s="78" t="n"/>
      <c r="F19" s="78" t="n"/>
      <c r="G19" s="78" t="n"/>
      <c r="H19" s="78" t="n"/>
      <c r="I19" s="144" t="inlineStr">
        <is>
          <t>▶ Eliminar Activo</t>
        </is>
      </c>
      <c r="J19" s="80" t="inlineStr">
        <is>
          <t>Elimina activo seleccionado con confirmación (al día con backups)</t>
        </is>
      </c>
      <c r="K19" s="78" t="n"/>
      <c r="L19" s="78" t="n"/>
      <c r="M19" s="78" t="n"/>
      <c r="N19" s="78" t="n"/>
      <c r="O19" s="78" t="n"/>
      <c r="P19" s="78" t="n"/>
      <c r="Q19" s="78" t="n"/>
      <c r="R19" s="78" t="n"/>
      <c r="S19" s="78" t="n"/>
    </row>
    <row r="20" ht="24" customHeight="1" s="146">
      <c r="A20" s="78" t="n"/>
      <c r="B20" s="78" t="n"/>
      <c r="C20" s="78" t="n"/>
      <c r="D20" s="78" t="n"/>
      <c r="E20" s="78" t="n"/>
      <c r="F20" s="78" t="n"/>
      <c r="G20" s="78" t="n"/>
      <c r="H20" s="78" t="n"/>
      <c r="I20" s="78" t="n"/>
      <c r="J20" s="78" t="n"/>
      <c r="K20" s="78" t="n"/>
      <c r="L20" s="78" t="n"/>
      <c r="M20" s="78" t="n"/>
      <c r="N20" s="78" t="n"/>
      <c r="O20" s="78" t="n"/>
      <c r="P20" s="78" t="n"/>
      <c r="Q20" s="78" t="n"/>
      <c r="R20" s="78" t="n"/>
      <c r="S20" s="78" t="n"/>
    </row>
    <row r="21" ht="27.95" customHeight="1" s="146">
      <c r="A21" s="78" t="n"/>
      <c r="B21" s="78" t="n"/>
      <c r="C21" s="171" t="inlineStr">
        <is>
          <t>⚠️ MÓDULO DE GESTIÓN DE RIESGOS</t>
        </is>
      </c>
      <c r="D21" s="172" t="n"/>
      <c r="E21" s="172" t="n"/>
      <c r="F21" s="172" t="n"/>
      <c r="G21" s="172" t="n"/>
      <c r="H21" s="172" t="n"/>
      <c r="I21" s="172" t="n"/>
      <c r="J21" s="173" t="n"/>
      <c r="K21" s="78" t="n"/>
      <c r="L21" s="78" t="n"/>
      <c r="M21" s="78" t="n"/>
      <c r="N21" s="78" t="n"/>
      <c r="O21" s="78" t="n"/>
      <c r="P21" s="78" t="n"/>
      <c r="Q21" s="78" t="n"/>
      <c r="R21" s="78" t="n"/>
      <c r="S21" s="78" t="n"/>
    </row>
    <row r="22" ht="21.95" customHeight="1" s="146">
      <c r="A22" s="78" t="n"/>
      <c r="B22" s="78" t="n"/>
      <c r="C22" s="78" t="n"/>
      <c r="D22" s="78" t="n"/>
      <c r="E22" s="78" t="n"/>
      <c r="F22" s="78" t="n"/>
      <c r="G22" s="78" t="n"/>
      <c r="H22" s="78" t="n"/>
      <c r="I22" s="163" t="inlineStr">
        <is>
          <t>▶ Ingresar Riesgo</t>
        </is>
      </c>
      <c r="J22" s="80" t="inlineStr">
        <is>
          <t>Formulario para registrar nuevo riesgo con evaluación P×I</t>
        </is>
      </c>
      <c r="K22" s="78" t="n"/>
      <c r="L22" s="78" t="n"/>
      <c r="M22" s="78" t="n"/>
      <c r="N22" s="78" t="n"/>
      <c r="O22" s="78" t="n"/>
      <c r="P22" s="78" t="n"/>
      <c r="Q22" s="78" t="n"/>
      <c r="R22" s="78" t="n"/>
      <c r="S22" s="78" t="n"/>
    </row>
    <row r="23" ht="21.95" customHeight="1" s="146">
      <c r="A23" s="78" t="n"/>
      <c r="B23" s="78" t="n"/>
      <c r="C23" s="78" t="n"/>
      <c r="D23" s="78" t="n"/>
      <c r="E23" s="78" t="n"/>
      <c r="F23" s="78" t="n"/>
      <c r="G23" s="78" t="n"/>
      <c r="H23" s="78" t="n"/>
      <c r="I23" s="163" t="inlineStr">
        <is>
          <t>▶ Calcular Inherente</t>
        </is>
      </c>
      <c r="J23" s="80" t="inlineStr">
        <is>
          <t>Calcula riesgo inherente (Probabilidad × Impacto) automático</t>
        </is>
      </c>
      <c r="K23" s="78" t="n"/>
      <c r="L23" s="78" t="n"/>
      <c r="M23" s="78" t="n"/>
      <c r="N23" s="78" t="n"/>
      <c r="O23" s="78" t="n"/>
      <c r="P23" s="78" t="n"/>
      <c r="Q23" s="78" t="n"/>
      <c r="R23" s="78" t="n"/>
      <c r="S23" s="78" t="n"/>
    </row>
    <row r="24" ht="21.95" customHeight="1" s="146">
      <c r="A24" s="78" t="n"/>
      <c r="B24" s="78" t="n"/>
      <c r="C24" s="78" t="n"/>
      <c r="D24" s="78" t="n"/>
      <c r="E24" s="78" t="n"/>
      <c r="F24" s="78" t="n"/>
      <c r="G24" s="78" t="n"/>
      <c r="H24" s="78" t="n"/>
      <c r="I24" s="163" t="inlineStr">
        <is>
          <t>▶ Mapa de Calor</t>
        </is>
      </c>
      <c r="J24" s="80" t="inlineStr">
        <is>
          <t>Crea matriz visual 5×5 con distribución de riesgos por nivel</t>
        </is>
      </c>
      <c r="K24" s="78" t="n"/>
      <c r="L24" s="78" t="n"/>
      <c r="M24" s="78" t="n"/>
      <c r="N24" s="78" t="n"/>
      <c r="O24" s="78" t="n"/>
      <c r="P24" s="78" t="n"/>
      <c r="Q24" s="78" t="n"/>
      <c r="R24" s="78" t="n"/>
      <c r="S24" s="78" t="n"/>
    </row>
    <row r="25" ht="21.95" customHeight="1" s="146">
      <c r="A25" s="78" t="n"/>
      <c r="B25" s="78" t="n"/>
      <c r="C25" s="78" t="n"/>
      <c r="D25" s="78" t="n"/>
      <c r="E25" s="78" t="n"/>
      <c r="F25" s="78" t="n"/>
      <c r="G25" s="78" t="n"/>
      <c r="H25" s="78" t="n"/>
      <c r="I25" s="163" t="inlineStr">
        <is>
          <t>▶ Actualizar Residual</t>
        </is>
      </c>
      <c r="J25" s="80" t="inlineStr">
        <is>
          <t>Recalcula riesgo residual tras implementar controles</t>
        </is>
      </c>
      <c r="K25" s="78" t="n"/>
      <c r="L25" s="78" t="n"/>
      <c r="M25" s="78" t="n"/>
      <c r="N25" s="78" t="n"/>
      <c r="O25" s="78" t="n"/>
      <c r="P25" s="78" t="n"/>
      <c r="Q25" s="78" t="n"/>
      <c r="R25" s="78" t="n"/>
      <c r="S25" s="78" t="n"/>
    </row>
    <row r="26" ht="21.95" customHeight="1" s="146">
      <c r="A26" s="78" t="n"/>
      <c r="B26" s="78" t="n"/>
      <c r="C26" s="78" t="n"/>
      <c r="D26" s="78" t="n"/>
      <c r="E26" s="78" t="n"/>
      <c r="F26" s="78" t="n"/>
      <c r="G26" s="78" t="n"/>
      <c r="H26" s="78" t="n"/>
      <c r="I26" s="163" t="inlineStr">
        <is>
          <t>▶ Colorear Riesgos</t>
        </is>
      </c>
      <c r="J26" s="80" t="inlineStr">
        <is>
          <t>Aplica formato visual automático: Verde (1-5), Amarillo (6-12), Rojo (15-25)</t>
        </is>
      </c>
      <c r="K26" s="78" t="n"/>
      <c r="L26" s="78" t="n"/>
      <c r="M26" s="78" t="n"/>
      <c r="N26" s="78" t="n"/>
      <c r="O26" s="78" t="n"/>
      <c r="P26" s="78" t="n"/>
      <c r="Q26" s="78" t="n"/>
      <c r="R26" s="78" t="n"/>
      <c r="S26" s="78" t="n"/>
    </row>
    <row r="27" ht="5.1" customHeight="1" s="146">
      <c r="A27" s="78" t="n"/>
      <c r="B27" s="78" t="n"/>
      <c r="C27" s="78" t="n"/>
      <c r="D27" s="78" t="n"/>
      <c r="E27" s="78" t="n"/>
      <c r="F27" s="78" t="n"/>
      <c r="G27" s="78" t="n"/>
      <c r="H27" s="78" t="n"/>
      <c r="I27" s="78" t="n"/>
      <c r="J27" s="78" t="n"/>
      <c r="K27" s="78" t="n"/>
      <c r="L27" s="78" t="n"/>
      <c r="M27" s="78" t="n"/>
      <c r="N27" s="78" t="n"/>
      <c r="O27" s="78" t="n"/>
      <c r="P27" s="78" t="n"/>
      <c r="Q27" s="78" t="n"/>
      <c r="R27" s="78" t="n"/>
      <c r="S27" s="78" t="n"/>
    </row>
    <row r="28" ht="27.95" customHeight="1" s="146">
      <c r="A28" s="78" t="n"/>
      <c r="B28" s="78" t="n"/>
      <c r="C28" s="160" t="inlineStr">
        <is>
          <t>🛡️ MÓDULO DE TRATAMIENTO DE RIESGOS</t>
        </is>
      </c>
      <c r="D28" s="161" t="n"/>
      <c r="E28" s="161" t="n"/>
      <c r="F28" s="161" t="n"/>
      <c r="G28" s="161" t="n"/>
      <c r="H28" s="161" t="n"/>
      <c r="I28" s="161" t="n"/>
      <c r="J28" s="162" t="n"/>
      <c r="K28" s="78" t="n"/>
      <c r="L28" s="78" t="n"/>
      <c r="M28" s="78" t="n"/>
      <c r="N28" s="78" t="n"/>
      <c r="O28" s="78" t="n"/>
      <c r="P28" s="78" t="n"/>
      <c r="Q28" s="78" t="n"/>
      <c r="R28" s="78" t="n"/>
      <c r="S28" s="78" t="n"/>
    </row>
    <row r="29" ht="21.95" customHeight="1" s="146">
      <c r="A29" s="78" t="n"/>
      <c r="B29" s="78" t="n"/>
      <c r="C29" s="78" t="n"/>
      <c r="D29" s="78" t="n"/>
      <c r="E29" s="78" t="n"/>
      <c r="F29" s="78" t="n"/>
      <c r="G29" s="78" t="n"/>
      <c r="H29" s="78" t="n"/>
      <c r="I29" s="158" t="inlineStr">
        <is>
          <t>▶ Ingresar Tratamiento</t>
        </is>
      </c>
      <c r="J29" s="80" t="inlineStr">
        <is>
          <t>Genera plan de tratamiento para riesgos seleccionados con responsables</t>
        </is>
      </c>
      <c r="K29" s="78" t="n"/>
      <c r="L29" s="78" t="n"/>
      <c r="M29" s="78" t="n"/>
      <c r="N29" s="78" t="n"/>
      <c r="O29" s="78" t="n"/>
      <c r="P29" s="78" t="n"/>
      <c r="Q29" s="78" t="n"/>
      <c r="R29" s="78" t="n"/>
      <c r="S29" s="78" t="n"/>
    </row>
    <row r="30" ht="21.95" customHeight="1" s="146">
      <c r="A30" s="78" t="n"/>
      <c r="B30" s="78" t="n"/>
      <c r="C30" s="78" t="n"/>
      <c r="D30" s="78" t="n"/>
      <c r="E30" s="78" t="n"/>
      <c r="F30" s="78" t="n"/>
      <c r="G30" s="78" t="n"/>
      <c r="H30" s="78" t="n"/>
      <c r="I30" s="158" t="inlineStr">
        <is>
          <t>▶ Actualizar Estado</t>
        </is>
      </c>
      <c r="J30" s="80" t="inlineStr">
        <is>
          <t>Actualiza progreso de implementación (%) y estado actual</t>
        </is>
      </c>
      <c r="K30" s="78" t="n"/>
      <c r="L30" s="78" t="n"/>
      <c r="M30" s="78" t="n"/>
      <c r="N30" s="78" t="n"/>
      <c r="O30" s="78" t="n"/>
      <c r="P30" s="78" t="n"/>
      <c r="Q30" s="78" t="n"/>
      <c r="R30" s="78" t="n"/>
      <c r="S30" s="78" t="n"/>
    </row>
    <row r="31" ht="21.95" customHeight="1" s="146">
      <c r="A31" s="78" t="n"/>
      <c r="B31" s="78" t="n"/>
      <c r="C31" s="78" t="n"/>
      <c r="D31" s="78" t="n"/>
      <c r="E31" s="78" t="n"/>
      <c r="F31" s="78" t="n"/>
      <c r="G31" s="78" t="n"/>
      <c r="H31" s="78" t="n"/>
      <c r="I31" s="158" t="inlineStr">
        <is>
          <t>▶ Generar Informe</t>
        </is>
      </c>
      <c r="J31" s="80" t="inlineStr">
        <is>
          <t>Reporte ejecutivo de tratamientos por estado para dirección</t>
        </is>
      </c>
      <c r="K31" s="78" t="n"/>
      <c r="L31" s="78" t="n"/>
      <c r="M31" s="78" t="n"/>
      <c r="N31" s="78" t="n"/>
      <c r="O31" s="78" t="n"/>
      <c r="P31" s="78" t="n"/>
      <c r="Q31" s="78" t="n"/>
      <c r="R31" s="78" t="n"/>
      <c r="S31" s="78" t="n"/>
    </row>
    <row r="32" ht="5.1" customHeight="1" s="146">
      <c r="A32" s="78" t="inlineStr">
        <is>
          <t>Instrucciones!A1</t>
        </is>
      </c>
      <c r="B32" s="78" t="n"/>
      <c r="C32" s="78" t="inlineStr">
        <is>
          <t>Control_Documentos!A1</t>
        </is>
      </c>
      <c r="D32" s="78" t="n"/>
      <c r="E32" s="78" t="inlineStr">
        <is>
          <t>NDA_Proveedores!A1</t>
        </is>
      </c>
      <c r="F32" s="78" t="n"/>
      <c r="G32" s="78" t="n"/>
      <c r="H32" s="78" t="n"/>
      <c r="I32" s="78" t="n"/>
      <c r="J32" s="78" t="n"/>
      <c r="K32" s="78" t="n"/>
      <c r="L32" s="78" t="n"/>
      <c r="M32" s="78" t="n"/>
      <c r="N32" s="78" t="n"/>
      <c r="O32" s="78" t="n"/>
      <c r="P32" s="78" t="n"/>
      <c r="Q32" s="78" t="n"/>
      <c r="R32" s="78" t="n"/>
      <c r="S32" s="78" t="n"/>
    </row>
    <row r="33" ht="27.95" customHeight="1" s="146">
      <c r="A33" s="78" t="n"/>
      <c r="B33" s="78" t="n"/>
      <c r="C33" s="141" t="inlineStr">
        <is>
          <t>📊 MÓDULO DE REPORTES Y ANÁLISIS</t>
        </is>
      </c>
      <c r="D33" s="142" t="n"/>
      <c r="E33" s="142" t="n"/>
      <c r="F33" s="142" t="n"/>
      <c r="G33" s="142" t="n"/>
      <c r="H33" s="142" t="n"/>
      <c r="I33" s="142" t="n"/>
      <c r="J33" s="143" t="n"/>
      <c r="K33" s="78" t="n"/>
      <c r="L33" s="78" t="n"/>
      <c r="M33" s="78" t="n"/>
      <c r="N33" s="78" t="n"/>
      <c r="O33" s="78" t="n"/>
      <c r="P33" s="78" t="n"/>
      <c r="Q33" s="78" t="n"/>
      <c r="R33" s="78" t="n"/>
      <c r="S33" s="78" t="n"/>
    </row>
    <row r="34" ht="21.95" customHeight="1" s="146">
      <c r="A34" s="78" t="n"/>
      <c r="B34" s="78" t="n"/>
      <c r="C34" s="78" t="n"/>
      <c r="D34" s="78" t="n"/>
      <c r="E34" s="78" t="n"/>
      <c r="F34" s="78" t="n"/>
      <c r="G34" s="78" t="n"/>
      <c r="H34" s="78" t="n"/>
      <c r="I34" s="140" t="inlineStr">
        <is>
          <t>▶ Actualizar Dashboard</t>
        </is>
      </c>
      <c r="J34" s="80" t="inlineStr">
        <is>
          <t>Actualiza gráficos y métricas del Dashboard antes de reuniones</t>
        </is>
      </c>
      <c r="K34" s="78" t="inlineStr">
        <is>
          <t xml:space="preserve"> </t>
        </is>
      </c>
      <c r="L34" s="78" t="n"/>
      <c r="M34" s="78" t="n"/>
      <c r="N34" s="78" t="n"/>
      <c r="O34" s="78" t="n"/>
      <c r="P34" s="78" t="n"/>
      <c r="Q34" s="78" t="n"/>
      <c r="R34" s="78" t="n"/>
      <c r="S34" s="78" t="n"/>
    </row>
    <row r="35" ht="21.95" customHeight="1" s="146">
      <c r="A35" s="78" t="n"/>
      <c r="B35" s="78" t="n"/>
      <c r="C35" s="78" t="n"/>
      <c r="D35" s="78" t="n"/>
      <c r="E35" s="78" t="n"/>
      <c r="F35" s="78" t="n"/>
      <c r="G35" s="78" t="n"/>
      <c r="H35" s="78" t="n"/>
      <c r="I35" s="140" t="inlineStr">
        <is>
          <t>▶ Reporte Completo</t>
        </is>
      </c>
      <c r="J35" s="80" t="inlineStr">
        <is>
          <t>PDF ejecutivo con resumen completo del SGSI (7 hojas principales)</t>
        </is>
      </c>
      <c r="K35" s="78" t="n"/>
      <c r="L35" s="78" t="n"/>
      <c r="M35" s="78" t="n"/>
      <c r="N35" s="78" t="n"/>
      <c r="O35" s="78" t="n"/>
      <c r="P35" s="78" t="n"/>
      <c r="Q35" s="78" t="n"/>
      <c r="R35" s="78" t="n"/>
      <c r="S35" s="78" t="n"/>
    </row>
    <row r="36" ht="21.95" customHeight="1" s="146">
      <c r="A36" s="78" t="n"/>
      <c r="B36" s="78" t="n"/>
      <c r="C36" s="78" t="n"/>
      <c r="D36" s="78" t="n"/>
      <c r="E36" s="78" t="n"/>
      <c r="F36" s="78" t="n"/>
      <c r="G36" s="78" t="n"/>
      <c r="H36" s="78" t="n"/>
      <c r="I36" s="140" t="inlineStr">
        <is>
          <t>▶ Exportar Activos PDF</t>
        </is>
      </c>
      <c r="J36" s="80" t="inlineStr">
        <is>
          <t>Exporta solo inventario de activos a PDF con diseño profesional</t>
        </is>
      </c>
      <c r="K36" s="78" t="n"/>
      <c r="L36" s="78" t="n"/>
      <c r="M36" s="78" t="n"/>
      <c r="N36" s="78" t="n"/>
      <c r="O36" s="78" t="n"/>
      <c r="P36" s="78" t="n"/>
      <c r="Q36" s="78" t="n"/>
      <c r="R36" s="78" t="n"/>
      <c r="S36" s="78" t="n"/>
    </row>
    <row r="37" ht="21.95" customHeight="1" s="146">
      <c r="A37" s="78" t="n"/>
      <c r="B37" s="78" t="n"/>
      <c r="C37" s="78" t="n"/>
      <c r="D37" s="78" t="n"/>
      <c r="E37" s="78" t="n"/>
      <c r="F37" s="78" t="n"/>
      <c r="G37" s="78" t="n"/>
      <c r="H37" s="78" t="n"/>
      <c r="I37" s="140" t="inlineStr">
        <is>
          <t>▶ Validar ISO 27001</t>
        </is>
      </c>
      <c r="J37" s="80" t="inlineStr">
        <is>
          <t>Checklist de cumplimiento ISO 27001:2022 - Verifica controles A.5-A.8</t>
        </is>
      </c>
      <c r="K37" s="78" t="n"/>
      <c r="L37" s="78" t="n"/>
      <c r="M37" s="78" t="n"/>
      <c r="N37" s="78" t="n"/>
      <c r="O37" s="78" t="n"/>
      <c r="P37" s="78" t="n"/>
      <c r="Q37" s="78" t="n"/>
      <c r="R37" s="78" t="n"/>
      <c r="S37" s="78" t="n"/>
    </row>
    <row r="38" ht="5.1" customHeight="1" s="146">
      <c r="A38" s="78" t="n"/>
      <c r="B38" s="78" t="n"/>
      <c r="C38" s="78" t="n"/>
      <c r="D38" s="78" t="n"/>
      <c r="E38" s="78" t="n"/>
      <c r="F38" s="78" t="n"/>
      <c r="G38" s="78" t="n"/>
      <c r="H38" s="78" t="n"/>
      <c r="I38" s="78" t="n"/>
      <c r="J38" s="78" t="n"/>
      <c r="K38" s="78" t="n"/>
      <c r="L38" s="78" t="n"/>
      <c r="M38" s="78" t="n"/>
      <c r="N38" s="78" t="n"/>
      <c r="O38" s="78" t="n"/>
      <c r="P38" s="78" t="n"/>
      <c r="Q38" s="78" t="n"/>
      <c r="R38" s="78" t="n"/>
      <c r="S38" s="78" t="n"/>
    </row>
    <row r="39" ht="27.95" customHeight="1" s="146">
      <c r="A39" s="78" t="n"/>
      <c r="B39" s="78" t="n"/>
      <c r="C39" s="175" t="inlineStr">
        <is>
          <t>🔧 UTILIDADES DEL SISTEMA</t>
        </is>
      </c>
      <c r="D39" s="176" t="n"/>
      <c r="E39" s="176" t="n"/>
      <c r="F39" s="176" t="n"/>
      <c r="G39" s="176" t="n"/>
      <c r="H39" s="176" t="n"/>
      <c r="I39" s="176" t="n"/>
      <c r="J39" s="177" t="n"/>
      <c r="K39" s="78" t="n"/>
      <c r="L39" s="78" t="n"/>
      <c r="M39" s="78" t="n"/>
      <c r="N39" s="78" t="n"/>
      <c r="O39" s="78" t="n"/>
      <c r="P39" s="78" t="n"/>
      <c r="Q39" s="78" t="n"/>
      <c r="R39" s="78" t="n"/>
      <c r="S39" s="78" t="n"/>
    </row>
    <row r="40" ht="21.95" customHeight="1" s="146">
      <c r="A40" s="78" t="n"/>
      <c r="B40" s="78" t="n"/>
      <c r="C40" s="155" t="inlineStr">
        <is>
          <t>▶ Info Sistema</t>
        </is>
      </c>
      <c r="D40" s="156" t="n"/>
      <c r="E40" s="157" t="n"/>
      <c r="F40" s="78" t="n"/>
      <c r="G40" s="155" t="inlineStr">
        <is>
          <t>▶ Validar Estructura Excel</t>
        </is>
      </c>
      <c r="H40" s="156" t="n"/>
      <c r="I40" s="156" t="n"/>
      <c r="J40" s="157" t="n"/>
      <c r="K40" s="78" t="n"/>
      <c r="L40" s="78" t="n"/>
      <c r="M40" s="78" t="n"/>
      <c r="N40" s="78" t="n"/>
      <c r="O40" s="78" t="n"/>
      <c r="P40" s="78" t="n"/>
      <c r="Q40" s="78" t="n"/>
      <c r="R40" s="78" t="n"/>
      <c r="S40" s="78" t="n"/>
    </row>
    <row r="41" ht="8.1" customHeight="1" s="146">
      <c r="A41" s="78" t="n"/>
      <c r="B41" s="78" t="n"/>
      <c r="C41" s="78" t="n"/>
      <c r="D41" s="78" t="n"/>
      <c r="E41" s="78" t="n"/>
      <c r="F41" s="78" t="n"/>
      <c r="G41" s="78" t="n"/>
      <c r="H41" s="78" t="n"/>
      <c r="I41" s="78" t="n"/>
      <c r="J41" s="78" t="n"/>
      <c r="K41" s="78" t="n"/>
      <c r="L41" s="78" t="n"/>
      <c r="M41" s="78" t="n"/>
      <c r="N41" s="78" t="n"/>
      <c r="O41" s="78" t="n"/>
      <c r="P41" s="78" t="n"/>
      <c r="Q41" s="78" t="n"/>
      <c r="R41" s="78" t="n"/>
      <c r="S41" s="78" t="n"/>
    </row>
    <row r="42" ht="30" customHeight="1" s="146">
      <c r="A42" s="78" t="n"/>
      <c r="B42" s="78" t="n"/>
      <c r="C42" s="152" t="inlineStr">
        <is>
          <t>💡 Instrucciones: Haz clic en los hipervínculos azules para navegar | Ejecuta CrearBotonesAutomaticos_Simple() en VBA para crear botones</t>
        </is>
      </c>
      <c r="D42" s="153" t="n"/>
      <c r="E42" s="153" t="n"/>
      <c r="F42" s="153" t="n"/>
      <c r="G42" s="153" t="n"/>
      <c r="H42" s="153" t="n"/>
      <c r="I42" s="153" t="n"/>
      <c r="J42" s="154" t="n"/>
      <c r="K42" s="78" t="n"/>
      <c r="L42" s="78" t="n"/>
      <c r="M42" s="78" t="n"/>
      <c r="N42" s="78" t="n"/>
      <c r="O42" s="78" t="n"/>
      <c r="P42" s="78" t="n"/>
      <c r="Q42" s="78" t="n"/>
      <c r="R42" s="78" t="n"/>
      <c r="S42" s="78" t="n"/>
    </row>
    <row r="43">
      <c r="A43" s="78" t="n"/>
      <c r="B43" s="78" t="n"/>
      <c r="C43" s="78" t="n"/>
      <c r="D43" s="78" t="n"/>
      <c r="E43" s="78" t="n"/>
      <c r="F43" s="78" t="n"/>
      <c r="G43" s="78" t="n"/>
      <c r="H43" s="78" t="n"/>
      <c r="I43" s="78" t="n"/>
      <c r="J43" s="78" t="n"/>
      <c r="K43" s="78" t="n"/>
      <c r="L43" s="78" t="n"/>
      <c r="M43" s="78" t="n"/>
      <c r="N43" s="78" t="n"/>
      <c r="O43" s="78" t="n"/>
      <c r="P43" s="78" t="n"/>
      <c r="Q43" s="78" t="n"/>
      <c r="R43" s="78" t="n"/>
      <c r="S43" s="78" t="n"/>
    </row>
    <row r="44">
      <c r="A44" s="78" t="n"/>
      <c r="B44" s="78" t="n"/>
      <c r="C44" s="78" t="n"/>
      <c r="D44" s="78" t="n"/>
      <c r="E44" s="78" t="n"/>
      <c r="F44" s="78" t="n"/>
      <c r="G44" s="78" t="n"/>
      <c r="H44" s="78" t="n"/>
      <c r="I44" s="78" t="n"/>
      <c r="J44" s="78" t="n"/>
      <c r="K44" s="78" t="n"/>
      <c r="L44" s="78" t="n"/>
      <c r="M44" s="78" t="n"/>
      <c r="N44" s="78" t="n"/>
      <c r="O44" s="78" t="n"/>
      <c r="P44" s="78" t="n"/>
      <c r="Q44" s="78" t="n"/>
      <c r="R44" s="78" t="n"/>
      <c r="S44" s="78" t="n"/>
    </row>
    <row r="45">
      <c r="A45" s="78" t="n"/>
      <c r="B45" s="131" t="inlineStr">
        <is>
          <t>📅 Última actualización: 12/11/2025 05:11</t>
        </is>
      </c>
      <c r="C45" s="78" t="n"/>
      <c r="D45" s="78" t="n"/>
      <c r="E45" s="78" t="n"/>
      <c r="F45" s="78" t="n"/>
      <c r="G45" s="78" t="n"/>
      <c r="H45" s="78" t="n"/>
      <c r="I45" s="78" t="n"/>
      <c r="J45" s="78" t="n"/>
      <c r="K45" s="78" t="n"/>
      <c r="L45" s="78" t="n"/>
      <c r="M45" s="78" t="n"/>
      <c r="N45" s="78" t="n"/>
      <c r="O45" s="78" t="n"/>
      <c r="P45" s="78" t="n"/>
      <c r="Q45" s="78" t="n"/>
      <c r="R45" s="78" t="n"/>
      <c r="S45" s="78" t="n"/>
    </row>
    <row r="46">
      <c r="A46" s="78" t="n"/>
      <c r="B46" s="131" t="inlineStr">
        <is>
          <t>🔧 SGSI v4.0 + MITRE ATT&amp;CK ICS v17.1</t>
        </is>
      </c>
      <c r="C46" s="78" t="n"/>
      <c r="D46" s="78" t="n"/>
      <c r="E46" s="78" t="n"/>
      <c r="F46" s="78" t="n"/>
      <c r="G46" s="78" t="n"/>
      <c r="H46" s="78" t="n"/>
      <c r="I46" s="78" t="n"/>
      <c r="J46" s="78" t="n"/>
      <c r="K46" s="78" t="n"/>
      <c r="L46" s="78" t="n"/>
      <c r="M46" s="78" t="n"/>
      <c r="N46" s="78" t="n"/>
      <c r="O46" s="78" t="n"/>
      <c r="P46" s="78" t="n"/>
      <c r="Q46" s="78" t="n"/>
      <c r="R46" s="78" t="n"/>
      <c r="S46" s="78" t="n"/>
    </row>
    <row r="47">
      <c r="A47" s="78" t="n"/>
      <c r="B47" s="132" t="inlineStr">
        <is>
          <t>✅ Panel actualizado con integración MITRE completa</t>
        </is>
      </c>
      <c r="C47" s="78" t="n"/>
      <c r="D47" s="78" t="n"/>
      <c r="E47" s="78" t="n"/>
      <c r="F47" s="78" t="n"/>
      <c r="G47" s="78" t="n"/>
      <c r="H47" s="78" t="n"/>
      <c r="I47" s="78" t="n"/>
      <c r="J47" s="78" t="n"/>
      <c r="K47" s="78" t="n"/>
      <c r="L47" s="78" t="n"/>
      <c r="M47" s="78" t="n"/>
      <c r="N47" s="78" t="n"/>
      <c r="O47" s="78" t="n"/>
      <c r="P47" s="78" t="n"/>
      <c r="Q47" s="78" t="n"/>
      <c r="R47" s="78" t="n"/>
      <c r="S47" s="78" t="n"/>
    </row>
    <row r="48">
      <c r="A48" s="78" t="n"/>
      <c r="B48" s="78" t="n"/>
      <c r="C48" s="78" t="n"/>
      <c r="D48" s="78" t="n"/>
      <c r="E48" s="78" t="n"/>
      <c r="F48" s="78" t="n"/>
      <c r="G48" s="78" t="n"/>
      <c r="H48" s="78" t="n"/>
      <c r="I48" s="78" t="n"/>
      <c r="J48" s="78" t="n"/>
      <c r="K48" s="78" t="n"/>
      <c r="L48" s="78" t="n"/>
      <c r="M48" s="78" t="n"/>
      <c r="N48" s="78" t="n"/>
      <c r="O48" s="78" t="n"/>
      <c r="P48" s="78" t="n"/>
      <c r="Q48" s="78" t="n"/>
      <c r="R48" s="78" t="n"/>
      <c r="S48" s="78" t="n"/>
    </row>
    <row r="49">
      <c r="A49" s="78" t="n"/>
      <c r="B49" s="78" t="n"/>
      <c r="C49" s="78" t="n"/>
      <c r="D49" s="78" t="n"/>
      <c r="E49" s="78" t="n"/>
      <c r="F49" s="78" t="n"/>
      <c r="G49" s="78" t="n"/>
      <c r="H49" s="78" t="n"/>
      <c r="I49" s="78" t="n"/>
      <c r="J49" s="78" t="n"/>
      <c r="K49" s="78" t="n"/>
      <c r="L49" s="78" t="n"/>
      <c r="M49" s="78" t="n"/>
      <c r="N49" s="78" t="n"/>
      <c r="O49" s="78" t="n"/>
      <c r="P49" s="78" t="n"/>
      <c r="Q49" s="78" t="n"/>
      <c r="R49" s="78" t="n"/>
      <c r="S49" s="78" t="n"/>
    </row>
    <row r="50">
      <c r="A50" s="78" t="n"/>
      <c r="B50" s="78" t="n"/>
      <c r="C50" s="78" t="n"/>
      <c r="D50" s="78" t="n"/>
      <c r="E50" s="78" t="n"/>
      <c r="F50" s="78" t="n"/>
      <c r="G50" s="78" t="n"/>
      <c r="H50" s="78" t="n"/>
      <c r="I50" s="78" t="n"/>
      <c r="J50" s="78" t="n"/>
      <c r="K50" s="78" t="n"/>
      <c r="L50" s="78" t="n"/>
      <c r="M50" s="78" t="n"/>
      <c r="N50" s="78" t="n"/>
      <c r="O50" s="78" t="n"/>
      <c r="P50" s="78" t="n"/>
      <c r="Q50" s="78" t="n"/>
      <c r="R50" s="78" t="n"/>
      <c r="S50" s="78" t="n"/>
    </row>
  </sheetData>
  <mergeCells count="36">
    <mergeCell ref="I17"/>
    <mergeCell ref="O5:Q5"/>
    <mergeCell ref="I23"/>
    <mergeCell ref="I35"/>
    <mergeCell ref="C33:J33"/>
    <mergeCell ref="C42:J42"/>
    <mergeCell ref="C40:E40"/>
    <mergeCell ref="I29"/>
    <mergeCell ref="I19"/>
    <mergeCell ref="O16:Q16"/>
    <mergeCell ref="I13"/>
    <mergeCell ref="C4:J4"/>
    <mergeCell ref="G40:J40"/>
    <mergeCell ref="I31"/>
    <mergeCell ref="I34"/>
    <mergeCell ref="C1:J1"/>
    <mergeCell ref="K14:M14"/>
    <mergeCell ref="I30"/>
    <mergeCell ref="O12:Q12"/>
    <mergeCell ref="I15"/>
    <mergeCell ref="I36"/>
    <mergeCell ref="C12:J12"/>
    <mergeCell ref="C21:J21"/>
    <mergeCell ref="I26"/>
    <mergeCell ref="C2:J2"/>
    <mergeCell ref="I25"/>
    <mergeCell ref="I16"/>
    <mergeCell ref="C39:J39"/>
    <mergeCell ref="I22"/>
    <mergeCell ref="I37"/>
    <mergeCell ref="I18"/>
    <mergeCell ref="O6:Q6"/>
    <mergeCell ref="K5:M5"/>
    <mergeCell ref="C28:J28"/>
    <mergeCell ref="I24"/>
    <mergeCell ref="I14"/>
  </mergeCells>
  <hyperlinks>
    <hyperlink ref="C5" location="Activos!A1" display="📦 Inventario de Activos"/>
    <hyperlink ref="D5" location="Config_Categorias!A1" display="🏷️ Clasificación de Activos"/>
    <hyperlink ref="F5" location="Activos!A1" display="💰 Valoración de Activos"/>
    <hyperlink ref="G5" location="Matriz_Riesgos!A1" display="⚠️ Identificación de Riesgos"/>
    <hyperlink ref="C6" location="Analisis_Riesgos!A1" display="📊 Análisis de Riesgos"/>
    <hyperlink ref="D6" location="Matriz_Riesgos!A1" display="🎯 Evaluación de Riesgos"/>
    <hyperlink ref="F6" location="Plan_Tratamiento!A1" display="🛡️ Plan de Tratamiento"/>
    <hyperlink ref="G6" location="Plan_Tratamiento!A1" display="📈 Seguimiento Tratamiento"/>
    <hyperlink ref="C7" location="Controles_ISO27001!A1" display="✅ Controles Implementados"/>
    <hyperlink ref="D7" location="SoA!A1" display="📋 Declaración Aplicabilidad"/>
    <hyperlink ref="F7" location="Politicas_Seguridad!A1" display="📜 Políticas de Seguridad"/>
    <hyperlink ref="G7" location="Procedimientos!A1" display="⚙️ Procedimientos Operativos"/>
    <hyperlink ref="C8" location="Comite_Seguridad!A1" display="👥 Roles y Responsabilidades"/>
    <hyperlink ref="D8" location="Metricas_KPI!A1" display="📊 Indicadores KPI"/>
    <hyperlink ref="F8" location="Auditorias!A1" display="🔍 Auditoría Interna"/>
    <hyperlink ref="G8" location="Revision_Direccion!A1" display="👔 Revisión Dirección"/>
    <hyperlink ref="C9" location="Gestion_Incidentes!A1" display="🚨 Incidentes de Seguridad"/>
    <hyperlink ref="D9" location="Log_Acciones!A1" display="🔄 Gestión de Cambios"/>
    <hyperlink ref="F9" location="Plan_Formacion!A1" display="🎓 Capacitación"/>
    <hyperlink ref="G9" location="Controles_ISO27001!A1" display="⚖️ Cumplimiento Legal"/>
    <hyperlink ref="C10" location="Plan_Tratamiento!A1" display="♻️ Mejora Continua"/>
    <hyperlink ref="D10" location="Dashboard!A1" display="📊 Dashboard Ejecutivo"/>
    <hyperlink ref="F10" location="Instrucciones!A1" display="📖 Instrucciones"/>
    <hyperlink ref="O16" location="MITRE_Ataques!A1" display="🔗 Ver Hojas MITRE"/>
    <hyperlink ref="I22" location="Dashboard!A1" display="#Dashboard!A1"/>
    <hyperlink ref="A32" location="Instrucciones!A1" display="▶ Botón:"/>
    <hyperlink ref="C32" location="Control_Documentos!A1" display="#Control_Documentos!A1"/>
    <hyperlink ref="E32" location="NDA_Proveedores!A1" display="Verifica integridad de fórmulas y enlaces entre hojas (mantenimiento trimestral)."/>
  </hyperlinks>
  <printOptions gridLines="1"/>
  <pageMargins left="0.5" right="0.5" top="0.5" bottom="0.5" header="0.2992125984251969" footer="0.2992125984251969"/>
  <pageSetup orientation="landscape" scale="46" fitToHeight="0"/>
  <headerFooter>
    <oddHeader>&amp;L&amp;"Segoe UI,Bold"&amp;14 Panel_Control&amp;R&amp;"Segoe UI"&amp;10 Fecha: &amp;D</oddHeader>
    <oddFooter>&amp;L&amp;"Segoe UI"&amp;9 SGSI - ISO 27001:2022&amp;R&amp;"Segoe UI"&amp;9 Página &amp;P de &amp;N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Hoja46">
    <outlinePr summaryBelow="1" summaryRight="1"/>
    <pageSetUpPr/>
  </sheetPr>
  <dimension ref="A1:L84"/>
  <sheetViews>
    <sheetView workbookViewId="0">
      <selection activeCell="A1" sqref="A1"/>
    </sheetView>
  </sheetViews>
  <sheetFormatPr baseColWidth="10" defaultColWidth="9.140625" defaultRowHeight="15"/>
  <cols>
    <col width="12" customWidth="1" style="146" min="1" max="1"/>
    <col width="35" customWidth="1" style="146" min="2" max="2"/>
    <col width="25" customWidth="1" style="146" min="3" max="3"/>
    <col width="50" customWidth="1" style="146" min="4" max="4"/>
    <col width="20" customWidth="1" style="146" min="5" max="5"/>
    <col width="40" customWidth="1" style="146" min="6" max="6"/>
    <col width="45" customWidth="1" style="146" min="7" max="7"/>
    <col width="30" customWidth="1" style="146" min="8" max="8"/>
    <col width="25" customWidth="1" style="146" min="9" max="10"/>
    <col width="15" customWidth="1" style="146" min="11" max="11"/>
    <col width="10" customWidth="1" style="146" min="12" max="12"/>
  </cols>
  <sheetData>
    <row r="1" ht="30" customHeight="1" s="146">
      <c r="A1" s="97" t="inlineStr">
        <is>
          <t>ID MITRE</t>
        </is>
      </c>
      <c r="B1" s="97" t="inlineStr">
        <is>
          <t>Nombre Técnica</t>
        </is>
      </c>
      <c r="C1" s="97" t="inlineStr">
        <is>
          <t>Tácticas</t>
        </is>
      </c>
      <c r="D1" s="97" t="inlineStr">
        <is>
          <t>Descripción</t>
        </is>
      </c>
      <c r="E1" s="97" t="inlineStr">
        <is>
          <t>Plataformas</t>
        </is>
      </c>
      <c r="F1" s="97" t="inlineStr">
        <is>
          <t>Detección</t>
        </is>
      </c>
      <c r="G1" s="97" t="inlineStr">
        <is>
          <t>URL MITRE</t>
        </is>
      </c>
      <c r="H1" s="97" t="inlineStr">
        <is>
          <t>Activos Relacionados</t>
        </is>
      </c>
      <c r="I1" s="97" t="inlineStr">
        <is>
          <t>Riesgos Vinculados</t>
        </is>
      </c>
      <c r="J1" s="97" t="inlineStr">
        <is>
          <t>Controles ISO 27001</t>
        </is>
      </c>
      <c r="K1" s="97" t="inlineStr">
        <is>
          <t>Última Modificación</t>
        </is>
      </c>
      <c r="L1" s="97" t="inlineStr">
        <is>
          <t>Versión</t>
        </is>
      </c>
    </row>
    <row r="2" ht="180" customHeight="1" s="146">
      <c r="A2" s="209" t="inlineStr">
        <is>
          <t>T0800</t>
        </is>
      </c>
      <c r="B2" s="209" t="inlineStr">
        <is>
          <t>Activate Firmware Update Mode</t>
        </is>
      </c>
      <c r="C2" s="209" t="inlineStr">
        <is>
          <t>Inhibit Response Function</t>
        </is>
      </c>
      <c r="D2" s="209" t="inlineStr">
        <is>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is>
      </c>
      <c r="E2" s="209" t="inlineStr">
        <is>
          <t>None</t>
        </is>
      </c>
      <c r="F2" s="209" t="n"/>
      <c r="G2" s="209" t="inlineStr">
        <is>
          <t>https://attack.mitre.org/techniques/T0800</t>
        </is>
      </c>
      <c r="H2" s="209" t="n"/>
      <c r="I2" s="209" t="n"/>
      <c r="J2" s="209" t="n"/>
      <c r="K2" s="209" t="inlineStr">
        <is>
          <t>25 April 2025</t>
        </is>
      </c>
      <c r="L2" s="209" t="inlineStr">
        <is>
          <t>1.0</t>
        </is>
      </c>
    </row>
    <row r="3" ht="360" customHeight="1" s="146">
      <c r="A3" s="209" t="inlineStr">
        <is>
          <t>T0830</t>
        </is>
      </c>
      <c r="B3" s="209" t="inlineStr">
        <is>
          <t>Adversary-in-the-Middle</t>
        </is>
      </c>
      <c r="C3" s="209" t="inlineStr">
        <is>
          <t>Collection</t>
        </is>
      </c>
      <c r="D3" s="209" t="inlineStr">
        <is>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is>
      </c>
      <c r="E3" s="209" t="inlineStr">
        <is>
          <t>None</t>
        </is>
      </c>
      <c r="F3" s="209" t="n"/>
      <c r="G3" s="209" t="inlineStr">
        <is>
          <t>https://attack.mitre.org/techniques/T0830</t>
        </is>
      </c>
      <c r="H3" s="209" t="n"/>
      <c r="I3" s="209" t="n"/>
      <c r="J3" s="209" t="n"/>
      <c r="K3" s="209" t="inlineStr">
        <is>
          <t>16 April 2025</t>
        </is>
      </c>
      <c r="L3" s="209" t="inlineStr">
        <is>
          <t>2.0</t>
        </is>
      </c>
    </row>
    <row r="4" ht="409.5" customHeight="1" s="146">
      <c r="A4" s="209" t="inlineStr">
        <is>
          <t>T0878</t>
        </is>
      </c>
      <c r="B4" s="209" t="inlineStr">
        <is>
          <t>Alarm Suppression</t>
        </is>
      </c>
      <c r="C4" s="209" t="inlineStr">
        <is>
          <t>Inhibit Response Function</t>
        </is>
      </c>
      <c r="D4" s="209" t="inlineStr">
        <is>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is>
      </c>
      <c r="E4" s="209" t="inlineStr">
        <is>
          <t>None</t>
        </is>
      </c>
      <c r="F4" s="209" t="n"/>
      <c r="G4" s="209" t="inlineStr">
        <is>
          <t>https://attack.mitre.org/techniques/T0878</t>
        </is>
      </c>
      <c r="H4" s="209" t="n"/>
      <c r="I4" s="209" t="n"/>
      <c r="J4" s="209" t="n"/>
      <c r="K4" s="209" t="inlineStr">
        <is>
          <t>16 April 2025</t>
        </is>
      </c>
      <c r="L4" s="209" t="inlineStr">
        <is>
          <t>1.2</t>
        </is>
      </c>
    </row>
    <row r="5" ht="135" customHeight="1" s="146">
      <c r="A5" s="209" t="inlineStr">
        <is>
          <t>T0802</t>
        </is>
      </c>
      <c r="B5" s="209" t="inlineStr">
        <is>
          <t>Automated Collection</t>
        </is>
      </c>
      <c r="C5" s="209" t="inlineStr">
        <is>
          <t>Collection</t>
        </is>
      </c>
      <c r="D5" s="209" t="inlineStr">
        <is>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is>
      </c>
      <c r="E5" s="209" t="inlineStr">
        <is>
          <t>None</t>
        </is>
      </c>
      <c r="F5" s="209" t="n"/>
      <c r="G5" s="209" t="inlineStr">
        <is>
          <t>https://attack.mitre.org/techniques/T0802</t>
        </is>
      </c>
      <c r="H5" s="209" t="n"/>
      <c r="I5" s="209" t="n"/>
      <c r="J5" s="209" t="n"/>
      <c r="K5" s="209" t="inlineStr">
        <is>
          <t>15 April 2025</t>
        </is>
      </c>
      <c r="L5" s="209" t="inlineStr">
        <is>
          <t>1.1</t>
        </is>
      </c>
    </row>
    <row r="6" ht="405" customHeight="1" s="146">
      <c r="A6" s="209" t="inlineStr">
        <is>
          <t>T0895</t>
        </is>
      </c>
      <c r="B6" s="209" t="inlineStr">
        <is>
          <t>Autorun Image</t>
        </is>
      </c>
      <c r="C6" s="209" t="inlineStr">
        <is>
          <t>Execution</t>
        </is>
      </c>
      <c r="D6" s="209" t="inlineStr">
        <is>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is>
      </c>
      <c r="E6" s="209" t="n"/>
      <c r="F6" s="209" t="n"/>
      <c r="G6" s="209" t="inlineStr">
        <is>
          <t>https://attack.mitre.org/techniques/T0895</t>
        </is>
      </c>
      <c r="H6" s="209" t="n"/>
      <c r="I6" s="209" t="n"/>
      <c r="J6" s="209" t="n"/>
      <c r="K6" s="209" t="inlineStr">
        <is>
          <t>15 April 2025</t>
        </is>
      </c>
      <c r="L6" s="209" t="inlineStr">
        <is>
          <t>1.0</t>
        </is>
      </c>
    </row>
    <row r="7" ht="150" customHeight="1" s="146">
      <c r="A7" s="209" t="inlineStr">
        <is>
          <t>T0803</t>
        </is>
      </c>
      <c r="B7" s="209" t="inlineStr">
        <is>
          <t>Block Command Message</t>
        </is>
      </c>
      <c r="C7" s="209" t="inlineStr">
        <is>
          <t>Inhibit Response Function</t>
        </is>
      </c>
      <c r="D7" s="209" t="inlineStr">
        <is>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is>
      </c>
      <c r="E7" s="209" t="inlineStr">
        <is>
          <t>None</t>
        </is>
      </c>
      <c r="F7" s="209" t="n"/>
      <c r="G7" s="209" t="inlineStr">
        <is>
          <t>https://attack.mitre.org/techniques/T0803</t>
        </is>
      </c>
      <c r="H7" s="209" t="n"/>
      <c r="I7" s="209" t="n"/>
      <c r="J7" s="209" t="n"/>
      <c r="K7" s="209" t="inlineStr">
        <is>
          <t>15 April 2025</t>
        </is>
      </c>
      <c r="L7" s="209" t="inlineStr">
        <is>
          <t>1.1</t>
        </is>
      </c>
    </row>
    <row r="8" ht="270" customHeight="1" s="146">
      <c r="A8" s="209" t="inlineStr">
        <is>
          <t>T0804</t>
        </is>
      </c>
      <c r="B8" s="209" t="inlineStr">
        <is>
          <t>Block Reporting Message</t>
        </is>
      </c>
      <c r="C8" s="209" t="inlineStr">
        <is>
          <t>Inhibit Response Function</t>
        </is>
      </c>
      <c r="D8" s="209" t="inlineStr">
        <is>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is>
      </c>
      <c r="E8" s="209" t="inlineStr">
        <is>
          <t>None</t>
        </is>
      </c>
      <c r="F8" s="209" t="n"/>
      <c r="G8" s="209" t="inlineStr">
        <is>
          <t>https://attack.mitre.org/techniques/T0804</t>
        </is>
      </c>
      <c r="H8" s="209" t="n"/>
      <c r="I8" s="209" t="n"/>
      <c r="J8" s="209" t="n"/>
      <c r="K8" s="209" t="inlineStr">
        <is>
          <t>16 April 2025</t>
        </is>
      </c>
      <c r="L8" s="209" t="inlineStr">
        <is>
          <t>1.0</t>
        </is>
      </c>
    </row>
    <row r="9" ht="405" customHeight="1" s="146">
      <c r="A9" s="209" t="inlineStr">
        <is>
          <t>T0805</t>
        </is>
      </c>
      <c r="B9" s="209" t="inlineStr">
        <is>
          <t>Block Serial COM</t>
        </is>
      </c>
      <c r="C9" s="209" t="inlineStr">
        <is>
          <t>Inhibit Response Function</t>
        </is>
      </c>
      <c r="D9" s="209" t="inlineStr">
        <is>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is>
      </c>
      <c r="E9" s="209" t="inlineStr">
        <is>
          <t>None</t>
        </is>
      </c>
      <c r="F9" s="209" t="n"/>
      <c r="G9" s="209" t="inlineStr">
        <is>
          <t>https://attack.mitre.org/techniques/T0805</t>
        </is>
      </c>
      <c r="H9" s="209" t="n"/>
      <c r="I9" s="209" t="n"/>
      <c r="J9" s="209" t="n"/>
      <c r="K9" s="209" t="inlineStr">
        <is>
          <t>16 April 2025</t>
        </is>
      </c>
      <c r="L9" s="209" t="inlineStr">
        <is>
          <t>1.1</t>
        </is>
      </c>
    </row>
    <row r="10" ht="270" customHeight="1" s="146">
      <c r="A10" s="209" t="inlineStr">
        <is>
          <t>T0806</t>
        </is>
      </c>
      <c r="B10" s="209" t="inlineStr">
        <is>
          <t>Brute Force I/O</t>
        </is>
      </c>
      <c r="C10" s="209" t="inlineStr">
        <is>
          <t>Impair Process Control</t>
        </is>
      </c>
      <c r="D10" s="209" t="inlineStr">
        <is>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is>
      </c>
      <c r="E10" s="209" t="inlineStr">
        <is>
          <t>None</t>
        </is>
      </c>
      <c r="F10" s="209" t="n"/>
      <c r="G10" s="209" t="inlineStr">
        <is>
          <t>https://attack.mitre.org/techniques/T0806</t>
        </is>
      </c>
      <c r="H10" s="209" t="n"/>
      <c r="I10" s="209" t="n"/>
      <c r="J10" s="209" t="n"/>
      <c r="K10" s="209" t="inlineStr">
        <is>
          <t>16 April 2025</t>
        </is>
      </c>
      <c r="L10" s="209" t="inlineStr">
        <is>
          <t>1.1</t>
        </is>
      </c>
    </row>
    <row r="11" ht="409.5" customHeight="1" s="146">
      <c r="A11" s="209" t="inlineStr">
        <is>
          <t>T0892</t>
        </is>
      </c>
      <c r="B11" s="209" t="inlineStr">
        <is>
          <t>Change Credential</t>
        </is>
      </c>
      <c r="C11" s="209" t="inlineStr">
        <is>
          <t>Inhibit Response Function</t>
        </is>
      </c>
      <c r="D11" s="209" t="inlineStr">
        <is>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is>
      </c>
      <c r="E11" s="209" t="inlineStr">
        <is>
          <t>None</t>
        </is>
      </c>
      <c r="F11" s="209" t="n"/>
      <c r="G11" s="209" t="inlineStr">
        <is>
          <t>https://attack.mitre.org/techniques/T0892</t>
        </is>
      </c>
      <c r="H11" s="209" t="n"/>
      <c r="I11" s="209" t="n"/>
      <c r="J11" s="209" t="n"/>
      <c r="K11" s="209" t="inlineStr">
        <is>
          <t>16 April 2025</t>
        </is>
      </c>
      <c r="L11" s="209" t="inlineStr">
        <is>
          <t>1.0</t>
        </is>
      </c>
    </row>
    <row r="12" ht="409.5" customHeight="1" s="146">
      <c r="A12" s="209" t="inlineStr">
        <is>
          <t>T0858</t>
        </is>
      </c>
      <c r="B12" s="209" t="inlineStr">
        <is>
          <t>Change Operating Mode</t>
        </is>
      </c>
      <c r="C12" s="209" t="inlineStr">
        <is>
          <t>Evasion, Execution</t>
        </is>
      </c>
      <c r="D12" s="209" t="inlineStr">
        <is>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is>
      </c>
      <c r="E12" s="209" t="inlineStr">
        <is>
          <t>None</t>
        </is>
      </c>
      <c r="F12" s="209" t="n"/>
      <c r="G12" s="209" t="inlineStr">
        <is>
          <t>https://attack.mitre.org/techniques/T0858</t>
        </is>
      </c>
      <c r="H12" s="209" t="n"/>
      <c r="I12" s="209" t="n"/>
      <c r="J12" s="209" t="n"/>
      <c r="K12" s="209" t="inlineStr">
        <is>
          <t>16 April 2025</t>
        </is>
      </c>
      <c r="L12" s="209" t="inlineStr">
        <is>
          <t>1.0</t>
        </is>
      </c>
    </row>
    <row r="13" ht="255" customHeight="1" s="146">
      <c r="A13" s="209" t="inlineStr">
        <is>
          <t>T0807</t>
        </is>
      </c>
      <c r="B13" s="209" t="inlineStr">
        <is>
          <t>Command-Line Interface</t>
        </is>
      </c>
      <c r="C13" s="209" t="inlineStr">
        <is>
          <t>Execution</t>
        </is>
      </c>
      <c r="D13" s="209" t="inlineStr">
        <is>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is>
      </c>
      <c r="E13" s="209" t="inlineStr">
        <is>
          <t>None</t>
        </is>
      </c>
      <c r="F13" s="209" t="n"/>
      <c r="G13" s="209" t="inlineStr">
        <is>
          <t>https://attack.mitre.org/techniques/T0807</t>
        </is>
      </c>
      <c r="H13" s="209" t="n"/>
      <c r="I13" s="209" t="n"/>
      <c r="J13" s="209" t="n"/>
      <c r="K13" s="209" t="inlineStr">
        <is>
          <t>16 April 2025</t>
        </is>
      </c>
      <c r="L13" s="209" t="inlineStr">
        <is>
          <t>1.1</t>
        </is>
      </c>
    </row>
    <row r="14" ht="285" customHeight="1" s="146">
      <c r="A14" s="209" t="inlineStr">
        <is>
          <t>T0885</t>
        </is>
      </c>
      <c r="B14" s="209" t="inlineStr">
        <is>
          <t>Commonly Used Port</t>
        </is>
      </c>
      <c r="C14" s="209" t="inlineStr">
        <is>
          <t>Command and Control</t>
        </is>
      </c>
      <c r="D14" s="209" t="inlineStr">
        <is>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is>
      </c>
      <c r="E14" s="209" t="inlineStr">
        <is>
          <t>None</t>
        </is>
      </c>
      <c r="F14" s="209" t="n"/>
      <c r="G14" s="209" t="inlineStr">
        <is>
          <t>https://attack.mitre.org/techniques/T0885</t>
        </is>
      </c>
      <c r="H14" s="209" t="n"/>
      <c r="I14" s="209" t="n"/>
      <c r="J14" s="209" t="n"/>
      <c r="K14" s="209" t="inlineStr">
        <is>
          <t>16 April 2025</t>
        </is>
      </c>
      <c r="L14" s="209" t="inlineStr">
        <is>
          <t>1.1</t>
        </is>
      </c>
    </row>
    <row r="15" ht="285" customHeight="1" s="146">
      <c r="A15" s="209" t="inlineStr">
        <is>
          <t>T0884</t>
        </is>
      </c>
      <c r="B15" s="209" t="inlineStr">
        <is>
          <t>Connection Proxy</t>
        </is>
      </c>
      <c r="C15" s="209" t="inlineStr">
        <is>
          <t>Command and Control</t>
        </is>
      </c>
      <c r="D15" s="209" t="inlineStr">
        <is>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is>
      </c>
      <c r="E15" s="209" t="inlineStr">
        <is>
          <t>None</t>
        </is>
      </c>
      <c r="F15" s="209" t="n"/>
      <c r="G15" s="209" t="inlineStr">
        <is>
          <t>https://attack.mitre.org/techniques/T0884</t>
        </is>
      </c>
      <c r="H15" s="209" t="n"/>
      <c r="I15" s="209" t="n"/>
      <c r="J15" s="209" t="n"/>
      <c r="K15" s="209" t="inlineStr">
        <is>
          <t>16 April 2025</t>
        </is>
      </c>
      <c r="L15" s="209" t="inlineStr">
        <is>
          <t>1.1</t>
        </is>
      </c>
    </row>
    <row r="16" ht="409.5" customHeight="1" s="146">
      <c r="A16" s="209" t="inlineStr">
        <is>
          <t>T0879</t>
        </is>
      </c>
      <c r="B16" s="209" t="inlineStr">
        <is>
          <t>Damage to Property</t>
        </is>
      </c>
      <c r="C16" s="209" t="inlineStr">
        <is>
          <t>Impact</t>
        </is>
      </c>
      <c r="D16" s="209" t="inlineStr">
        <is>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is>
      </c>
      <c r="E16" s="209" t="inlineStr">
        <is>
          <t>None</t>
        </is>
      </c>
      <c r="F16" s="209" t="n"/>
      <c r="G16" s="209" t="inlineStr">
        <is>
          <t>https://attack.mitre.org/techniques/T0879</t>
        </is>
      </c>
      <c r="H16" s="209" t="n"/>
      <c r="I16" s="209" t="n"/>
      <c r="J16" s="209" t="n"/>
      <c r="K16" s="209" t="inlineStr">
        <is>
          <t>16 April 2025</t>
        </is>
      </c>
      <c r="L16" s="209" t="inlineStr">
        <is>
          <t>1.1</t>
        </is>
      </c>
    </row>
    <row r="17" ht="315" customHeight="1" s="146">
      <c r="A17" s="209" t="inlineStr">
        <is>
          <t>T0809</t>
        </is>
      </c>
      <c r="B17" s="209" t="inlineStr">
        <is>
          <t>Data Destruction</t>
        </is>
      </c>
      <c r="C17" s="209" t="inlineStr">
        <is>
          <t>Inhibit Response Function</t>
        </is>
      </c>
      <c r="D17" s="209" t="inlineStr">
        <is>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is>
      </c>
      <c r="E17" s="209" t="inlineStr">
        <is>
          <t>None</t>
        </is>
      </c>
      <c r="F17" s="209" t="n"/>
      <c r="G17" s="209" t="inlineStr">
        <is>
          <t>https://attack.mitre.org/techniques/T0809</t>
        </is>
      </c>
      <c r="H17" s="209" t="n"/>
      <c r="I17" s="209" t="n"/>
      <c r="J17" s="209" t="n"/>
      <c r="K17" s="209" t="inlineStr">
        <is>
          <t>16 April 2025</t>
        </is>
      </c>
      <c r="L17" s="209" t="inlineStr">
        <is>
          <t>1.0</t>
        </is>
      </c>
    </row>
    <row r="18" ht="360" customHeight="1" s="146">
      <c r="A18" s="209" t="inlineStr">
        <is>
          <t>T0811</t>
        </is>
      </c>
      <c r="B18" s="209" t="inlineStr">
        <is>
          <t>Data from Information Repositories</t>
        </is>
      </c>
      <c r="C18" s="209" t="inlineStr">
        <is>
          <t>Collection</t>
        </is>
      </c>
      <c r="D18" s="209" t="inlineStr">
        <is>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is>
      </c>
      <c r="E18" s="209" t="inlineStr">
        <is>
          <t>None</t>
        </is>
      </c>
      <c r="F18" s="209" t="n"/>
      <c r="G18" s="209" t="inlineStr">
        <is>
          <t>https://attack.mitre.org/techniques/T0811</t>
        </is>
      </c>
      <c r="H18" s="209" t="n"/>
      <c r="I18" s="209" t="n"/>
      <c r="J18" s="209" t="n"/>
      <c r="K18" s="209" t="inlineStr">
        <is>
          <t>16 April 2025</t>
        </is>
      </c>
      <c r="L18" s="209" t="inlineStr">
        <is>
          <t>1.2</t>
        </is>
      </c>
    </row>
    <row r="19" ht="210" customHeight="1" s="146">
      <c r="A19" s="209" t="inlineStr">
        <is>
          <t>T0893</t>
        </is>
      </c>
      <c r="B19" s="209" t="inlineStr">
        <is>
          <t>Data from Local System</t>
        </is>
      </c>
      <c r="C19" s="209" t="inlineStr">
        <is>
          <t>Collection</t>
        </is>
      </c>
      <c r="D19" s="209" t="inlineStr">
        <is>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is>
      </c>
      <c r="E19" s="209" t="inlineStr">
        <is>
          <t>None</t>
        </is>
      </c>
      <c r="F19" s="209" t="n"/>
      <c r="G19" s="209" t="inlineStr">
        <is>
          <t>https://attack.mitre.org/techniques/T0893</t>
        </is>
      </c>
      <c r="H19" s="209" t="n"/>
      <c r="I19" s="209" t="n"/>
      <c r="J19" s="209" t="n"/>
      <c r="K19" s="209" t="inlineStr">
        <is>
          <t>15 April 2025</t>
        </is>
      </c>
      <c r="L19" s="209" t="inlineStr">
        <is>
          <t>1.0</t>
        </is>
      </c>
    </row>
    <row r="20" ht="240" customHeight="1" s="146">
      <c r="A20" s="209" t="inlineStr">
        <is>
          <t>T0812</t>
        </is>
      </c>
      <c r="B20" s="209" t="inlineStr">
        <is>
          <t>Default Credentials</t>
        </is>
      </c>
      <c r="C20" s="209" t="inlineStr">
        <is>
          <t>Lateral Movement</t>
        </is>
      </c>
      <c r="D20" s="209" t="inlineStr">
        <is>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is>
      </c>
      <c r="E20" s="209" t="inlineStr">
        <is>
          <t>None</t>
        </is>
      </c>
      <c r="F20" s="209" t="n"/>
      <c r="G20" s="209" t="inlineStr">
        <is>
          <t>https://attack.mitre.org/techniques/T0812</t>
        </is>
      </c>
      <c r="H20" s="209" t="n"/>
      <c r="I20" s="209" t="n"/>
      <c r="J20" s="209" t="n"/>
      <c r="K20" s="209" t="inlineStr">
        <is>
          <t>16 April 2025</t>
        </is>
      </c>
      <c r="L20" s="209" t="inlineStr">
        <is>
          <t>1.0</t>
        </is>
      </c>
    </row>
    <row r="21" ht="240" customHeight="1" s="146">
      <c r="A21" s="209" t="inlineStr">
        <is>
          <t>T0813</t>
        </is>
      </c>
      <c r="B21" s="209" t="inlineStr">
        <is>
          <t>Denial of Control</t>
        </is>
      </c>
      <c r="C21" s="209" t="inlineStr">
        <is>
          <t>Impact</t>
        </is>
      </c>
      <c r="D21" s="209" t="inlineStr">
        <is>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is>
      </c>
      <c r="E21" s="209" t="inlineStr">
        <is>
          <t>None</t>
        </is>
      </c>
      <c r="F21" s="209" t="n"/>
      <c r="G21" s="209" t="inlineStr">
        <is>
          <t>https://attack.mitre.org/techniques/T0813</t>
        </is>
      </c>
      <c r="H21" s="209" t="n"/>
      <c r="I21" s="209" t="n"/>
      <c r="J21" s="209" t="n"/>
      <c r="K21" s="209" t="inlineStr">
        <is>
          <t>15 April 2025</t>
        </is>
      </c>
      <c r="L21" s="209" t="inlineStr">
        <is>
          <t>1.1</t>
        </is>
      </c>
    </row>
    <row r="22" ht="409.5" customHeight="1" s="146">
      <c r="A22" s="209" t="inlineStr">
        <is>
          <t>T0814</t>
        </is>
      </c>
      <c r="B22" s="209" t="inlineStr">
        <is>
          <t>Denial of Service</t>
        </is>
      </c>
      <c r="C22" s="209" t="inlineStr">
        <is>
          <t>Inhibit Response Function</t>
        </is>
      </c>
      <c r="D22" s="209" t="inlineStr">
        <is>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is>
      </c>
      <c r="E22" s="209" t="inlineStr">
        <is>
          <t>None</t>
        </is>
      </c>
      <c r="F22" s="209" t="n"/>
      <c r="G22" s="209" t="inlineStr">
        <is>
          <t>https://attack.mitre.org/techniques/T0814</t>
        </is>
      </c>
      <c r="H22" s="209" t="n"/>
      <c r="I22" s="209" t="n"/>
      <c r="J22" s="209" t="n"/>
      <c r="K22" s="209" t="inlineStr">
        <is>
          <t>15 April 2025</t>
        </is>
      </c>
      <c r="L22" s="209" t="inlineStr">
        <is>
          <t>1.1</t>
        </is>
      </c>
    </row>
    <row r="23" ht="255" customHeight="1" s="146">
      <c r="A23" s="209" t="inlineStr">
        <is>
          <t>T0815</t>
        </is>
      </c>
      <c r="B23" s="209" t="inlineStr">
        <is>
          <t>Denial of View</t>
        </is>
      </c>
      <c r="C23" s="209" t="inlineStr">
        <is>
          <t>Impact</t>
        </is>
      </c>
      <c r="D23" s="209" t="inlineStr">
        <is>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is>
      </c>
      <c r="E23" s="209" t="inlineStr">
        <is>
          <t>None</t>
        </is>
      </c>
      <c r="F23" s="209" t="n"/>
      <c r="G23" s="209" t="inlineStr">
        <is>
          <t>https://attack.mitre.org/techniques/T0815</t>
        </is>
      </c>
      <c r="H23" s="209" t="n"/>
      <c r="I23" s="209" t="n"/>
      <c r="J23" s="209" t="n"/>
      <c r="K23" s="209" t="inlineStr">
        <is>
          <t>15 April 2025</t>
        </is>
      </c>
      <c r="L23" s="209" t="inlineStr">
        <is>
          <t>1.1</t>
        </is>
      </c>
    </row>
    <row r="24" ht="409.5" customHeight="1" s="146">
      <c r="A24" s="209" t="inlineStr">
        <is>
          <t>T0868</t>
        </is>
      </c>
      <c r="B24" s="209" t="inlineStr">
        <is>
          <t>Detect Operating Mode</t>
        </is>
      </c>
      <c r="C24" s="209" t="inlineStr">
        <is>
          <t>Collection</t>
        </is>
      </c>
      <c r="D24" s="209" t="inlineStr">
        <is>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is>
      </c>
      <c r="E24" s="209" t="inlineStr">
        <is>
          <t>None</t>
        </is>
      </c>
      <c r="F24" s="209" t="n"/>
      <c r="G24" s="209" t="inlineStr">
        <is>
          <t>https://attack.mitre.org/techniques/T0868</t>
        </is>
      </c>
      <c r="H24" s="209" t="n"/>
      <c r="I24" s="209" t="n"/>
      <c r="J24" s="209" t="n"/>
      <c r="K24" s="209" t="inlineStr">
        <is>
          <t>16 April 2025</t>
        </is>
      </c>
      <c r="L24" s="209" t="inlineStr">
        <is>
          <t>1.0</t>
        </is>
      </c>
    </row>
    <row r="25" ht="240" customHeight="1" s="146">
      <c r="A25" s="209" t="inlineStr">
        <is>
          <t>T0816</t>
        </is>
      </c>
      <c r="B25" s="209" t="inlineStr">
        <is>
          <t>Device Restart/Shutdown</t>
        </is>
      </c>
      <c r="C25" s="209" t="inlineStr">
        <is>
          <t>Inhibit Response Function</t>
        </is>
      </c>
      <c r="D25" s="209" t="inlineStr">
        <is>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is>
      </c>
      <c r="E25" s="209" t="inlineStr">
        <is>
          <t>None</t>
        </is>
      </c>
      <c r="F25" s="209" t="n"/>
      <c r="G25" s="209" t="inlineStr">
        <is>
          <t>https://attack.mitre.org/techniques/T0816</t>
        </is>
      </c>
      <c r="H25" s="209" t="n"/>
      <c r="I25" s="209" t="n"/>
      <c r="J25" s="209" t="n"/>
      <c r="K25" s="209" t="inlineStr">
        <is>
          <t>16 April 2025</t>
        </is>
      </c>
      <c r="L25" s="209" t="inlineStr">
        <is>
          <t>1.1</t>
        </is>
      </c>
    </row>
    <row r="26" ht="409.5" customHeight="1" s="146">
      <c r="A26" s="209" t="inlineStr">
        <is>
          <t>T0817</t>
        </is>
      </c>
      <c r="B26" s="209" t="inlineStr">
        <is>
          <t>Drive-by Compromise</t>
        </is>
      </c>
      <c r="C26" s="209" t="inlineStr">
        <is>
          <t>Initial Access</t>
        </is>
      </c>
      <c r="D26" s="209" t="inlineStr">
        <is>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is>
      </c>
      <c r="E26" s="209" t="inlineStr">
        <is>
          <t>None</t>
        </is>
      </c>
      <c r="F26" s="209" t="n"/>
      <c r="G26" s="209" t="inlineStr">
        <is>
          <t>https://attack.mitre.org/techniques/T0817</t>
        </is>
      </c>
      <c r="H26" s="209" t="n"/>
      <c r="I26" s="209" t="n"/>
      <c r="J26" s="209" t="n"/>
      <c r="K26" s="209" t="inlineStr">
        <is>
          <t>16 April 2025</t>
        </is>
      </c>
      <c r="L26" s="209" t="inlineStr">
        <is>
          <t>1.0</t>
        </is>
      </c>
    </row>
    <row r="27" ht="90" customHeight="1" s="146">
      <c r="A27" s="209" t="inlineStr">
        <is>
          <t>T0871</t>
        </is>
      </c>
      <c r="B27" s="209" t="inlineStr">
        <is>
          <t>Execution through API</t>
        </is>
      </c>
      <c r="C27" s="209" t="inlineStr">
        <is>
          <t>Execution</t>
        </is>
      </c>
      <c r="D27" s="209" t="inlineStr">
        <is>
          <t>Adversaries may attempt to leverage Application Program Interfaces (APIs) used for communication between control software and the hardware. Specific functionality is often coded into APIs which can be called by software to engage specific functions on a device or other software.</t>
        </is>
      </c>
      <c r="E27" s="209" t="inlineStr">
        <is>
          <t>None</t>
        </is>
      </c>
      <c r="F27" s="209" t="n"/>
      <c r="G27" s="209" t="inlineStr">
        <is>
          <t>https://attack.mitre.org/techniques/T0871</t>
        </is>
      </c>
      <c r="H27" s="209" t="n"/>
      <c r="I27" s="209" t="n"/>
      <c r="J27" s="209" t="n"/>
      <c r="K27" s="209" t="inlineStr">
        <is>
          <t>16 April 2025</t>
        </is>
      </c>
      <c r="L27" s="209" t="inlineStr">
        <is>
          <t>1.1</t>
        </is>
      </c>
    </row>
    <row r="28" ht="285" customHeight="1" s="146">
      <c r="A28" s="209" t="inlineStr">
        <is>
          <t>T0819</t>
        </is>
      </c>
      <c r="B28" s="209" t="inlineStr">
        <is>
          <t>Exploit Public-Facing Application</t>
        </is>
      </c>
      <c r="C28" s="209" t="inlineStr">
        <is>
          <t>Initial Access</t>
        </is>
      </c>
      <c r="D28" s="209" t="inlineStr">
        <is>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is>
      </c>
      <c r="E28" s="209" t="inlineStr">
        <is>
          <t>None</t>
        </is>
      </c>
      <c r="F28" s="209" t="n"/>
      <c r="G28" s="209" t="inlineStr">
        <is>
          <t>https://attack.mitre.org/techniques/T0819</t>
        </is>
      </c>
      <c r="H28" s="209" t="n"/>
      <c r="I28" s="209" t="n"/>
      <c r="J28" s="209" t="n"/>
      <c r="K28" s="209" t="inlineStr">
        <is>
          <t>16 April 2025</t>
        </is>
      </c>
      <c r="L28" s="209" t="inlineStr">
        <is>
          <t>1.0</t>
        </is>
      </c>
    </row>
    <row r="29" ht="270" customHeight="1" s="146">
      <c r="A29" s="209" t="inlineStr">
        <is>
          <t>T0820</t>
        </is>
      </c>
      <c r="B29" s="209" t="inlineStr">
        <is>
          <t>Exploitation for Evasion</t>
        </is>
      </c>
      <c r="C29" s="209" t="inlineStr">
        <is>
          <t>Evasion</t>
        </is>
      </c>
      <c r="D29" s="209" t="inlineStr">
        <is>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is>
      </c>
      <c r="E29" s="209" t="inlineStr">
        <is>
          <t>None</t>
        </is>
      </c>
      <c r="F29" s="209" t="n"/>
      <c r="G29" s="209" t="inlineStr">
        <is>
          <t>https://attack.mitre.org/techniques/T0820</t>
        </is>
      </c>
      <c r="H29" s="209" t="n"/>
      <c r="I29" s="209" t="n"/>
      <c r="J29" s="209" t="n"/>
      <c r="K29" s="209" t="inlineStr">
        <is>
          <t>16 April 2025</t>
        </is>
      </c>
      <c r="L29" s="209" t="inlineStr">
        <is>
          <t>1.1</t>
        </is>
      </c>
    </row>
    <row r="30" ht="409.5" customHeight="1" s="146">
      <c r="A30" s="209" t="inlineStr">
        <is>
          <t>T0890</t>
        </is>
      </c>
      <c r="B30" s="209" t="inlineStr">
        <is>
          <t>Exploitation for Privilege Escalation</t>
        </is>
      </c>
      <c r="C30" s="209" t="inlineStr">
        <is>
          <t>Privilege Escalation</t>
        </is>
      </c>
      <c r="D30" s="209" t="inlineStr">
        <is>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is>
      </c>
      <c r="E30" s="209" t="inlineStr">
        <is>
          <t>None</t>
        </is>
      </c>
      <c r="F30" s="209" t="n"/>
      <c r="G30" s="209" t="inlineStr">
        <is>
          <t>https://attack.mitre.org/techniques/T0890</t>
        </is>
      </c>
      <c r="H30" s="209" t="n"/>
      <c r="I30" s="209" t="n"/>
      <c r="J30" s="209" t="n"/>
      <c r="K30" s="209" t="inlineStr">
        <is>
          <t>16 April 2025</t>
        </is>
      </c>
      <c r="L30" s="209" t="inlineStr">
        <is>
          <t>1.1</t>
        </is>
      </c>
    </row>
    <row r="31" ht="300" customHeight="1" s="146">
      <c r="A31" s="209" t="inlineStr">
        <is>
          <t>T0866</t>
        </is>
      </c>
      <c r="B31" s="209" t="inlineStr">
        <is>
          <t>Exploitation of Remote Services</t>
        </is>
      </c>
      <c r="C31" s="209" t="inlineStr">
        <is>
          <t>Initial Access, Lateral Movement</t>
        </is>
      </c>
      <c r="D31" s="209" t="inlineStr">
        <is>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is>
      </c>
      <c r="E31" s="209" t="inlineStr">
        <is>
          <t>None</t>
        </is>
      </c>
      <c r="F31" s="209" t="n"/>
      <c r="G31" s="209" t="inlineStr">
        <is>
          <t>https://attack.mitre.org/techniques/T0866</t>
        </is>
      </c>
      <c r="H31" s="209" t="n"/>
      <c r="I31" s="209" t="n"/>
      <c r="J31" s="209" t="n"/>
      <c r="K31" s="209" t="inlineStr">
        <is>
          <t>16 April 2025</t>
        </is>
      </c>
      <c r="L31" s="209" t="inlineStr">
        <is>
          <t>1.0</t>
        </is>
      </c>
    </row>
    <row r="32" ht="409.5" customHeight="1" s="146">
      <c r="A32" s="209" t="inlineStr">
        <is>
          <t>T0822</t>
        </is>
      </c>
      <c r="B32" s="209" t="inlineStr">
        <is>
          <t>External Remote Services</t>
        </is>
      </c>
      <c r="C32" s="209" t="inlineStr">
        <is>
          <t>Initial Access</t>
        </is>
      </c>
      <c r="D32" s="209" t="inlineStr">
        <is>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is>
      </c>
      <c r="E32" s="209" t="inlineStr">
        <is>
          <t>None</t>
        </is>
      </c>
      <c r="F32" s="209" t="n"/>
      <c r="G32" s="209" t="inlineStr">
        <is>
          <t>https://attack.mitre.org/techniques/T0822</t>
        </is>
      </c>
      <c r="H32" s="209" t="n"/>
      <c r="I32" s="209" t="n"/>
      <c r="J32" s="209" t="n"/>
      <c r="K32" s="209" t="inlineStr">
        <is>
          <t>16 April 2025</t>
        </is>
      </c>
      <c r="L32" s="209" t="inlineStr">
        <is>
          <t>1.1</t>
        </is>
      </c>
    </row>
    <row r="33" ht="225" customHeight="1" s="146">
      <c r="A33" s="209" t="inlineStr">
        <is>
          <t>T0823</t>
        </is>
      </c>
      <c r="B33" s="209" t="inlineStr">
        <is>
          <t>Graphical User Interface</t>
        </is>
      </c>
      <c r="C33" s="209" t="inlineStr">
        <is>
          <t>Execution</t>
        </is>
      </c>
      <c r="D33" s="209" t="inlineStr">
        <is>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is>
      </c>
      <c r="E33" s="209" t="inlineStr">
        <is>
          <t>None</t>
        </is>
      </c>
      <c r="F33" s="209" t="n"/>
      <c r="G33" s="209" t="inlineStr">
        <is>
          <t>https://attack.mitre.org/techniques/T0823</t>
        </is>
      </c>
      <c r="H33" s="209" t="n"/>
      <c r="I33" s="209" t="n"/>
      <c r="J33" s="209" t="n"/>
      <c r="K33" s="209" t="inlineStr">
        <is>
          <t>16 April 2025</t>
        </is>
      </c>
      <c r="L33" s="209" t="inlineStr">
        <is>
          <t>1.1</t>
        </is>
      </c>
    </row>
    <row r="34" ht="375" customHeight="1" s="146">
      <c r="A34" s="209" t="inlineStr">
        <is>
          <t>T0891</t>
        </is>
      </c>
      <c r="B34" s="209" t="inlineStr">
        <is>
          <t>Hardcoded Credentials</t>
        </is>
      </c>
      <c r="C34" s="209" t="inlineStr">
        <is>
          <t>Lateral Movement, Persistence</t>
        </is>
      </c>
      <c r="D34" s="209" t="inlineStr">
        <is>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is>
      </c>
      <c r="E34" s="209" t="inlineStr">
        <is>
          <t>None</t>
        </is>
      </c>
      <c r="F34" s="209" t="n"/>
      <c r="G34" s="209" t="inlineStr">
        <is>
          <t>https://attack.mitre.org/techniques/T0891</t>
        </is>
      </c>
      <c r="H34" s="209" t="n"/>
      <c r="I34" s="209" t="n"/>
      <c r="J34" s="209" t="n"/>
      <c r="K34" s="209" t="inlineStr">
        <is>
          <t>16 April 2025</t>
        </is>
      </c>
      <c r="L34" s="209" t="inlineStr">
        <is>
          <t>1.0</t>
        </is>
      </c>
    </row>
    <row r="35" ht="225" customHeight="1" s="146">
      <c r="A35" s="209" t="inlineStr">
        <is>
          <t>T0874</t>
        </is>
      </c>
      <c r="B35" s="209" t="inlineStr">
        <is>
          <t>Hooking</t>
        </is>
      </c>
      <c r="C35" s="209" t="inlineStr">
        <is>
          <t>Execution, Privilege Escalation</t>
        </is>
      </c>
      <c r="D35" s="209" t="inlineStr">
        <is>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is>
      </c>
      <c r="E35" s="209" t="inlineStr">
        <is>
          <t>None</t>
        </is>
      </c>
      <c r="F35" s="209" t="n"/>
      <c r="G35" s="209" t="inlineStr">
        <is>
          <t>https://attack.mitre.org/techniques/T0874</t>
        </is>
      </c>
      <c r="H35" s="209" t="n"/>
      <c r="I35" s="209" t="n"/>
      <c r="J35" s="209" t="n"/>
      <c r="K35" s="209" t="inlineStr">
        <is>
          <t>15 April 2025</t>
        </is>
      </c>
      <c r="L35" s="209" t="inlineStr">
        <is>
          <t>1.2</t>
        </is>
      </c>
    </row>
    <row r="36" ht="360" customHeight="1" s="146">
      <c r="A36" s="209" t="inlineStr">
        <is>
          <t>T0877</t>
        </is>
      </c>
      <c r="B36" s="209" t="inlineStr">
        <is>
          <t>I/O Image</t>
        </is>
      </c>
      <c r="C36" s="209" t="inlineStr">
        <is>
          <t>Collection</t>
        </is>
      </c>
      <c r="D36" s="209" t="inlineStr">
        <is>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is>
      </c>
      <c r="E36" s="209" t="inlineStr">
        <is>
          <t>None</t>
        </is>
      </c>
      <c r="F36" s="209" t="n"/>
      <c r="G36" s="209" t="inlineStr">
        <is>
          <t>https://attack.mitre.org/techniques/T0877</t>
        </is>
      </c>
      <c r="H36" s="209" t="n"/>
      <c r="I36" s="209" t="n"/>
      <c r="J36" s="209" t="n"/>
      <c r="K36" s="209" t="inlineStr">
        <is>
          <t>16 April 2025</t>
        </is>
      </c>
      <c r="L36" s="209" t="inlineStr">
        <is>
          <t>1.1</t>
        </is>
      </c>
    </row>
    <row r="37" ht="90" customHeight="1" s="146">
      <c r="A37" s="209" t="inlineStr">
        <is>
          <t>T0872</t>
        </is>
      </c>
      <c r="B37" s="209" t="inlineStr">
        <is>
          <t>Indicator Removal on Host</t>
        </is>
      </c>
      <c r="C37" s="209" t="inlineStr">
        <is>
          <t>Evasion</t>
        </is>
      </c>
      <c r="D37" s="209" t="inlineStr">
        <is>
          <t>Adversaries may attempt to remove indicators of their presence on a system in an effort to cover their tracks. In cases where an adversary may feel detection is imminent, they may try to overwrite, delete, or cover up changes they have made to the device.</t>
        </is>
      </c>
      <c r="E37" s="209" t="inlineStr">
        <is>
          <t>None</t>
        </is>
      </c>
      <c r="F37" s="209" t="n"/>
      <c r="G37" s="209" t="inlineStr">
        <is>
          <t>https://attack.mitre.org/techniques/T0872</t>
        </is>
      </c>
      <c r="H37" s="209" t="n"/>
      <c r="I37" s="209" t="n"/>
      <c r="J37" s="209" t="n"/>
      <c r="K37" s="209" t="inlineStr">
        <is>
          <t>25 April 2025</t>
        </is>
      </c>
      <c r="L37" s="209" t="inlineStr">
        <is>
          <t>1.0</t>
        </is>
      </c>
    </row>
    <row r="38" ht="409.5" customHeight="1" s="146">
      <c r="A38" s="209" t="inlineStr">
        <is>
          <t>T0883</t>
        </is>
      </c>
      <c r="B38" s="209" t="inlineStr">
        <is>
          <t>Internet Accessible Device</t>
        </is>
      </c>
      <c r="C38" s="209" t="inlineStr">
        <is>
          <t>Initial Access</t>
        </is>
      </c>
      <c r="D38" s="209" t="inlineStr">
        <is>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is>
      </c>
      <c r="E38" s="209" t="inlineStr">
        <is>
          <t>None</t>
        </is>
      </c>
      <c r="F38" s="209" t="n"/>
      <c r="G38" s="209" t="inlineStr">
        <is>
          <t>https://attack.mitre.org/techniques/T0883</t>
        </is>
      </c>
      <c r="H38" s="209" t="n"/>
      <c r="I38" s="209" t="n"/>
      <c r="J38" s="209" t="n"/>
      <c r="K38" s="209" t="inlineStr">
        <is>
          <t>16 April 2025</t>
        </is>
      </c>
      <c r="L38" s="209" t="inlineStr">
        <is>
          <t>1.0</t>
        </is>
      </c>
    </row>
    <row r="39" ht="195" customHeight="1" s="146">
      <c r="A39" s="209" t="inlineStr">
        <is>
          <t>T0867</t>
        </is>
      </c>
      <c r="B39" s="209" t="inlineStr">
        <is>
          <t>Lateral Tool Transfer</t>
        </is>
      </c>
      <c r="C39" s="209" t="inlineStr">
        <is>
          <t>Lateral Movement</t>
        </is>
      </c>
      <c r="D39" s="209" t="inlineStr">
        <is>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is>
      </c>
      <c r="E39" s="209" t="inlineStr">
        <is>
          <t>None</t>
        </is>
      </c>
      <c r="F39" s="209" t="n"/>
      <c r="G39" s="209" t="inlineStr">
        <is>
          <t>https://attack.mitre.org/techniques/T0867</t>
        </is>
      </c>
      <c r="H39" s="209" t="n"/>
      <c r="I39" s="209" t="n"/>
      <c r="J39" s="209" t="n"/>
      <c r="K39" s="209" t="inlineStr">
        <is>
          <t>16 April 2025</t>
        </is>
      </c>
      <c r="L39" s="209" t="inlineStr">
        <is>
          <t>1.1</t>
        </is>
      </c>
    </row>
    <row r="40" ht="210" customHeight="1" s="146">
      <c r="A40" s="209" t="inlineStr">
        <is>
          <t>T0826</t>
        </is>
      </c>
      <c r="B40" s="209" t="inlineStr">
        <is>
          <t>Loss of Availability</t>
        </is>
      </c>
      <c r="C40" s="209" t="inlineStr">
        <is>
          <t>Impact</t>
        </is>
      </c>
      <c r="D40" s="209" t="inlineStr">
        <is>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is>
      </c>
      <c r="E40" s="209" t="inlineStr">
        <is>
          <t>None</t>
        </is>
      </c>
      <c r="F40" s="209" t="n"/>
      <c r="G40" s="209" t="inlineStr">
        <is>
          <t>https://attack.mitre.org/techniques/T0826</t>
        </is>
      </c>
      <c r="H40" s="209" t="n"/>
      <c r="I40" s="209" t="n"/>
      <c r="J40" s="209" t="n"/>
      <c r="K40" s="209" t="inlineStr">
        <is>
          <t>15 April 2025</t>
        </is>
      </c>
      <c r="L40" s="209" t="inlineStr">
        <is>
          <t>1.0</t>
        </is>
      </c>
    </row>
    <row r="41" ht="255" customHeight="1" s="146">
      <c r="A41" s="209" t="inlineStr">
        <is>
          <t>T0827</t>
        </is>
      </c>
      <c r="B41" s="209" t="inlineStr">
        <is>
          <t>Loss of Control</t>
        </is>
      </c>
      <c r="C41" s="209" t="inlineStr">
        <is>
          <t>Impact</t>
        </is>
      </c>
      <c r="D41" s="209" t="inlineStr">
        <is>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is>
      </c>
      <c r="E41" s="209" t="inlineStr">
        <is>
          <t>None</t>
        </is>
      </c>
      <c r="F41" s="209" t="n"/>
      <c r="G41" s="209" t="inlineStr">
        <is>
          <t>https://attack.mitre.org/techniques/T0827</t>
        </is>
      </c>
      <c r="H41" s="209" t="n"/>
      <c r="I41" s="209" t="n"/>
      <c r="J41" s="209" t="n"/>
      <c r="K41" s="209" t="inlineStr">
        <is>
          <t>15 April 2025</t>
        </is>
      </c>
      <c r="L41" s="209" t="inlineStr">
        <is>
          <t>1.0</t>
        </is>
      </c>
    </row>
    <row r="42" ht="409.5" customHeight="1" s="146">
      <c r="A42" s="209" t="inlineStr">
        <is>
          <t>T0828</t>
        </is>
      </c>
      <c r="B42" s="209" t="inlineStr">
        <is>
          <t>Loss of Productivity and Revenue</t>
        </is>
      </c>
      <c r="C42" s="209" t="inlineStr">
        <is>
          <t>Impact</t>
        </is>
      </c>
      <c r="D42" s="209" t="inlineStr">
        <is>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is>
      </c>
      <c r="E42" s="209" t="inlineStr">
        <is>
          <t>None</t>
        </is>
      </c>
      <c r="F42" s="209" t="n"/>
      <c r="G42" s="209" t="inlineStr">
        <is>
          <t>https://attack.mitre.org/techniques/T0828</t>
        </is>
      </c>
      <c r="H42" s="209" t="n"/>
      <c r="I42" s="209" t="n"/>
      <c r="J42" s="209" t="n"/>
      <c r="K42" s="209" t="inlineStr">
        <is>
          <t>16 April 2025</t>
        </is>
      </c>
      <c r="L42" s="209" t="inlineStr">
        <is>
          <t>1.0</t>
        </is>
      </c>
    </row>
    <row r="43" ht="315" customHeight="1" s="146">
      <c r="A43" s="209" t="inlineStr">
        <is>
          <t>T0837</t>
        </is>
      </c>
      <c r="B43" s="209" t="inlineStr">
        <is>
          <t>Loss of Protection</t>
        </is>
      </c>
      <c r="C43" s="209" t="inlineStr">
        <is>
          <t>Impact</t>
        </is>
      </c>
      <c r="D43" s="209" t="inlineStr">
        <is>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is>
      </c>
      <c r="E43" s="209" t="inlineStr">
        <is>
          <t>None</t>
        </is>
      </c>
      <c r="F43" s="209" t="n"/>
      <c r="G43" s="209" t="inlineStr">
        <is>
          <t>https://attack.mitre.org/techniques/T0837</t>
        </is>
      </c>
      <c r="H43" s="209" t="n"/>
      <c r="I43" s="209" t="n"/>
      <c r="J43" s="209" t="n"/>
      <c r="K43" s="209" t="inlineStr">
        <is>
          <t>16 April 2025</t>
        </is>
      </c>
      <c r="L43" s="209" t="inlineStr">
        <is>
          <t>1.0</t>
        </is>
      </c>
    </row>
    <row r="44" ht="330" customHeight="1" s="146">
      <c r="A44" s="209" t="inlineStr">
        <is>
          <t>T0880</t>
        </is>
      </c>
      <c r="B44" s="209" t="inlineStr">
        <is>
          <t>Loss of Safety</t>
        </is>
      </c>
      <c r="C44" s="209" t="inlineStr">
        <is>
          <t>Impact</t>
        </is>
      </c>
      <c r="D44" s="209" t="inlineStr">
        <is>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is>
      </c>
      <c r="E44" s="209" t="inlineStr">
        <is>
          <t>None</t>
        </is>
      </c>
      <c r="F44" s="209" t="n"/>
      <c r="G44" s="209" t="inlineStr">
        <is>
          <t>https://attack.mitre.org/techniques/T0880</t>
        </is>
      </c>
      <c r="H44" s="209" t="n"/>
      <c r="I44" s="209" t="n"/>
      <c r="J44" s="209" t="n"/>
      <c r="K44" s="209" t="inlineStr">
        <is>
          <t>16 April 2025</t>
        </is>
      </c>
      <c r="L44" s="209" t="inlineStr">
        <is>
          <t>1.0</t>
        </is>
      </c>
    </row>
    <row r="45" ht="150" customHeight="1" s="146">
      <c r="A45" s="209" t="inlineStr">
        <is>
          <t>T0829</t>
        </is>
      </c>
      <c r="B45" s="209" t="inlineStr">
        <is>
          <t>Loss of View</t>
        </is>
      </c>
      <c r="C45" s="209" t="inlineStr">
        <is>
          <t>Impact</t>
        </is>
      </c>
      <c r="D45" s="209" t="inlineStr">
        <is>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is>
      </c>
      <c r="E45" s="209" t="inlineStr">
        <is>
          <t>None</t>
        </is>
      </c>
      <c r="F45" s="209" t="n"/>
      <c r="G45" s="209" t="inlineStr">
        <is>
          <t>https://attack.mitre.org/techniques/T0829</t>
        </is>
      </c>
      <c r="H45" s="209" t="n"/>
      <c r="I45" s="209" t="n"/>
      <c r="J45" s="209" t="n"/>
      <c r="K45" s="209" t="inlineStr">
        <is>
          <t>15 April 2025</t>
        </is>
      </c>
      <c r="L45" s="209" t="inlineStr">
        <is>
          <t>1.0</t>
        </is>
      </c>
    </row>
    <row r="46" ht="315" customHeight="1" s="146">
      <c r="A46" s="209" t="inlineStr">
        <is>
          <t>T0835</t>
        </is>
      </c>
      <c r="B46" s="209" t="inlineStr">
        <is>
          <t>Manipulate I/O Image</t>
        </is>
      </c>
      <c r="C46" s="209" t="inlineStr">
        <is>
          <t>Inhibit Response Function</t>
        </is>
      </c>
      <c r="D46" s="209" t="inlineStr">
        <is>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is>
      </c>
      <c r="E46" s="209" t="inlineStr">
        <is>
          <t>None</t>
        </is>
      </c>
      <c r="F46" s="209" t="n"/>
      <c r="G46" s="209" t="inlineStr">
        <is>
          <t>https://attack.mitre.org/techniques/T0835</t>
        </is>
      </c>
      <c r="H46" s="209" t="n"/>
      <c r="I46" s="209" t="n"/>
      <c r="J46" s="209" t="n"/>
      <c r="K46" s="209" t="inlineStr">
        <is>
          <t>15 April 2025</t>
        </is>
      </c>
      <c r="L46" s="209" t="inlineStr">
        <is>
          <t>1.1</t>
        </is>
      </c>
    </row>
    <row r="47" ht="409.5" customHeight="1" s="146">
      <c r="A47" s="209" t="inlineStr">
        <is>
          <t>T0831</t>
        </is>
      </c>
      <c r="B47" s="209" t="inlineStr">
        <is>
          <t>Manipulation of Control</t>
        </is>
      </c>
      <c r="C47" s="209" t="inlineStr">
        <is>
          <t>Impact</t>
        </is>
      </c>
      <c r="D47" s="209" t="inlineStr">
        <is>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is>
      </c>
      <c r="E47" s="209" t="inlineStr">
        <is>
          <t>None</t>
        </is>
      </c>
      <c r="F47" s="209" t="n"/>
      <c r="G47" s="209" t="inlineStr">
        <is>
          <t>https://attack.mitre.org/techniques/T0831</t>
        </is>
      </c>
      <c r="H47" s="209" t="n"/>
      <c r="I47" s="209" t="n"/>
      <c r="J47" s="209" t="n"/>
      <c r="K47" s="209" t="inlineStr">
        <is>
          <t>16 April 2025</t>
        </is>
      </c>
      <c r="L47" s="209" t="inlineStr">
        <is>
          <t>1.0</t>
        </is>
      </c>
    </row>
    <row r="48" ht="225" customHeight="1" s="146">
      <c r="A48" s="209" t="inlineStr">
        <is>
          <t>T0832</t>
        </is>
      </c>
      <c r="B48" s="209" t="inlineStr">
        <is>
          <t>Manipulation of View</t>
        </is>
      </c>
      <c r="C48" s="209" t="inlineStr">
        <is>
          <t>Impact</t>
        </is>
      </c>
      <c r="D48" s="209" t="inlineStr">
        <is>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is>
      </c>
      <c r="E48" s="209" t="inlineStr">
        <is>
          <t>None</t>
        </is>
      </c>
      <c r="F48" s="209" t="n"/>
      <c r="G48" s="209" t="inlineStr">
        <is>
          <t>https://attack.mitre.org/techniques/T0832</t>
        </is>
      </c>
      <c r="H48" s="209" t="n"/>
      <c r="I48" s="209" t="n"/>
      <c r="J48" s="209" t="n"/>
      <c r="K48" s="209" t="inlineStr">
        <is>
          <t>15 April 2025</t>
        </is>
      </c>
      <c r="L48" s="209" t="inlineStr">
        <is>
          <t>1.0</t>
        </is>
      </c>
    </row>
    <row r="49" ht="270" customHeight="1" s="146">
      <c r="A49" s="209" t="inlineStr">
        <is>
          <t>T0849</t>
        </is>
      </c>
      <c r="B49" s="209" t="inlineStr">
        <is>
          <t>Masquerading</t>
        </is>
      </c>
      <c r="C49" s="209" t="inlineStr">
        <is>
          <t>Evasion</t>
        </is>
      </c>
      <c r="D49" s="209" t="inlineStr">
        <is>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is>
      </c>
      <c r="E49" s="209" t="inlineStr">
        <is>
          <t>None</t>
        </is>
      </c>
      <c r="F49" s="209" t="n"/>
      <c r="G49" s="209" t="inlineStr">
        <is>
          <t>https://attack.mitre.org/techniques/T0849</t>
        </is>
      </c>
      <c r="H49" s="209" t="n"/>
      <c r="I49" s="209" t="n"/>
      <c r="J49" s="209" t="n"/>
      <c r="K49" s="209" t="inlineStr">
        <is>
          <t>16 April 2025</t>
        </is>
      </c>
      <c r="L49" s="209" t="inlineStr">
        <is>
          <t>1.1</t>
        </is>
      </c>
    </row>
    <row r="50" ht="409.5" customHeight="1" s="146">
      <c r="A50" s="209" t="inlineStr">
        <is>
          <t>T0838</t>
        </is>
      </c>
      <c r="B50" s="209" t="inlineStr">
        <is>
          <t>Modify Alarm Settings</t>
        </is>
      </c>
      <c r="C50" s="209" t="inlineStr">
        <is>
          <t>Inhibit Response Function</t>
        </is>
      </c>
      <c r="D50" s="209" t="inlineStr">
        <is>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is>
      </c>
      <c r="E50" s="209" t="inlineStr">
        <is>
          <t>None</t>
        </is>
      </c>
      <c r="F50" s="209" t="n"/>
      <c r="G50" s="209" t="inlineStr">
        <is>
          <t>https://attack.mitre.org/techniques/T0838</t>
        </is>
      </c>
      <c r="H50" s="209" t="n"/>
      <c r="I50" s="209" t="n"/>
      <c r="J50" s="209" t="n"/>
      <c r="K50" s="209" t="inlineStr">
        <is>
          <t>16 April 2025</t>
        </is>
      </c>
      <c r="L50" s="209" t="inlineStr">
        <is>
          <t>1.2</t>
        </is>
      </c>
    </row>
    <row r="51" ht="390" customHeight="1" s="146">
      <c r="A51" s="209" t="inlineStr">
        <is>
          <t>T0821</t>
        </is>
      </c>
      <c r="B51" s="209" t="inlineStr">
        <is>
          <t>Modify Controller Tasking</t>
        </is>
      </c>
      <c r="C51" s="209" t="inlineStr">
        <is>
          <t>Execution</t>
        </is>
      </c>
      <c r="D51" s="209" t="inlineStr">
        <is>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is>
      </c>
      <c r="E51" s="209" t="inlineStr">
        <is>
          <t>None</t>
        </is>
      </c>
      <c r="F51" s="209" t="n"/>
      <c r="G51" s="209" t="inlineStr">
        <is>
          <t>https://attack.mitre.org/techniques/T0821</t>
        </is>
      </c>
      <c r="H51" s="209" t="n"/>
      <c r="I51" s="209" t="n"/>
      <c r="J51" s="209" t="n"/>
      <c r="K51" s="209" t="inlineStr">
        <is>
          <t>16 April 2025</t>
        </is>
      </c>
      <c r="L51" s="209" t="inlineStr">
        <is>
          <t>1.2</t>
        </is>
      </c>
    </row>
    <row r="52" ht="345" customHeight="1" s="146">
      <c r="A52" s="209" t="inlineStr">
        <is>
          <t>T0836</t>
        </is>
      </c>
      <c r="B52" s="209" t="inlineStr">
        <is>
          <t>Modify Parameter</t>
        </is>
      </c>
      <c r="C52" s="209" t="inlineStr">
        <is>
          <t>Impair Process Control</t>
        </is>
      </c>
      <c r="D52" s="209" t="inlineStr">
        <is>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is>
      </c>
      <c r="E52" s="209" t="inlineStr">
        <is>
          <t>None</t>
        </is>
      </c>
      <c r="F52" s="209" t="n"/>
      <c r="G52" s="209" t="inlineStr">
        <is>
          <t>https://attack.mitre.org/techniques/T0836</t>
        </is>
      </c>
      <c r="H52" s="209" t="n"/>
      <c r="I52" s="209" t="n"/>
      <c r="J52" s="209" t="n"/>
      <c r="K52" s="209" t="inlineStr">
        <is>
          <t>16 April 2025</t>
        </is>
      </c>
      <c r="L52" s="209" t="inlineStr">
        <is>
          <t>1.3</t>
        </is>
      </c>
    </row>
    <row r="53" ht="300" customHeight="1" s="146">
      <c r="A53" s="209" t="inlineStr">
        <is>
          <t>T0889</t>
        </is>
      </c>
      <c r="B53" s="209" t="inlineStr">
        <is>
          <t>Modify Program</t>
        </is>
      </c>
      <c r="C53" s="209" t="inlineStr">
        <is>
          <t>Persistence</t>
        </is>
      </c>
      <c r="D53" s="209" t="inlineStr">
        <is>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is>
      </c>
      <c r="E53" s="209" t="inlineStr">
        <is>
          <t>None</t>
        </is>
      </c>
      <c r="F53" s="209" t="n"/>
      <c r="G53" s="209" t="inlineStr">
        <is>
          <t>https://attack.mitre.org/techniques/T0889</t>
        </is>
      </c>
      <c r="H53" s="209" t="n"/>
      <c r="I53" s="209" t="n"/>
      <c r="J53" s="209" t="n"/>
      <c r="K53" s="209" t="inlineStr">
        <is>
          <t>15 April 2025</t>
        </is>
      </c>
      <c r="L53" s="209" t="inlineStr">
        <is>
          <t>1.2</t>
        </is>
      </c>
    </row>
    <row r="54" ht="409.5" customHeight="1" s="146">
      <c r="A54" s="209" t="inlineStr">
        <is>
          <t>T0839</t>
        </is>
      </c>
      <c r="B54" s="209" t="inlineStr">
        <is>
          <t>Module Firmware</t>
        </is>
      </c>
      <c r="C54" s="209" t="inlineStr">
        <is>
          <t>Impair Process Control, Persistence</t>
        </is>
      </c>
      <c r="D54" s="209" t="inlineStr">
        <is>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is>
      </c>
      <c r="E54" s="209" t="inlineStr">
        <is>
          <t>None</t>
        </is>
      </c>
      <c r="F54" s="209" t="n"/>
      <c r="G54" s="209" t="inlineStr">
        <is>
          <t>https://attack.mitre.org/techniques/T0839</t>
        </is>
      </c>
      <c r="H54" s="209" t="n"/>
      <c r="I54" s="209" t="n"/>
      <c r="J54" s="209" t="n"/>
      <c r="K54" s="209" t="inlineStr">
        <is>
          <t>16 April 2025</t>
        </is>
      </c>
      <c r="L54" s="209" t="inlineStr">
        <is>
          <t>1.1</t>
        </is>
      </c>
    </row>
    <row r="55" ht="105" customHeight="1" s="146">
      <c r="A55" s="209" t="inlineStr">
        <is>
          <t>T0801</t>
        </is>
      </c>
      <c r="B55" s="209" t="inlineStr">
        <is>
          <t>Monitor Process State</t>
        </is>
      </c>
      <c r="C55" s="209" t="inlineStr">
        <is>
          <t>Collection</t>
        </is>
      </c>
      <c r="D55" s="209" t="inlineStr">
        <is>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is>
      </c>
      <c r="E55" s="209" t="inlineStr">
        <is>
          <t>None</t>
        </is>
      </c>
      <c r="F55" s="209" t="n"/>
      <c r="G55" s="209" t="inlineStr">
        <is>
          <t>https://attack.mitre.org/techniques/T0801</t>
        </is>
      </c>
      <c r="H55" s="209" t="n"/>
      <c r="I55" s="209" t="n"/>
      <c r="J55" s="209" t="n"/>
      <c r="K55" s="209" t="inlineStr">
        <is>
          <t>25 April 2025</t>
        </is>
      </c>
      <c r="L55" s="209" t="inlineStr">
        <is>
          <t>1.0</t>
        </is>
      </c>
    </row>
    <row r="56" ht="255" customHeight="1" s="146">
      <c r="A56" s="209" t="inlineStr">
        <is>
          <t>T0834</t>
        </is>
      </c>
      <c r="B56" s="209" t="inlineStr">
        <is>
          <t>Native API</t>
        </is>
      </c>
      <c r="C56" s="209" t="inlineStr">
        <is>
          <t>Execution</t>
        </is>
      </c>
      <c r="D56" s="209" t="inlineStr">
        <is>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is>
      </c>
      <c r="E56" s="209" t="inlineStr">
        <is>
          <t>None</t>
        </is>
      </c>
      <c r="F56" s="209" t="n"/>
      <c r="G56" s="209" t="inlineStr">
        <is>
          <t>https://attack.mitre.org/techniques/T0834</t>
        </is>
      </c>
      <c r="H56" s="209" t="n"/>
      <c r="I56" s="209" t="n"/>
      <c r="J56" s="209" t="n"/>
      <c r="K56" s="209" t="inlineStr">
        <is>
          <t>16 April 2025</t>
        </is>
      </c>
      <c r="L56" s="209" t="inlineStr">
        <is>
          <t>1.0</t>
        </is>
      </c>
    </row>
    <row r="57" ht="195" customHeight="1" s="146">
      <c r="A57" s="209" t="inlineStr">
        <is>
          <t>T0840</t>
        </is>
      </c>
      <c r="B57" s="209" t="inlineStr">
        <is>
          <t>Network Connection Enumeration</t>
        </is>
      </c>
      <c r="C57" s="209" t="inlineStr">
        <is>
          <t>Discovery</t>
        </is>
      </c>
      <c r="D57" s="209" t="inlineStr">
        <is>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is>
      </c>
      <c r="E57" s="209" t="inlineStr">
        <is>
          <t>None</t>
        </is>
      </c>
      <c r="F57" s="209" t="n"/>
      <c r="G57" s="209" t="inlineStr">
        <is>
          <t>https://attack.mitre.org/techniques/T0840</t>
        </is>
      </c>
      <c r="H57" s="209" t="n"/>
      <c r="I57" s="209" t="n"/>
      <c r="J57" s="209" t="n"/>
      <c r="K57" s="209" t="inlineStr">
        <is>
          <t>15 April 2025</t>
        </is>
      </c>
      <c r="L57" s="209" t="inlineStr">
        <is>
          <t>1.2</t>
        </is>
      </c>
    </row>
    <row r="58" ht="300" customHeight="1" s="146">
      <c r="A58" s="209" t="inlineStr">
        <is>
          <t>T0842</t>
        </is>
      </c>
      <c r="B58" s="209" t="inlineStr">
        <is>
          <t>Network Sniffing</t>
        </is>
      </c>
      <c r="C58" s="209" t="inlineStr">
        <is>
          <t>Discovery</t>
        </is>
      </c>
      <c r="D58" s="209" t="inlineStr">
        <is>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is>
      </c>
      <c r="E58" s="209" t="inlineStr">
        <is>
          <t>None</t>
        </is>
      </c>
      <c r="F58" s="209" t="n"/>
      <c r="G58" s="209" t="inlineStr">
        <is>
          <t>https://attack.mitre.org/techniques/T0842</t>
        </is>
      </c>
      <c r="H58" s="209" t="n"/>
      <c r="I58" s="209" t="n"/>
      <c r="J58" s="209" t="n"/>
      <c r="K58" s="209" t="inlineStr">
        <is>
          <t>16 April 2025</t>
        </is>
      </c>
      <c r="L58" s="209" t="inlineStr">
        <is>
          <t>1.0</t>
        </is>
      </c>
    </row>
    <row r="59" ht="225" customHeight="1" s="146">
      <c r="A59" s="209" t="inlineStr">
        <is>
          <t>T0861</t>
        </is>
      </c>
      <c r="B59" s="209" t="inlineStr">
        <is>
          <t>Point &amp; Tag Identification</t>
        </is>
      </c>
      <c r="C59" s="209" t="inlineStr">
        <is>
          <t>Collection</t>
        </is>
      </c>
      <c r="D59" s="209" t="inlineStr">
        <is>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is>
      </c>
      <c r="E59" s="209" t="inlineStr">
        <is>
          <t>None</t>
        </is>
      </c>
      <c r="F59" s="209" t="n"/>
      <c r="G59" s="209" t="inlineStr">
        <is>
          <t>https://attack.mitre.org/techniques/T0861</t>
        </is>
      </c>
      <c r="H59" s="209" t="n"/>
      <c r="I59" s="209" t="n"/>
      <c r="J59" s="209" t="n"/>
      <c r="K59" s="209" t="inlineStr">
        <is>
          <t>16 April 2025</t>
        </is>
      </c>
      <c r="L59" s="209" t="inlineStr">
        <is>
          <t>1.1</t>
        </is>
      </c>
    </row>
    <row r="60" ht="409.5" customHeight="1" s="146">
      <c r="A60" s="209" t="inlineStr">
        <is>
          <t>T0843</t>
        </is>
      </c>
      <c r="B60" s="209" t="inlineStr">
        <is>
          <t>Program Download</t>
        </is>
      </c>
      <c r="C60" s="209" t="inlineStr">
        <is>
          <t>Lateral Movement</t>
        </is>
      </c>
      <c r="D60" s="209" t="inlineStr">
        <is>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is>
      </c>
      <c r="E60" s="209" t="inlineStr">
        <is>
          <t>None</t>
        </is>
      </c>
      <c r="F60" s="209" t="n"/>
      <c r="G60" s="209" t="inlineStr">
        <is>
          <t>https://attack.mitre.org/techniques/T0843</t>
        </is>
      </c>
      <c r="H60" s="209" t="n"/>
      <c r="I60" s="209" t="n"/>
      <c r="J60" s="209" t="n"/>
      <c r="K60" s="209" t="inlineStr">
        <is>
          <t>16 April 2025</t>
        </is>
      </c>
      <c r="L60" s="209" t="inlineStr">
        <is>
          <t>1.1</t>
        </is>
      </c>
    </row>
    <row r="61" ht="135" customHeight="1" s="146">
      <c r="A61" s="209" t="inlineStr">
        <is>
          <t>T0845</t>
        </is>
      </c>
      <c r="B61" s="209" t="inlineStr">
        <is>
          <t>Program Upload</t>
        </is>
      </c>
      <c r="C61" s="209" t="inlineStr">
        <is>
          <t>Collection</t>
        </is>
      </c>
      <c r="D61" s="209" t="inlineStr">
        <is>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is>
      </c>
      <c r="E61" s="209" t="inlineStr">
        <is>
          <t>None</t>
        </is>
      </c>
      <c r="F61" s="209" t="n"/>
      <c r="G61" s="209" t="inlineStr">
        <is>
          <t>https://attack.mitre.org/techniques/T0845</t>
        </is>
      </c>
      <c r="H61" s="209" t="n"/>
      <c r="I61" s="209" t="n"/>
      <c r="J61" s="209" t="n"/>
      <c r="K61" s="209" t="inlineStr">
        <is>
          <t>25 April 2025</t>
        </is>
      </c>
      <c r="L61" s="209" t="inlineStr">
        <is>
          <t>1.0</t>
        </is>
      </c>
    </row>
    <row r="62" ht="330" customHeight="1" s="146">
      <c r="A62" s="209" t="inlineStr">
        <is>
          <t>T0873</t>
        </is>
      </c>
      <c r="B62" s="209" t="inlineStr">
        <is>
          <t>Project File Infection</t>
        </is>
      </c>
      <c r="C62" s="209" t="inlineStr">
        <is>
          <t>Persistence</t>
        </is>
      </c>
      <c r="D62" s="209" t="inlineStr">
        <is>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is>
      </c>
      <c r="E62" s="209" t="inlineStr">
        <is>
          <t>None</t>
        </is>
      </c>
      <c r="F62" s="209" t="n"/>
      <c r="G62" s="209" t="inlineStr">
        <is>
          <t>https://attack.mitre.org/techniques/T0873</t>
        </is>
      </c>
      <c r="H62" s="209" t="n"/>
      <c r="I62" s="209" t="n"/>
      <c r="J62" s="209" t="n"/>
      <c r="K62" s="209" t="inlineStr">
        <is>
          <t>15 April 2025</t>
        </is>
      </c>
      <c r="L62" s="209" t="inlineStr">
        <is>
          <t>1.0</t>
        </is>
      </c>
    </row>
    <row r="63" ht="409.5" customHeight="1" s="146">
      <c r="A63" s="209" t="inlineStr">
        <is>
          <t>T0886</t>
        </is>
      </c>
      <c r="B63" s="209" t="inlineStr">
        <is>
          <t>Remote Services</t>
        </is>
      </c>
      <c r="C63" s="209" t="inlineStr">
        <is>
          <t>Initial Access, Lateral Movement</t>
        </is>
      </c>
      <c r="D63" s="209" t="inlineStr">
        <is>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is>
      </c>
      <c r="E63" s="209" t="inlineStr">
        <is>
          <t>None</t>
        </is>
      </c>
      <c r="F63" s="209" t="n"/>
      <c r="G63" s="209" t="inlineStr">
        <is>
          <t>https://attack.mitre.org/techniques/T0886</t>
        </is>
      </c>
      <c r="H63" s="209" t="n"/>
      <c r="I63" s="209" t="n"/>
      <c r="J63" s="209" t="n"/>
      <c r="K63" s="209" t="inlineStr">
        <is>
          <t>16 April 2025</t>
        </is>
      </c>
      <c r="L63" s="209" t="inlineStr">
        <is>
          <t>1.1</t>
        </is>
      </c>
    </row>
    <row r="64" ht="120" customHeight="1" s="146">
      <c r="A64" s="209" t="inlineStr">
        <is>
          <t>T0846</t>
        </is>
      </c>
      <c r="B64" s="209" t="inlineStr">
        <is>
          <t>Remote System Discovery</t>
        </is>
      </c>
      <c r="C64" s="209" t="inlineStr">
        <is>
          <t>Discovery</t>
        </is>
      </c>
      <c r="D64" s="209" t="inlineStr">
        <is>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is>
      </c>
      <c r="E64" s="209" t="inlineStr">
        <is>
          <t>None</t>
        </is>
      </c>
      <c r="F64" s="209" t="n"/>
      <c r="G64" s="209" t="inlineStr">
        <is>
          <t>https://attack.mitre.org/techniques/T0846</t>
        </is>
      </c>
      <c r="H64" s="209" t="n"/>
      <c r="I64" s="209" t="n"/>
      <c r="J64" s="209" t="n"/>
      <c r="K64" s="209" t="inlineStr">
        <is>
          <t>16 April 2025</t>
        </is>
      </c>
      <c r="L64" s="209" t="inlineStr">
        <is>
          <t>1.1</t>
        </is>
      </c>
    </row>
    <row r="65" ht="315" customHeight="1" s="146">
      <c r="A65" s="209" t="inlineStr">
        <is>
          <t>T0888</t>
        </is>
      </c>
      <c r="B65" s="209" t="inlineStr">
        <is>
          <t>Remote System Information Discovery</t>
        </is>
      </c>
      <c r="C65" s="209" t="inlineStr">
        <is>
          <t>Discovery</t>
        </is>
      </c>
      <c r="D65" s="209" t="inlineStr">
        <is>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is>
      </c>
      <c r="E65" s="209" t="inlineStr">
        <is>
          <t>None</t>
        </is>
      </c>
      <c r="F65" s="209" t="n"/>
      <c r="G65" s="209" t="inlineStr">
        <is>
          <t>https://attack.mitre.org/techniques/T0888</t>
        </is>
      </c>
      <c r="H65" s="209" t="n"/>
      <c r="I65" s="209" t="n"/>
      <c r="J65" s="209" t="n"/>
      <c r="K65" s="209" t="inlineStr">
        <is>
          <t>16 April 2025</t>
        </is>
      </c>
      <c r="L65" s="209" t="inlineStr">
        <is>
          <t>1.1</t>
        </is>
      </c>
    </row>
    <row r="66" ht="409.5" customHeight="1" s="146">
      <c r="A66" s="209" t="inlineStr">
        <is>
          <t>T0847</t>
        </is>
      </c>
      <c r="B66" s="209" t="inlineStr">
        <is>
          <t>Replication Through Removable Media</t>
        </is>
      </c>
      <c r="C66" s="209" t="inlineStr">
        <is>
          <t>Initial Access</t>
        </is>
      </c>
      <c r="D66" s="209" t="inlineStr">
        <is>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is>
      </c>
      <c r="E66" s="209" t="inlineStr">
        <is>
          <t>None</t>
        </is>
      </c>
      <c r="F66" s="209" t="n"/>
      <c r="G66" s="209" t="inlineStr">
        <is>
          <t>https://attack.mitre.org/techniques/T0847</t>
        </is>
      </c>
      <c r="H66" s="209" t="n"/>
      <c r="I66" s="209" t="n"/>
      <c r="J66" s="209" t="n"/>
      <c r="K66" s="209" t="inlineStr">
        <is>
          <t>15 April 2025</t>
        </is>
      </c>
      <c r="L66" s="209" t="inlineStr">
        <is>
          <t>1.0</t>
        </is>
      </c>
    </row>
    <row r="67" ht="255" customHeight="1" s="146">
      <c r="A67" s="209" t="inlineStr">
        <is>
          <t>T0848</t>
        </is>
      </c>
      <c r="B67" s="209" t="inlineStr">
        <is>
          <t>Rogue Master</t>
        </is>
      </c>
      <c r="C67" s="209" t="inlineStr">
        <is>
          <t>Initial Access</t>
        </is>
      </c>
      <c r="D67" s="209" t="inlineStr">
        <is>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is>
      </c>
      <c r="E67" s="209" t="inlineStr">
        <is>
          <t>None</t>
        </is>
      </c>
      <c r="F67" s="209" t="n"/>
      <c r="G67" s="209" t="inlineStr">
        <is>
          <t>https://attack.mitre.org/techniques/T0848</t>
        </is>
      </c>
      <c r="H67" s="209" t="n"/>
      <c r="I67" s="209" t="n"/>
      <c r="J67" s="209" t="n"/>
      <c r="K67" s="209" t="inlineStr">
        <is>
          <t>16 April 2025</t>
        </is>
      </c>
      <c r="L67" s="209" t="inlineStr">
        <is>
          <t>1.2</t>
        </is>
      </c>
    </row>
    <row r="68" ht="345" customHeight="1" s="146">
      <c r="A68" s="209" t="inlineStr">
        <is>
          <t>T0851</t>
        </is>
      </c>
      <c r="B68" s="209" t="inlineStr">
        <is>
          <t>Rootkit</t>
        </is>
      </c>
      <c r="C68" s="209" t="inlineStr">
        <is>
          <t>Evasion, Inhibit Response Function</t>
        </is>
      </c>
      <c r="D68" s="209" t="inlineStr">
        <is>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is>
      </c>
      <c r="E68" s="209" t="inlineStr">
        <is>
          <t>None</t>
        </is>
      </c>
      <c r="F68" s="209" t="n"/>
      <c r="G68" s="209" t="inlineStr">
        <is>
          <t>https://attack.mitre.org/techniques/T0851</t>
        </is>
      </c>
      <c r="H68" s="209" t="n"/>
      <c r="I68" s="209" t="n"/>
      <c r="J68" s="209" t="n"/>
      <c r="K68" s="209" t="inlineStr">
        <is>
          <t>16 April 2025</t>
        </is>
      </c>
      <c r="L68" s="209" t="inlineStr">
        <is>
          <t>1.1</t>
        </is>
      </c>
    </row>
    <row r="69" ht="195" customHeight="1" s="146">
      <c r="A69" s="209" t="inlineStr">
        <is>
          <t>T0852</t>
        </is>
      </c>
      <c r="B69" s="209" t="inlineStr">
        <is>
          <t>Screen Capture</t>
        </is>
      </c>
      <c r="C69" s="209" t="inlineStr">
        <is>
          <t>Collection</t>
        </is>
      </c>
      <c r="D69" s="209" t="inlineStr">
        <is>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is>
      </c>
      <c r="E69" s="209" t="inlineStr">
        <is>
          <t>None</t>
        </is>
      </c>
      <c r="F69" s="209" t="n"/>
      <c r="G69" s="209" t="inlineStr">
        <is>
          <t>https://attack.mitre.org/techniques/T0852</t>
        </is>
      </c>
      <c r="H69" s="209" t="n"/>
      <c r="I69" s="209" t="n"/>
      <c r="J69" s="209" t="n"/>
      <c r="K69" s="209" t="inlineStr">
        <is>
          <t>25 April 2025</t>
        </is>
      </c>
      <c r="L69" s="209" t="inlineStr">
        <is>
          <t>1.0</t>
        </is>
      </c>
    </row>
    <row r="70" ht="360" customHeight="1" s="146">
      <c r="A70" s="209" t="inlineStr">
        <is>
          <t>T0853</t>
        </is>
      </c>
      <c r="B70" s="209" t="inlineStr">
        <is>
          <t>Scripting</t>
        </is>
      </c>
      <c r="C70" s="209" t="inlineStr">
        <is>
          <t>Execution</t>
        </is>
      </c>
      <c r="D70" s="209" t="inlineStr">
        <is>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is>
      </c>
      <c r="E70" s="209" t="inlineStr">
        <is>
          <t>None</t>
        </is>
      </c>
      <c r="F70" s="209" t="n"/>
      <c r="G70" s="209" t="inlineStr">
        <is>
          <t>https://attack.mitre.org/techniques/T0853</t>
        </is>
      </c>
      <c r="H70" s="209" t="n"/>
      <c r="I70" s="209" t="n"/>
      <c r="J70" s="209" t="n"/>
      <c r="K70" s="209" t="inlineStr">
        <is>
          <t>16 April 2025</t>
        </is>
      </c>
      <c r="L70" s="209" t="inlineStr">
        <is>
          <t>1.0</t>
        </is>
      </c>
    </row>
    <row r="71" ht="150" customHeight="1" s="146">
      <c r="A71" s="209" t="inlineStr">
        <is>
          <t>T0881</t>
        </is>
      </c>
      <c r="B71" s="209" t="inlineStr">
        <is>
          <t>Service Stop</t>
        </is>
      </c>
      <c r="C71" s="209" t="inlineStr">
        <is>
          <t>Inhibit Response Function</t>
        </is>
      </c>
      <c r="D71" s="209" t="inlineStr">
        <is>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is>
      </c>
      <c r="E71" s="209" t="inlineStr">
        <is>
          <t>None</t>
        </is>
      </c>
      <c r="F71" s="209" t="n"/>
      <c r="G71" s="209" t="inlineStr">
        <is>
          <t>https://attack.mitre.org/techniques/T0881</t>
        </is>
      </c>
      <c r="H71" s="209" t="n"/>
      <c r="I71" s="209" t="n"/>
      <c r="J71" s="209" t="n"/>
      <c r="K71" s="209" t="inlineStr">
        <is>
          <t>15 April 2025</t>
        </is>
      </c>
      <c r="L71" s="209" t="inlineStr">
        <is>
          <t>1.1</t>
        </is>
      </c>
    </row>
    <row r="72" ht="315" customHeight="1" s="146">
      <c r="A72" s="209" t="inlineStr">
        <is>
          <t>T0865</t>
        </is>
      </c>
      <c r="B72" s="209" t="inlineStr">
        <is>
          <t>Spearphishing Attachment</t>
        </is>
      </c>
      <c r="C72" s="209" t="inlineStr">
        <is>
          <t>Initial Access</t>
        </is>
      </c>
      <c r="D72" s="209" t="inlineStr">
        <is>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is>
      </c>
      <c r="E72" s="209" t="inlineStr">
        <is>
          <t>None</t>
        </is>
      </c>
      <c r="F72" s="209" t="n"/>
      <c r="G72" s="209" t="inlineStr">
        <is>
          <t>https://attack.mitre.org/techniques/T0865</t>
        </is>
      </c>
      <c r="H72" s="209" t="n"/>
      <c r="I72" s="209" t="n"/>
      <c r="J72" s="209" t="n"/>
      <c r="K72" s="209" t="inlineStr">
        <is>
          <t>16 April 2025</t>
        </is>
      </c>
      <c r="L72" s="209" t="inlineStr">
        <is>
          <t>1.1</t>
        </is>
      </c>
    </row>
    <row r="73" ht="300" customHeight="1" s="146">
      <c r="A73" s="209" t="inlineStr">
        <is>
          <t>T0856</t>
        </is>
      </c>
      <c r="B73" s="209" t="inlineStr">
        <is>
          <t>Spoof Reporting Message</t>
        </is>
      </c>
      <c r="C73" s="209" t="inlineStr">
        <is>
          <t>Evasion, Impair Process Control</t>
        </is>
      </c>
      <c r="D73" s="209" t="inlineStr">
        <is>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is>
      </c>
      <c r="E73" s="209" t="inlineStr">
        <is>
          <t>None</t>
        </is>
      </c>
      <c r="F73" s="209" t="n"/>
      <c r="G73" s="209" t="inlineStr">
        <is>
          <t>https://attack.mitre.org/techniques/T0856</t>
        </is>
      </c>
      <c r="H73" s="209" t="n"/>
      <c r="I73" s="209" t="n"/>
      <c r="J73" s="209" t="n"/>
      <c r="K73" s="209" t="inlineStr">
        <is>
          <t>16 April 2025</t>
        </is>
      </c>
      <c r="L73" s="209" t="inlineStr">
        <is>
          <t>1.2</t>
        </is>
      </c>
    </row>
    <row r="74" ht="150" customHeight="1" s="146">
      <c r="A74" s="209" t="inlineStr">
        <is>
          <t>T0869</t>
        </is>
      </c>
      <c r="B74" s="209" t="inlineStr">
        <is>
          <t>Standard Application Layer Protocol</t>
        </is>
      </c>
      <c r="C74" s="209" t="inlineStr">
        <is>
          <t>Command and Control</t>
        </is>
      </c>
      <c r="D74" s="209" t="inlineStr">
        <is>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is>
      </c>
      <c r="E74" s="209" t="inlineStr">
        <is>
          <t>None</t>
        </is>
      </c>
      <c r="F74" s="209" t="n"/>
      <c r="G74" s="209" t="inlineStr">
        <is>
          <t>https://attack.mitre.org/techniques/T0869</t>
        </is>
      </c>
      <c r="H74" s="209" t="n"/>
      <c r="I74" s="209" t="n"/>
      <c r="J74" s="209" t="n"/>
      <c r="K74" s="209" t="inlineStr">
        <is>
          <t>25 April 2025</t>
        </is>
      </c>
      <c r="L74" s="209" t="inlineStr">
        <is>
          <t>1.0</t>
        </is>
      </c>
    </row>
    <row r="75" ht="409.5" customHeight="1" s="146">
      <c r="A75" s="209" t="inlineStr">
        <is>
          <t>T0862</t>
        </is>
      </c>
      <c r="B75" s="209" t="inlineStr">
        <is>
          <t>Supply Chain Compromise</t>
        </is>
      </c>
      <c r="C75" s="209" t="inlineStr">
        <is>
          <t>Initial Access</t>
        </is>
      </c>
      <c r="D75" s="209" t="inlineStr">
        <is>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is>
      </c>
      <c r="E75" s="209" t="inlineStr">
        <is>
          <t>None</t>
        </is>
      </c>
      <c r="F75" s="209" t="n"/>
      <c r="G75" s="209" t="inlineStr">
        <is>
          <t>https://attack.mitre.org/techniques/T0862</t>
        </is>
      </c>
      <c r="H75" s="209" t="n"/>
      <c r="I75" s="209" t="n"/>
      <c r="J75" s="209" t="n"/>
      <c r="K75" s="209" t="inlineStr">
        <is>
          <t>16 April 2025</t>
        </is>
      </c>
      <c r="L75" s="209" t="inlineStr">
        <is>
          <t>1.1</t>
        </is>
      </c>
    </row>
    <row r="76" ht="409.5" customHeight="1" s="146">
      <c r="A76" s="209" t="inlineStr">
        <is>
          <t>T0894</t>
        </is>
      </c>
      <c r="B76" s="209" t="inlineStr">
        <is>
          <t>System Binary Proxy Execution</t>
        </is>
      </c>
      <c r="C76" s="209" t="inlineStr">
        <is>
          <t>Evasion</t>
        </is>
      </c>
      <c r="D76" s="209" t="inlineStr">
        <is>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is>
      </c>
      <c r="E76" s="209" t="inlineStr">
        <is>
          <t>None</t>
        </is>
      </c>
      <c r="F76" s="209" t="n"/>
      <c r="G76" s="209" t="inlineStr">
        <is>
          <t>https://attack.mitre.org/techniques/T0894</t>
        </is>
      </c>
      <c r="H76" s="209" t="n"/>
      <c r="I76" s="209" t="n"/>
      <c r="J76" s="209" t="n"/>
      <c r="K76" s="209" t="inlineStr">
        <is>
          <t>15 April 2025</t>
        </is>
      </c>
      <c r="L76" s="209" t="inlineStr">
        <is>
          <t>1.0</t>
        </is>
      </c>
    </row>
    <row r="77" ht="255" customHeight="1" s="146">
      <c r="A77" s="209" t="inlineStr">
        <is>
          <t>T0857</t>
        </is>
      </c>
      <c r="B77" s="209" t="inlineStr">
        <is>
          <t>System Firmware</t>
        </is>
      </c>
      <c r="C77" s="209" t="inlineStr">
        <is>
          <t>Inhibit Response Function, Persistence</t>
        </is>
      </c>
      <c r="D77" s="209" t="inlineStr">
        <is>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is>
      </c>
      <c r="E77" s="209" t="inlineStr">
        <is>
          <t>None</t>
        </is>
      </c>
      <c r="F77" s="209" t="n"/>
      <c r="G77" s="209" t="inlineStr">
        <is>
          <t>https://attack.mitre.org/techniques/T0857</t>
        </is>
      </c>
      <c r="H77" s="209" t="n"/>
      <c r="I77" s="209" t="n"/>
      <c r="J77" s="209" t="n"/>
      <c r="K77" s="209" t="inlineStr">
        <is>
          <t>16 April 2025</t>
        </is>
      </c>
      <c r="L77" s="209" t="inlineStr">
        <is>
          <t>1.1</t>
        </is>
      </c>
    </row>
    <row r="78" ht="135" customHeight="1" s="146">
      <c r="A78" s="209" t="inlineStr">
        <is>
          <t>T0882</t>
        </is>
      </c>
      <c r="B78" s="209" t="inlineStr">
        <is>
          <t>Theft of Operational Information</t>
        </is>
      </c>
      <c r="C78" s="209" t="inlineStr">
        <is>
          <t>Impact</t>
        </is>
      </c>
      <c r="D78" s="209" t="inlineStr">
        <is>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is>
      </c>
      <c r="E78" s="209" t="inlineStr">
        <is>
          <t>None</t>
        </is>
      </c>
      <c r="F78" s="209" t="n"/>
      <c r="G78" s="209" t="inlineStr">
        <is>
          <t>https://attack.mitre.org/techniques/T0882</t>
        </is>
      </c>
      <c r="H78" s="209" t="n"/>
      <c r="I78" s="209" t="n"/>
      <c r="J78" s="209" t="n"/>
      <c r="K78" s="209" t="inlineStr">
        <is>
          <t>25 April 2025</t>
        </is>
      </c>
      <c r="L78" s="209" t="inlineStr">
        <is>
          <t>1.0</t>
        </is>
      </c>
    </row>
    <row r="79" ht="409.5" customHeight="1" s="146">
      <c r="A79" s="209" t="inlineStr">
        <is>
          <t>T0864</t>
        </is>
      </c>
      <c r="B79" s="209" t="inlineStr">
        <is>
          <t>Transient Cyber Asset</t>
        </is>
      </c>
      <c r="C79" s="209" t="inlineStr">
        <is>
          <t>Initial Access</t>
        </is>
      </c>
      <c r="D79" s="209" t="inlineStr">
        <is>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is>
      </c>
      <c r="E79" s="209" t="inlineStr">
        <is>
          <t>None</t>
        </is>
      </c>
      <c r="F79" s="209" t="n"/>
      <c r="G79" s="209" t="inlineStr">
        <is>
          <t>https://attack.mitre.org/techniques/T0864</t>
        </is>
      </c>
      <c r="H79" s="209" t="n"/>
      <c r="I79" s="209" t="n"/>
      <c r="J79" s="209" t="n"/>
      <c r="K79" s="209" t="inlineStr">
        <is>
          <t>15 April 2025</t>
        </is>
      </c>
      <c r="L79" s="209" t="inlineStr">
        <is>
          <t>1.2</t>
        </is>
      </c>
    </row>
    <row r="80" ht="330" customHeight="1" s="146">
      <c r="A80" s="209" t="inlineStr">
        <is>
          <t>T0855</t>
        </is>
      </c>
      <c r="B80" s="209" t="inlineStr">
        <is>
          <t>Unauthorized Command Message</t>
        </is>
      </c>
      <c r="C80" s="209" t="inlineStr">
        <is>
          <t>Impair Process Control</t>
        </is>
      </c>
      <c r="D80" s="209" t="inlineStr">
        <is>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is>
      </c>
      <c r="E80" s="209" t="inlineStr">
        <is>
          <t>None</t>
        </is>
      </c>
      <c r="F80" s="209" t="n"/>
      <c r="G80" s="209" t="inlineStr">
        <is>
          <t>https://attack.mitre.org/techniques/T0855</t>
        </is>
      </c>
      <c r="H80" s="209" t="n"/>
      <c r="I80" s="209" t="n"/>
      <c r="J80" s="209" t="n"/>
      <c r="K80" s="209" t="inlineStr">
        <is>
          <t>16 April 2025</t>
        </is>
      </c>
      <c r="L80" s="209" t="inlineStr">
        <is>
          <t>1.2</t>
        </is>
      </c>
    </row>
    <row r="81" ht="330" customHeight="1" s="146">
      <c r="A81" s="209" t="inlineStr">
        <is>
          <t>T0863</t>
        </is>
      </c>
      <c r="B81" s="209" t="inlineStr">
        <is>
          <t>User Execution</t>
        </is>
      </c>
      <c r="C81" s="209" t="inlineStr">
        <is>
          <t>Execution</t>
        </is>
      </c>
      <c r="D81" s="209" t="inlineStr">
        <is>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is>
      </c>
      <c r="E81" s="209" t="inlineStr">
        <is>
          <t>None</t>
        </is>
      </c>
      <c r="F81" s="209" t="n"/>
      <c r="G81" s="209" t="inlineStr">
        <is>
          <t>https://attack.mitre.org/techniques/T0863</t>
        </is>
      </c>
      <c r="H81" s="209" t="n"/>
      <c r="I81" s="209" t="n"/>
      <c r="J81" s="209" t="n"/>
      <c r="K81" s="209" t="inlineStr">
        <is>
          <t>15 April 2025</t>
        </is>
      </c>
      <c r="L81" s="209" t="inlineStr">
        <is>
          <t>1.1</t>
        </is>
      </c>
    </row>
    <row r="82" ht="409.5" customHeight="1" s="146">
      <c r="A82" s="209" t="inlineStr">
        <is>
          <t>T0859</t>
        </is>
      </c>
      <c r="B82" s="209" t="inlineStr">
        <is>
          <t>Valid Accounts</t>
        </is>
      </c>
      <c r="C82" s="209" t="inlineStr">
        <is>
          <t>Lateral Movement, Persistence</t>
        </is>
      </c>
      <c r="D82" s="209" t="inlineStr">
        <is>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is>
      </c>
      <c r="E82" s="209" t="inlineStr">
        <is>
          <t>None</t>
        </is>
      </c>
      <c r="F82" s="209" t="n"/>
      <c r="G82" s="209" t="inlineStr">
        <is>
          <t>https://attack.mitre.org/techniques/T0859</t>
        </is>
      </c>
      <c r="H82" s="209" t="n"/>
      <c r="I82" s="209" t="n"/>
      <c r="J82" s="209" t="n"/>
      <c r="K82" s="209" t="inlineStr">
        <is>
          <t>15 April 2025</t>
        </is>
      </c>
      <c r="L82" s="209" t="inlineStr">
        <is>
          <t>1.1</t>
        </is>
      </c>
    </row>
    <row r="83" ht="375" customHeight="1" s="146">
      <c r="A83" s="209" t="inlineStr">
        <is>
          <t>T0860</t>
        </is>
      </c>
      <c r="B83" s="209" t="inlineStr">
        <is>
          <t>Wireless Compromise</t>
        </is>
      </c>
      <c r="C83" s="209" t="inlineStr">
        <is>
          <t>Initial Access</t>
        </is>
      </c>
      <c r="D83" s="209" t="inlineStr">
        <is>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is>
      </c>
      <c r="E83" s="209" t="inlineStr">
        <is>
          <t>None</t>
        </is>
      </c>
      <c r="F83" s="209" t="n"/>
      <c r="G83" s="209" t="inlineStr">
        <is>
          <t>https://attack.mitre.org/techniques/T0860</t>
        </is>
      </c>
      <c r="H83" s="209" t="n"/>
      <c r="I83" s="209" t="n"/>
      <c r="J83" s="209" t="n"/>
      <c r="K83" s="209" t="inlineStr">
        <is>
          <t>15 April 2025</t>
        </is>
      </c>
      <c r="L83" s="209" t="inlineStr">
        <is>
          <t>1.2</t>
        </is>
      </c>
    </row>
    <row r="84" ht="409.5" customHeight="1" s="146">
      <c r="A84" s="209" t="inlineStr">
        <is>
          <t>T0887</t>
        </is>
      </c>
      <c r="B84" s="209" t="inlineStr">
        <is>
          <t>Wireless Sniffing</t>
        </is>
      </c>
      <c r="C84" s="209" t="inlineStr">
        <is>
          <t>Collection, Discovery</t>
        </is>
      </c>
      <c r="D84" s="209" t="inlineStr">
        <is>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is>
      </c>
      <c r="E84" s="209" t="inlineStr">
        <is>
          <t>None</t>
        </is>
      </c>
      <c r="F84" s="209" t="n"/>
      <c r="G84" s="209" t="inlineStr">
        <is>
          <t>https://attack.mitre.org/techniques/T0887</t>
        </is>
      </c>
      <c r="H84" s="209" t="n"/>
      <c r="I84" s="209" t="n"/>
      <c r="J84" s="209" t="n"/>
      <c r="K84" s="209" t="inlineStr">
        <is>
          <t>16 April 2025</t>
        </is>
      </c>
      <c r="L84" s="209" t="inlineStr">
        <is>
          <t>1.1</t>
        </is>
      </c>
    </row>
  </sheetData>
  <pageMargins left="0.75" right="0.75" top="1" bottom="1" header="0.5" footer="0.5"/>
</worksheet>
</file>

<file path=xl/worksheets/sheet3.xml><?xml version="1.0" encoding="utf-8"?>
<worksheet xmlns="http://schemas.openxmlformats.org/spreadsheetml/2006/main">
  <sheetPr codeName="Hoja47">
    <outlinePr summaryBelow="1" summaryRight="1"/>
    <pageSetUpPr/>
  </sheetPr>
  <dimension ref="A1:D53"/>
  <sheetViews>
    <sheetView workbookViewId="0">
      <selection activeCell="A1" sqref="A1"/>
    </sheetView>
  </sheetViews>
  <sheetFormatPr baseColWidth="10" defaultColWidth="9.140625" defaultRowHeight="15"/>
  <cols>
    <col width="12" customWidth="1" style="146" min="1" max="1"/>
    <col width="35" customWidth="1" style="146" min="2" max="2"/>
    <col width="60" customWidth="1" style="146" min="3" max="3"/>
    <col width="40" customWidth="1" style="146" min="4" max="4"/>
  </cols>
  <sheetData>
    <row r="1">
      <c r="A1" s="97" t="inlineStr">
        <is>
          <t>ID MITRE</t>
        </is>
      </c>
      <c r="B1" s="97" t="inlineStr">
        <is>
          <t>Nombre Mitigación</t>
        </is>
      </c>
      <c r="C1" s="97" t="inlineStr">
        <is>
          <t>Descripción</t>
        </is>
      </c>
      <c r="D1" s="97" t="inlineStr">
        <is>
          <t>Controles ISO 27001 Relacionados</t>
        </is>
      </c>
    </row>
    <row r="2" ht="150" customHeight="1" s="146">
      <c r="A2" s="209" t="inlineStr">
        <is>
          <t>M0801</t>
        </is>
      </c>
      <c r="B2" s="209" t="inlineStr">
        <is>
          <t>Access Management</t>
        </is>
      </c>
      <c r="C2" s="209" t="inlineStr">
        <is>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is>
      </c>
      <c r="D2" s="209" t="n"/>
    </row>
    <row r="3" ht="30" customHeight="1" s="146">
      <c r="A3" s="209" t="inlineStr">
        <is>
          <t>M0936</t>
        </is>
      </c>
      <c r="B3" s="209" t="inlineStr">
        <is>
          <t>Account Use Policies</t>
        </is>
      </c>
      <c r="C3" s="209" t="inlineStr">
        <is>
          <t>Configure features related to account use like login attempt lockouts, specific login times, etc.</t>
        </is>
      </c>
      <c r="D3" s="209" t="n"/>
    </row>
    <row r="4" ht="30" customHeight="1" s="146">
      <c r="A4" s="209" t="inlineStr">
        <is>
          <t>M0915</t>
        </is>
      </c>
      <c r="B4" s="209" t="inlineStr">
        <is>
          <t>Active Directory Configuration</t>
        </is>
      </c>
      <c r="C4" s="209" t="inlineStr">
        <is>
          <t>Configure Active Directory to prevent use of certain techniques; use security identifier (SID) Filtering, etc.</t>
        </is>
      </c>
      <c r="D4" s="209" t="n"/>
    </row>
    <row r="5" ht="105" customHeight="1" s="146">
      <c r="A5" s="209" t="inlineStr">
        <is>
          <t>M0949</t>
        </is>
      </c>
      <c r="B5" s="209" t="inlineStr">
        <is>
          <t>Antivirus/Antimalware</t>
        </is>
      </c>
      <c r="C5" s="209" t="inlineStr">
        <is>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is>
      </c>
      <c r="D5" s="209" t="n"/>
    </row>
    <row r="6" ht="45" customHeight="1" s="146">
      <c r="A6" s="209" t="inlineStr">
        <is>
          <t>M0913</t>
        </is>
      </c>
      <c r="B6" s="209" t="inlineStr">
        <is>
          <t>Application Developer Guidance</t>
        </is>
      </c>
      <c r="C6" s="209" t="inlineStr">
        <is>
          <t>This mitigation describes any guidance or training given to developers of applications to avoid introducing security weaknesses that an adversary may be able to take advantage of.</t>
        </is>
      </c>
      <c r="D6" s="209" t="n"/>
    </row>
    <row r="7" ht="30" customHeight="1" s="146">
      <c r="A7" s="209" t="inlineStr">
        <is>
          <t>M0948</t>
        </is>
      </c>
      <c r="B7" s="209" t="inlineStr">
        <is>
          <t>Application Isolation and Sandboxing</t>
        </is>
      </c>
      <c r="C7" s="209" t="inlineStr">
        <is>
          <t>Restrict the execution of code to a virtual environment on or in-transit to an endpoint system.</t>
        </is>
      </c>
      <c r="D7" s="209" t="n"/>
    </row>
    <row r="8" ht="120" customHeight="1" s="146">
      <c r="A8" s="209" t="inlineStr">
        <is>
          <t>M0947</t>
        </is>
      </c>
      <c r="B8" s="209" t="inlineStr">
        <is>
          <t>Audit</t>
        </is>
      </c>
      <c r="C8" s="209" t="inlineStr">
        <is>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is>
      </c>
      <c r="D8" s="209" t="n"/>
    </row>
    <row r="9" ht="150" customHeight="1" s="146">
      <c r="A9" s="209" t="inlineStr">
        <is>
          <t>M0800</t>
        </is>
      </c>
      <c r="B9" s="209" t="inlineStr">
        <is>
          <t>Authorization Enforcement</t>
        </is>
      </c>
      <c r="C9" s="209" t="inlineStr">
        <is>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is>
      </c>
      <c r="D9" s="209" t="n"/>
    </row>
    <row r="10" ht="30" customHeight="1" s="146">
      <c r="A10" s="209" t="inlineStr">
        <is>
          <t>M0946</t>
        </is>
      </c>
      <c r="B10" s="209" t="inlineStr">
        <is>
          <t>Boot Integrity</t>
        </is>
      </c>
      <c r="C10" s="209" t="inlineStr">
        <is>
          <t>Use secure methods to boot a system and verify the integrity of the operating system and loading mechanisms.</t>
        </is>
      </c>
      <c r="D10" s="209" t="n"/>
    </row>
    <row r="11" ht="30" customHeight="1" s="146">
      <c r="A11" s="209" t="inlineStr">
        <is>
          <t>M0945</t>
        </is>
      </c>
      <c r="B11" s="209" t="inlineStr">
        <is>
          <t>Code Signing</t>
        </is>
      </c>
      <c r="C11" s="209" t="inlineStr">
        <is>
          <t>Enforce binary and application integrity with digital signature verification to prevent untrusted code from executing.</t>
        </is>
      </c>
      <c r="D11" s="209" t="n"/>
    </row>
    <row r="12" ht="90" customHeight="1" s="146">
      <c r="A12" s="209" t="inlineStr">
        <is>
          <t>M0802</t>
        </is>
      </c>
      <c r="B12" s="209" t="inlineStr">
        <is>
          <t>Communication Authenticity</t>
        </is>
      </c>
      <c r="C12" s="209" t="inlineStr">
        <is>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is>
      </c>
      <c r="D12" s="209" t="n"/>
    </row>
    <row r="13" ht="135" customHeight="1" s="146">
      <c r="A13" s="209" t="inlineStr">
        <is>
          <t>M0953</t>
        </is>
      </c>
      <c r="B13" s="209" t="inlineStr">
        <is>
          <t>Data Backup</t>
        </is>
      </c>
      <c r="C13" s="209" t="inlineStr">
        <is>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is>
      </c>
      <c r="D13" s="209" t="n"/>
    </row>
    <row r="14" ht="135" customHeight="1" s="146">
      <c r="A14" s="209" t="inlineStr">
        <is>
          <t>M0803</t>
        </is>
      </c>
      <c r="B14" s="209" t="inlineStr">
        <is>
          <t>Data Loss Prevention</t>
        </is>
      </c>
      <c r="C14" s="209" t="inlineStr">
        <is>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is>
      </c>
      <c r="D14" s="209" t="n"/>
    </row>
    <row r="15" ht="30" customHeight="1" s="146">
      <c r="A15" s="209" t="inlineStr">
        <is>
          <t>M0942</t>
        </is>
      </c>
      <c r="B15" s="209" t="inlineStr">
        <is>
          <t>Disable or Remove Feature or Program</t>
        </is>
      </c>
      <c r="C15" s="209" t="inlineStr">
        <is>
          <t>Remove or deny access to unnecessary and potentially vulnerable software to prevent abuse by adversaries.</t>
        </is>
      </c>
      <c r="D15" s="209" t="n"/>
    </row>
    <row r="16" ht="30" customHeight="1" s="146">
      <c r="A16" s="209" t="inlineStr">
        <is>
          <t>M0808</t>
        </is>
      </c>
      <c r="B16" s="209" t="inlineStr">
        <is>
          <t>Encrypt Network Traffic</t>
        </is>
      </c>
      <c r="C16" s="209" t="inlineStr">
        <is>
          <t>Utilize strong cryptographic techniques and protocols to prevent eavesdropping on network communications.</t>
        </is>
      </c>
      <c r="D16" s="209" t="n"/>
    </row>
    <row r="17">
      <c r="A17" s="209" t="inlineStr">
        <is>
          <t>M0941</t>
        </is>
      </c>
      <c r="B17" s="209" t="inlineStr">
        <is>
          <t>Encrypt Sensitive Information</t>
        </is>
      </c>
      <c r="C17" s="209" t="inlineStr">
        <is>
          <t>Protect sensitive data-at-rest with strong encryption.</t>
        </is>
      </c>
      <c r="D17" s="209" t="n"/>
    </row>
    <row r="18" ht="30" customHeight="1" s="146">
      <c r="A18" s="209" t="inlineStr">
        <is>
          <t>M0938</t>
        </is>
      </c>
      <c r="B18" s="209" t="inlineStr">
        <is>
          <t>Execution Prevention</t>
        </is>
      </c>
      <c r="C18" s="209" t="inlineStr">
        <is>
          <t>Block execution of code on a system through application control, and/or script blocking.</t>
        </is>
      </c>
      <c r="D18" s="209" t="n"/>
    </row>
    <row r="19" ht="30" customHeight="1" s="146">
      <c r="A19" s="209" t="inlineStr">
        <is>
          <t>M0950</t>
        </is>
      </c>
      <c r="B19" s="209" t="inlineStr">
        <is>
          <t>Exploit Protection</t>
        </is>
      </c>
      <c r="C19" s="209" t="inlineStr">
        <is>
          <t>Use capabilities to detect and block conditions that may lead to or be indicative of a software exploit occurring.</t>
        </is>
      </c>
      <c r="D19" s="209" t="n"/>
    </row>
    <row r="20" ht="255" customHeight="1" s="146">
      <c r="A20" s="209" t="inlineStr">
        <is>
          <t>M0937</t>
        </is>
      </c>
      <c r="B20" s="209" t="inlineStr">
        <is>
          <t>Filter Network Traffic</t>
        </is>
      </c>
      <c r="C20" s="209" t="inlineStr">
        <is>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is>
      </c>
      <c r="D20" s="209" t="n"/>
    </row>
    <row r="21" ht="300" customHeight="1" s="146">
      <c r="A21" s="209" t="inlineStr">
        <is>
          <t>M0804</t>
        </is>
      </c>
      <c r="B21" s="209" t="inlineStr">
        <is>
          <t>Human User Authentication</t>
        </is>
      </c>
      <c r="C21" s="209" t="inlineStr">
        <is>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is>
      </c>
      <c r="D21" s="209" t="n"/>
    </row>
    <row r="22" ht="45" customHeight="1" s="146">
      <c r="A22" s="209" t="inlineStr">
        <is>
          <t>M0935</t>
        </is>
      </c>
      <c r="B22" s="209" t="inlineStr">
        <is>
          <t>Limit Access to Resource Over Network</t>
        </is>
      </c>
      <c r="C22" s="209" t="inlineStr">
        <is>
          <t>Prevent access to file shares, remote access to systems, unnecessary services. Mechanisms to limit access may include use of network concentrators, RDP gateways, etc.</t>
        </is>
      </c>
      <c r="D22" s="209" t="n"/>
    </row>
    <row r="23" ht="30" customHeight="1" s="146">
      <c r="A23" s="209" t="inlineStr">
        <is>
          <t>M0934</t>
        </is>
      </c>
      <c r="B23" s="209" t="inlineStr">
        <is>
          <t>Limit Hardware Installation</t>
        </is>
      </c>
      <c r="C23" s="209" t="inlineStr">
        <is>
          <t>Block users or groups from installing or using unapproved hardware on systems, including USB devices.</t>
        </is>
      </c>
      <c r="D23" s="209" t="n"/>
    </row>
    <row r="24" ht="75" customHeight="1" s="146">
      <c r="A24" s="209" t="inlineStr">
        <is>
          <t>M0805</t>
        </is>
      </c>
      <c r="B24" s="209" t="inlineStr">
        <is>
          <t>Mechanical Protection Layers</t>
        </is>
      </c>
      <c r="C24" s="209" t="inlineStr">
        <is>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is>
      </c>
      <c r="D24" s="209" t="n"/>
    </row>
    <row r="25" ht="105" customHeight="1" s="146">
      <c r="A25" s="209" t="inlineStr">
        <is>
          <t>M0806</t>
        </is>
      </c>
      <c r="B25" s="209" t="inlineStr">
        <is>
          <t>Minimize Wireless Signal Propagation</t>
        </is>
      </c>
      <c r="C25" s="209" t="inlineStr">
        <is>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is>
      </c>
      <c r="D25" s="209" t="n"/>
    </row>
    <row r="26" ht="45" customHeight="1" s="146">
      <c r="A26" s="209" t="inlineStr">
        <is>
          <t>M0816</t>
        </is>
      </c>
      <c r="B26" s="209" t="inlineStr">
        <is>
          <t>Mitigation Limited or Not Effective</t>
        </is>
      </c>
      <c r="C26" s="209" t="inlineStr">
        <is>
          <t>This type of attack technique cannot be easily mitigated with preventative controls since it is based on the abuse of system features.</t>
        </is>
      </c>
      <c r="D26" s="209" t="n"/>
    </row>
    <row r="27" ht="90" customHeight="1" s="146">
      <c r="A27" s="209" t="inlineStr">
        <is>
          <t>M0932</t>
        </is>
      </c>
      <c r="B27" s="209" t="inlineStr">
        <is>
          <t>Multi-factor Authentication</t>
        </is>
      </c>
      <c r="C27" s="209" t="inlineStr">
        <is>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is>
      </c>
      <c r="D27" s="209" t="n"/>
    </row>
    <row r="28" ht="105" customHeight="1" s="146">
      <c r="A28" s="209" t="inlineStr">
        <is>
          <t>M0807</t>
        </is>
      </c>
      <c r="B28" s="209" t="inlineStr">
        <is>
          <t>Network Allowlists</t>
        </is>
      </c>
      <c r="C28" s="209" t="inlineStr">
        <is>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is>
      </c>
      <c r="D28" s="209" t="n"/>
    </row>
    <row r="29" ht="75" customHeight="1" s="146">
      <c r="A29" s="209" t="inlineStr">
        <is>
          <t>M0931</t>
        </is>
      </c>
      <c r="B29" s="209" t="inlineStr">
        <is>
          <t>Network Intrusion Prevention</t>
        </is>
      </c>
      <c r="C29" s="209" t="inlineStr">
        <is>
          <t>Use intrusion detection signatures to block traffic at network boundaries.  In industrial control environments, network intrusion prevention should be configured so it will not disrupt protocols and communications responsible for real-time functions related to control or safety.</t>
        </is>
      </c>
      <c r="D29" s="209" t="n"/>
    </row>
    <row r="30" ht="195" customHeight="1" s="146">
      <c r="A30" s="209" t="inlineStr">
        <is>
          <t>M0930</t>
        </is>
      </c>
      <c r="B30" s="209" t="inlineStr">
        <is>
          <t>Network Segmentation</t>
        </is>
      </c>
      <c r="C30" s="209" t="inlineStr">
        <is>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is>
      </c>
      <c r="D30" s="209" t="n"/>
    </row>
    <row r="31" ht="45" customHeight="1" s="146">
      <c r="A31" s="209" t="inlineStr">
        <is>
          <t>M0928</t>
        </is>
      </c>
      <c r="B31" s="209" t="inlineStr">
        <is>
          <t>Operating System Configuration</t>
        </is>
      </c>
      <c r="C31" s="209" t="inlineStr">
        <is>
          <t>Make configuration changes related to the operating system or a common feature of the operating system that result in system hardening against techniques.</t>
        </is>
      </c>
      <c r="D31" s="209" t="n"/>
    </row>
    <row r="32" ht="75" customHeight="1" s="146">
      <c r="A32" s="209" t="inlineStr">
        <is>
          <t>M0809</t>
        </is>
      </c>
      <c r="B32" s="209" t="inlineStr">
        <is>
          <t>Operational Information Confidentiality</t>
        </is>
      </c>
      <c r="C32" s="209" t="inlineStr">
        <is>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is>
      </c>
      <c r="D32" s="209" t="n"/>
    </row>
    <row r="33" ht="75" customHeight="1" s="146">
      <c r="A33" s="209" t="inlineStr">
        <is>
          <t>M0810</t>
        </is>
      </c>
      <c r="B33" s="209" t="inlineStr">
        <is>
          <t>Out-of-Band Communications Channel</t>
        </is>
      </c>
      <c r="C33" s="209" t="inlineStr">
        <is>
          <t>Have alternative methods to support communication requirements during communication failures and data integrity attacks. (Citation: National Institute of Standards and Technology April 2013) (Citation: Defense Advanced Research Projects Agency)</t>
        </is>
      </c>
      <c r="D33" s="209" t="n"/>
    </row>
    <row r="34">
      <c r="A34" s="209" t="inlineStr">
        <is>
          <t>M0927</t>
        </is>
      </c>
      <c r="B34" s="209" t="inlineStr">
        <is>
          <t>Password Policies</t>
        </is>
      </c>
      <c r="C34" s="209" t="inlineStr">
        <is>
          <t>Set and enforce secure password policies for accounts.</t>
        </is>
      </c>
      <c r="D34" s="209" t="n"/>
    </row>
    <row r="35" ht="30" customHeight="1" s="146">
      <c r="A35" s="209" t="inlineStr">
        <is>
          <t>M0926</t>
        </is>
      </c>
      <c r="B35" s="209" t="inlineStr">
        <is>
          <t>Privileged Account Management</t>
        </is>
      </c>
      <c r="C35" s="209" t="inlineStr">
        <is>
          <t>Manage the creation, modification, use, and permissions associated to privileged accounts, including SYSTEM and root.</t>
        </is>
      </c>
      <c r="D35" s="209" t="n"/>
    </row>
    <row r="36" ht="30" customHeight="1" s="146">
      <c r="A36" s="209" t="inlineStr">
        <is>
          <t>M0811</t>
        </is>
      </c>
      <c r="B36" s="209" t="inlineStr">
        <is>
          <t>Redundancy of Service</t>
        </is>
      </c>
      <c r="C36" s="209" t="inlineStr">
        <is>
          <t>Redundancy could be provided for both critical ICS devices and services, such as back-up devices or hot-standbys.</t>
        </is>
      </c>
      <c r="D36" s="209" t="n"/>
    </row>
    <row r="37" ht="30" customHeight="1" s="146">
      <c r="A37" s="209" t="inlineStr">
        <is>
          <t>M0922</t>
        </is>
      </c>
      <c r="B37" s="209" t="inlineStr">
        <is>
          <t>Restrict File and Directory Permissions</t>
        </is>
      </c>
      <c r="C37" s="209" t="inlineStr">
        <is>
          <t>Restrict access by setting directory and file permissions that are not specific to users or privileged accounts.</t>
        </is>
      </c>
      <c r="D37" s="209" t="n"/>
    </row>
    <row r="38" ht="60" customHeight="1" s="146">
      <c r="A38" s="209" t="inlineStr">
        <is>
          <t>M0944</t>
        </is>
      </c>
      <c r="B38" s="209" t="inlineStr">
        <is>
          <t>Restrict Library Loading</t>
        </is>
      </c>
      <c r="C38" s="209" t="inlineStr">
        <is>
          <t>Prevent abuse of library loading mechanisms in the operating system and software to load untrusted code by configuring appropriate library loading mechanisms and investigating potential vulnerable software.</t>
        </is>
      </c>
      <c r="D38" s="209" t="n"/>
    </row>
    <row r="39" ht="30" customHeight="1" s="146">
      <c r="A39" s="209" t="inlineStr">
        <is>
          <t>M0924</t>
        </is>
      </c>
      <c r="B39" s="209" t="inlineStr">
        <is>
          <t>Restrict Registry Permissions</t>
        </is>
      </c>
      <c r="C39" s="209" t="inlineStr">
        <is>
          <t>Restrict the ability to modify certain hives or keys in the Windows Registry.</t>
        </is>
      </c>
      <c r="D39" s="209" t="n"/>
    </row>
    <row r="40" ht="30" customHeight="1" s="146">
      <c r="A40" s="209" t="inlineStr">
        <is>
          <t>M0921</t>
        </is>
      </c>
      <c r="B40" s="209" t="inlineStr">
        <is>
          <t>Restrict Web-Based Content</t>
        </is>
      </c>
      <c r="C40" s="209" t="inlineStr">
        <is>
          <t>Restrict use of certain websites, block downloads/attachments, block Javascript, restrict browser extensions, etc.</t>
        </is>
      </c>
      <c r="D40" s="209" t="n"/>
    </row>
    <row r="41" ht="30" customHeight="1" s="146">
      <c r="A41" s="209" t="inlineStr">
        <is>
          <t>M0920</t>
        </is>
      </c>
      <c r="B41" s="209" t="inlineStr">
        <is>
          <t>SSL/TLS Inspection</t>
        </is>
      </c>
      <c r="C41" s="209" t="inlineStr">
        <is>
          <t>Break and inspect SSL/TLS sessions to look at encrypted web traffic for adversary activity.</t>
        </is>
      </c>
      <c r="D41" s="209" t="n"/>
    </row>
    <row r="42" ht="135" customHeight="1" s="146">
      <c r="A42" s="209" t="inlineStr">
        <is>
          <t>M0812</t>
        </is>
      </c>
      <c r="B42" s="209" t="inlineStr">
        <is>
          <t>Safety Instrumented Systems</t>
        </is>
      </c>
      <c r="C42" s="209" t="inlineStr">
        <is>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is>
      </c>
      <c r="D42" s="209" t="n"/>
    </row>
    <row r="43" ht="45" customHeight="1" s="146">
      <c r="A43" s="209" t="inlineStr">
        <is>
          <t>M0954</t>
        </is>
      </c>
      <c r="B43" s="209" t="inlineStr">
        <is>
          <t>Software Configuration</t>
        </is>
      </c>
      <c r="C43" s="209" t="inlineStr">
        <is>
          <t>Implement configuration changes to software (other than the operating system) to mitigate security risks associated with how the software operates.</t>
        </is>
      </c>
      <c r="D43" s="209" t="n"/>
    </row>
    <row r="44" ht="75" customHeight="1" s="146">
      <c r="A44" s="209" t="inlineStr">
        <is>
          <t>M0813</t>
        </is>
      </c>
      <c r="B44" s="209" t="inlineStr">
        <is>
          <t>Software Process and Device Authentication</t>
        </is>
      </c>
      <c r="C44" s="209" t="inlineStr">
        <is>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is>
      </c>
      <c r="D44" s="209" t="n"/>
    </row>
    <row r="45" ht="105" customHeight="1" s="146">
      <c r="A45" s="209" t="inlineStr">
        <is>
          <t>M0814</t>
        </is>
      </c>
      <c r="B45" s="209" t="inlineStr">
        <is>
          <t>Static Network Configuration</t>
        </is>
      </c>
      <c r="C45" s="209" t="inlineStr">
        <is>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is>
      </c>
      <c r="D45" s="209" t="n"/>
    </row>
    <row r="46" ht="60" customHeight="1" s="146">
      <c r="A46" s="209" t="inlineStr">
        <is>
          <t>M0817</t>
        </is>
      </c>
      <c r="B46" s="209" t="inlineStr">
        <is>
          <t>Supply Chain Management</t>
        </is>
      </c>
      <c r="C46" s="209" t="inlineStr">
        <is>
          <t>Implement a supply chain management program, including policies and procedures to ensure all devices and components originate from a trusted supplier and are tested to verify their integrity.</t>
        </is>
      </c>
      <c r="D46" s="209" t="n"/>
    </row>
    <row r="47" ht="45" customHeight="1" s="146">
      <c r="A47" s="209" t="inlineStr">
        <is>
          <t>M0919</t>
        </is>
      </c>
      <c r="B47" s="209" t="inlineStr">
        <is>
          <t>Threat Intelligence Program</t>
        </is>
      </c>
      <c r="C47" s="209" t="inlineStr">
        <is>
          <t>A threat intelligence program helps an organization generate their own threat intelligence information and track trends to inform defensive priorities to mitigate risk.</t>
        </is>
      </c>
      <c r="D47" s="209" t="n"/>
    </row>
    <row r="48" ht="45" customHeight="1" s="146">
      <c r="A48" s="209" t="inlineStr">
        <is>
          <t>M0951</t>
        </is>
      </c>
      <c r="B48" s="209" t="inlineStr">
        <is>
          <t>Update Software</t>
        </is>
      </c>
      <c r="C48" s="209" t="inlineStr">
        <is>
          <t>Perform regular software updates to mitigate exploitation risk. Software updates may need to be scheduled around operational down times.</t>
        </is>
      </c>
      <c r="D48" s="209" t="n"/>
    </row>
    <row r="49" ht="30" customHeight="1" s="146">
      <c r="A49" s="209" t="inlineStr">
        <is>
          <t>M0918</t>
        </is>
      </c>
      <c r="B49" s="209" t="inlineStr">
        <is>
          <t>User Account Management</t>
        </is>
      </c>
      <c r="C49" s="209" t="inlineStr">
        <is>
          <t>Manage the creation, modification, use, and permissions associated to user accounts.</t>
        </is>
      </c>
      <c r="D49" s="209" t="n"/>
    </row>
    <row r="50" ht="45" customHeight="1" s="146">
      <c r="A50" s="209" t="inlineStr">
        <is>
          <t>M0917</t>
        </is>
      </c>
      <c r="B50" s="209" t="inlineStr">
        <is>
          <t>User Training</t>
        </is>
      </c>
      <c r="C50" s="209" t="inlineStr">
        <is>
          <t>Train users to be aware of access or manipulation attempts by an adversary to reduce the risk of successful spearphishing, social engineering, and other techniques that involve user interaction.</t>
        </is>
      </c>
      <c r="D50" s="209" t="n"/>
    </row>
    <row r="51" ht="135" customHeight="1" s="146">
      <c r="A51" s="209" t="inlineStr">
        <is>
          <t>M0818</t>
        </is>
      </c>
      <c r="B51" s="209" t="inlineStr">
        <is>
          <t>Validate Program Inputs</t>
        </is>
      </c>
      <c r="C51" s="209" t="inlineStr">
        <is>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is>
      </c>
      <c r="D51" s="209" t="n"/>
    </row>
    <row r="52" ht="30" customHeight="1" s="146">
      <c r="A52" s="209" t="inlineStr">
        <is>
          <t>M0916</t>
        </is>
      </c>
      <c r="B52" s="209" t="inlineStr">
        <is>
          <t>Vulnerability Scanning</t>
        </is>
      </c>
      <c r="C52" s="209" t="inlineStr">
        <is>
          <t>Vulnerability scanning is used to find potentially exploitable software vulnerabilities to remediate them.</t>
        </is>
      </c>
      <c r="D52" s="209" t="n"/>
    </row>
    <row r="53" ht="30" customHeight="1" s="146">
      <c r="A53" s="209" t="inlineStr">
        <is>
          <t>M0815</t>
        </is>
      </c>
      <c r="B53" s="209" t="inlineStr">
        <is>
          <t>Watchdog Timers</t>
        </is>
      </c>
      <c r="C53" s="209" t="inlineStr">
        <is>
          <t>Utilize watchdog timers to ensure devices can quickly detect whether a system is unresponsive.</t>
        </is>
      </c>
      <c r="D53" s="209" t="n"/>
    </row>
  </sheetData>
  <pageMargins left="0.75" right="0.75" top="1" bottom="1" header="0.5" footer="0.5"/>
</worksheet>
</file>

<file path=xl/worksheets/sheet4.xml><?xml version="1.0" encoding="utf-8"?>
<worksheet xmlns="http://schemas.openxmlformats.org/spreadsheetml/2006/main">
  <sheetPr codeName="Hoja48">
    <outlinePr summaryBelow="1" summaryRight="1"/>
    <pageSetUpPr/>
  </sheetPr>
  <dimension ref="A1:J15"/>
  <sheetViews>
    <sheetView workbookViewId="0">
      <selection activeCell="A1" sqref="A1"/>
    </sheetView>
  </sheetViews>
  <sheetFormatPr baseColWidth="10" defaultColWidth="9.140625" defaultRowHeight="15"/>
  <cols>
    <col width="10.7109375" bestFit="1" customWidth="1" style="146" min="1" max="1"/>
    <col width="34.28515625" bestFit="1" customWidth="1" style="146" min="2" max="2"/>
    <col width="60" customWidth="1" style="146" min="3" max="3"/>
    <col width="24.28515625" bestFit="1" customWidth="1" style="146" min="4" max="4"/>
  </cols>
  <sheetData>
    <row r="1" ht="18.75" customHeight="1" s="146">
      <c r="A1" s="133" t="inlineStr">
        <is>
          <t>ID Asset</t>
        </is>
      </c>
      <c r="B1" s="134" t="inlineStr">
        <is>
          <t>Nombre Asset ICS</t>
        </is>
      </c>
      <c r="C1" s="134" t="inlineStr">
        <is>
          <t>Descripción</t>
        </is>
      </c>
      <c r="D1" s="134" t="inlineStr">
        <is>
          <t>Activos SGSI Relacionados</t>
        </is>
      </c>
      <c r="E1" s="135" t="n"/>
      <c r="F1" s="135" t="n"/>
      <c r="G1" s="135" t="n"/>
      <c r="H1" s="135" t="n"/>
      <c r="I1" s="135" t="n"/>
      <c r="J1" s="135" t="n"/>
    </row>
    <row r="2" ht="105" customHeight="1" s="146">
      <c r="A2" s="209" t="inlineStr">
        <is>
          <t>A0008</t>
        </is>
      </c>
      <c r="B2" s="209" t="inlineStr">
        <is>
          <t>Application Server</t>
        </is>
      </c>
      <c r="C2" s="209" t="inlineStr">
        <is>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is>
      </c>
      <c r="D2" s="209" t="n"/>
    </row>
    <row r="3" ht="120" customHeight="1" s="146">
      <c r="A3" s="209" t="inlineStr">
        <is>
          <t>A0007</t>
        </is>
      </c>
      <c r="B3" s="209" t="inlineStr">
        <is>
          <t>Control Server</t>
        </is>
      </c>
      <c r="C3" s="209" t="inlineStr">
        <is>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is>
      </c>
      <c r="D3" s="209" t="n"/>
    </row>
    <row r="4" ht="345" customHeight="1" s="146">
      <c r="A4" s="209" t="inlineStr">
        <is>
          <t>A0009</t>
        </is>
      </c>
      <c r="B4" s="209" t="inlineStr">
        <is>
          <t>Data Gateway</t>
        </is>
      </c>
      <c r="C4" s="209" t="inlineStr">
        <is>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is>
      </c>
      <c r="D4" s="209" t="n"/>
    </row>
    <row r="5" ht="180" customHeight="1" s="146">
      <c r="A5" s="209" t="inlineStr">
        <is>
          <t>A0006</t>
        </is>
      </c>
      <c r="B5" s="209" t="inlineStr">
        <is>
          <t>Data Historian</t>
        </is>
      </c>
      <c r="C5" s="209" t="inlineStr">
        <is>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is>
      </c>
      <c r="D5" s="209" t="n"/>
    </row>
    <row r="6" ht="120" customHeight="1" s="146">
      <c r="A6" s="209" t="inlineStr">
        <is>
          <t>A0013</t>
        </is>
      </c>
      <c r="B6" s="209" t="inlineStr">
        <is>
          <t>Field I/O</t>
        </is>
      </c>
      <c r="C6" s="209" t="inlineStr">
        <is>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is>
      </c>
      <c r="D6" s="209" t="n"/>
    </row>
    <row r="7" ht="150" customHeight="1" s="146">
      <c r="A7" s="209" t="inlineStr">
        <is>
          <t>A0002</t>
        </is>
      </c>
      <c r="B7" s="209" t="inlineStr">
        <is>
          <t>Human-Machine Interface (HMI)</t>
        </is>
      </c>
      <c r="C7" s="209" t="inlineStr">
        <is>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is>
      </c>
      <c r="D7" s="209" t="n"/>
    </row>
    <row r="8" ht="135" customHeight="1" s="146">
      <c r="A8" s="209" t="inlineStr">
        <is>
          <t>A0005</t>
        </is>
      </c>
      <c r="B8" s="209" t="inlineStr">
        <is>
          <t>Intelligent Electronic Device (IED)</t>
        </is>
      </c>
      <c r="C8" s="209" t="inlineStr">
        <is>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is>
      </c>
      <c r="D8" s="209" t="n"/>
    </row>
    <row r="9" ht="165" customHeight="1" s="146">
      <c r="A9" s="209" t="inlineStr">
        <is>
          <t>A0012</t>
        </is>
      </c>
      <c r="B9" s="209" t="inlineStr">
        <is>
          <t>Jump Host</t>
        </is>
      </c>
      <c r="C9" s="209" t="inlineStr">
        <is>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is>
      </c>
      <c r="D9" s="209" t="n"/>
    </row>
    <row r="10" ht="195" customHeight="1" s="146">
      <c r="A10" s="209" t="inlineStr">
        <is>
          <t>A0003</t>
        </is>
      </c>
      <c r="B10" s="209" t="inlineStr">
        <is>
          <t>Programmable Logic Controller (PLC)</t>
        </is>
      </c>
      <c r="C10" s="209" t="inlineStr">
        <is>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is>
      </c>
      <c r="D10" s="209" t="n"/>
    </row>
    <row r="11" ht="135" customHeight="1" s="146">
      <c r="A11" s="209" t="inlineStr">
        <is>
          <t>A0004</t>
        </is>
      </c>
      <c r="B11" s="209" t="inlineStr">
        <is>
          <t>Remote Terminal Unit (RTU)</t>
        </is>
      </c>
      <c r="C11" s="209" t="inlineStr">
        <is>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is>
      </c>
      <c r="D11" s="209" t="n"/>
    </row>
    <row r="12" ht="60" customHeight="1" s="146">
      <c r="A12" s="209" t="inlineStr">
        <is>
          <t>A0014</t>
        </is>
      </c>
      <c r="B12" s="209" t="inlineStr">
        <is>
          <t>Routers</t>
        </is>
      </c>
      <c r="C12" s="209" t="inlineStr">
        <is>
          <t>A computer that is a gateway between two networks at OSI layer 3 and that relays and directs data packets through that inter-network. The most common form of router operates on IP packets.(Citation: IETF RFC4949 2007)</t>
        </is>
      </c>
      <c r="D12" s="209" t="n"/>
    </row>
    <row r="13" ht="105" customHeight="1" s="146">
      <c r="A13" s="209" t="inlineStr">
        <is>
          <t>A0010</t>
        </is>
      </c>
      <c r="B13" s="209" t="inlineStr">
        <is>
          <t>Safety Controller</t>
        </is>
      </c>
      <c r="C13" s="209" t="inlineStr">
        <is>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is>
      </c>
      <c r="D13" s="209" t="n"/>
    </row>
    <row r="14" ht="135" customHeight="1" s="146">
      <c r="A14" s="209" t="inlineStr">
        <is>
          <t>A0011</t>
        </is>
      </c>
      <c r="B14" s="209" t="inlineStr">
        <is>
          <t>Virtual Private Network (VPN) Server</t>
        </is>
      </c>
      <c r="C14" s="209" t="inlineStr">
        <is>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is>
      </c>
      <c r="D14" s="209" t="n"/>
    </row>
    <row r="15" ht="165" customHeight="1" s="146">
      <c r="A15" s="209" t="inlineStr">
        <is>
          <t>A0001</t>
        </is>
      </c>
      <c r="B15" s="209" t="inlineStr">
        <is>
          <t>Workstation</t>
        </is>
      </c>
      <c r="C15" s="209" t="inlineStr">
        <is>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is>
      </c>
      <c r="D15" s="209" t="n"/>
    </row>
  </sheetData>
  <pageMargins left="0.75" right="0.75" top="1" bottom="1" header="0.5" footer="0.5"/>
</worksheet>
</file>

<file path=xl/worksheets/sheet5.xml><?xml version="1.0" encoding="utf-8"?>
<worksheet xmlns="http://schemas.openxmlformats.org/spreadsheetml/2006/main">
  <sheetPr codeName="Hoja49">
    <outlinePr summaryBelow="1" summaryRight="1"/>
    <pageSetUpPr/>
  </sheetPr>
  <dimension ref="A1:K39"/>
  <sheetViews>
    <sheetView workbookViewId="0">
      <selection activeCell="A1" sqref="A1:K1"/>
    </sheetView>
  </sheetViews>
  <sheetFormatPr baseColWidth="10" defaultColWidth="9.140625" defaultRowHeight="15"/>
  <cols>
    <col width="20" customWidth="1" style="146" min="1" max="1"/>
    <col width="35" customWidth="1" style="146" min="2" max="3"/>
    <col width="10" customWidth="1" style="146" min="4" max="5"/>
    <col width="12" customWidth="1" style="146" min="6" max="11"/>
  </cols>
  <sheetData>
    <row r="1" ht="30" customHeight="1" s="146">
      <c r="A1" s="178" t="inlineStr">
        <is>
          <t>🎯 GUÍA DE MAPEO MITRE ATT&amp;CK ICS - EJEMPLOS PRÁCTICOS</t>
        </is>
      </c>
    </row>
    <row r="2">
      <c r="A2" s="180" t="inlineStr">
        <is>
          <t>Esta hoja muestra ejemplos de cómo mapear tus activos, riesgos y amenazas con códigos MITRE</t>
        </is>
      </c>
    </row>
    <row r="4" ht="24.95" customHeight="1" s="146">
      <c r="A4" s="184" t="inlineStr">
        <is>
          <t>📦 EJEMPLO 1: MAPEO DE ACTIVOS CON ASSETS ICS MITRE</t>
        </is>
      </c>
    </row>
    <row r="5" ht="30" customHeight="1" s="146">
      <c r="A5" s="100" t="inlineStr">
        <is>
          <t>Tipo de Activo</t>
        </is>
      </c>
      <c r="B5" s="100" t="inlineStr">
        <is>
          <t>Ejemplo Real</t>
        </is>
      </c>
      <c r="C5" s="100" t="inlineStr">
        <is>
          <t>Asset ICS MITRE</t>
        </is>
      </c>
      <c r="D5" s="100" t="inlineStr">
        <is>
          <t>Código</t>
        </is>
      </c>
      <c r="E5" s="100" t="inlineStr">
        <is>
          <t>Confianza</t>
        </is>
      </c>
      <c r="F5" s="100" t="inlineStr">
        <is>
          <t>Técnica MITRE #1</t>
        </is>
      </c>
      <c r="G5" s="100" t="inlineStr">
        <is>
          <t>Código</t>
        </is>
      </c>
      <c r="H5" s="100" t="inlineStr">
        <is>
          <t>Conf%</t>
        </is>
      </c>
      <c r="I5" s="100" t="inlineStr">
        <is>
          <t>Técnica #2</t>
        </is>
      </c>
      <c r="J5" s="100" t="inlineStr">
        <is>
          <t>Código</t>
        </is>
      </c>
      <c r="K5" s="100" t="inlineStr">
        <is>
          <t>Conf%</t>
        </is>
      </c>
    </row>
    <row r="6" ht="30" customHeight="1" s="146">
      <c r="A6" s="104" t="inlineStr">
        <is>
          <t>PLC Siemens</t>
        </is>
      </c>
      <c r="B6" s="104" t="inlineStr">
        <is>
          <t>PLC S7-1200 Línea Producción 1</t>
        </is>
      </c>
      <c r="C6" s="104" t="inlineStr">
        <is>
          <t>Programmable Logic Controller</t>
        </is>
      </c>
      <c r="D6" s="104" t="inlineStr">
        <is>
          <t>A0003</t>
        </is>
      </c>
      <c r="E6" s="105" t="n">
        <v>95</v>
      </c>
      <c r="F6" s="104" t="inlineStr">
        <is>
          <t>Module Firmware</t>
        </is>
      </c>
      <c r="G6" s="104" t="inlineStr">
        <is>
          <t>T0839</t>
        </is>
      </c>
      <c r="H6" s="105" t="n">
        <v>85</v>
      </c>
      <c r="I6" s="104" t="inlineStr">
        <is>
          <t>Modify Program</t>
        </is>
      </c>
      <c r="J6" s="104" t="inlineStr">
        <is>
          <t>T0889</t>
        </is>
      </c>
      <c r="K6" s="105" t="n">
        <v>80</v>
      </c>
    </row>
    <row r="7" ht="60" customHeight="1" s="146">
      <c r="A7" s="104" t="inlineStr">
        <is>
          <t>Servidor SCADA</t>
        </is>
      </c>
      <c r="B7" s="104" t="inlineStr">
        <is>
          <t>Servidor WinCC Control Central</t>
        </is>
      </c>
      <c r="C7" s="104" t="inlineStr">
        <is>
          <t>Control Server</t>
        </is>
      </c>
      <c r="D7" s="104" t="inlineStr">
        <is>
          <t>A0007</t>
        </is>
      </c>
      <c r="E7" s="105" t="n">
        <v>90</v>
      </c>
      <c r="F7" s="104" t="inlineStr">
        <is>
          <t>Exploit Public-Facing Application</t>
        </is>
      </c>
      <c r="G7" s="104" t="inlineStr">
        <is>
          <t>T0819</t>
        </is>
      </c>
      <c r="H7" s="105" t="n">
        <v>75</v>
      </c>
      <c r="I7" s="104" t="inlineStr">
        <is>
          <t>Drive-by Compromise</t>
        </is>
      </c>
      <c r="J7" s="104" t="inlineStr">
        <is>
          <t>T0817</t>
        </is>
      </c>
      <c r="K7" s="105" t="n">
        <v>70</v>
      </c>
    </row>
    <row r="8" ht="45" customHeight="1" s="146">
      <c r="A8" s="104" t="inlineStr">
        <is>
          <t>HMI</t>
        </is>
      </c>
      <c r="B8" s="104" t="inlineStr">
        <is>
          <t>Panel HMI Operador Sala Control</t>
        </is>
      </c>
      <c r="C8" s="104" t="inlineStr">
        <is>
          <t>Human-Machine Interface</t>
        </is>
      </c>
      <c r="D8" s="104" t="inlineStr">
        <is>
          <t>A0002</t>
        </is>
      </c>
      <c r="E8" s="105" t="n">
        <v>95</v>
      </c>
      <c r="F8" s="104" t="inlineStr">
        <is>
          <t>Graphical User Interface</t>
        </is>
      </c>
      <c r="G8" s="104" t="inlineStr">
        <is>
          <t>T0823</t>
        </is>
      </c>
      <c r="H8" s="105" t="n">
        <v>90</v>
      </c>
      <c r="I8" s="104" t="inlineStr">
        <is>
          <t>Denial of View</t>
        </is>
      </c>
      <c r="J8" s="104" t="inlineStr">
        <is>
          <t>T0815</t>
        </is>
      </c>
      <c r="K8" s="105" t="n">
        <v>75</v>
      </c>
    </row>
    <row r="9" ht="45" customHeight="1" s="146">
      <c r="A9" s="104" t="inlineStr">
        <is>
          <t>Switch Industrial</t>
        </is>
      </c>
      <c r="B9" s="104" t="inlineStr">
        <is>
          <t>Switch Cisco IE-3000 Red OT</t>
        </is>
      </c>
      <c r="C9" s="104" t="inlineStr">
        <is>
          <t>Routers</t>
        </is>
      </c>
      <c r="D9" s="104" t="inlineStr">
        <is>
          <t>A0014</t>
        </is>
      </c>
      <c r="E9" s="105" t="n">
        <v>85</v>
      </c>
      <c r="F9" s="104" t="inlineStr">
        <is>
          <t>Network Sniffing</t>
        </is>
      </c>
      <c r="G9" s="104" t="inlineStr">
        <is>
          <t>T0840</t>
        </is>
      </c>
      <c r="H9" s="105" t="n">
        <v>80</v>
      </c>
      <c r="I9" s="104" t="inlineStr">
        <is>
          <t>Adversary-in-the-Middle</t>
        </is>
      </c>
      <c r="J9" s="104" t="inlineStr">
        <is>
          <t>T0830</t>
        </is>
      </c>
      <c r="K9" s="105" t="n">
        <v>75</v>
      </c>
    </row>
    <row r="10" ht="45" customHeight="1" s="146">
      <c r="A10" s="104" t="inlineStr">
        <is>
          <t>Workstation</t>
        </is>
      </c>
      <c r="B10" s="104" t="inlineStr">
        <is>
          <t>PC Ingeniería TIA Portal</t>
        </is>
      </c>
      <c r="C10" s="104" t="inlineStr">
        <is>
          <t>Workstation</t>
        </is>
      </c>
      <c r="D10" s="104" t="inlineStr">
        <is>
          <t>A0001</t>
        </is>
      </c>
      <c r="E10" s="105" t="n">
        <v>95</v>
      </c>
      <c r="F10" s="104" t="inlineStr">
        <is>
          <t>Engineering Workstation</t>
        </is>
      </c>
      <c r="G10" s="104" t="inlineStr">
        <is>
          <t>T0818</t>
        </is>
      </c>
      <c r="H10" s="105" t="n">
        <v>85</v>
      </c>
      <c r="I10" s="104" t="inlineStr">
        <is>
          <t>Spearphishing Attachment</t>
        </is>
      </c>
      <c r="J10" s="104" t="inlineStr">
        <is>
          <t>T0865</t>
        </is>
      </c>
      <c r="K10" s="105" t="n">
        <v>70</v>
      </c>
    </row>
    <row r="13" ht="24.95" customHeight="1" s="146">
      <c r="A13" s="182" t="inlineStr">
        <is>
          <t>⚠️ EJEMPLO 2: MAPEO DE RIESGOS CON TÉCNICAS MITRE</t>
        </is>
      </c>
    </row>
    <row r="14">
      <c r="A14" s="100" t="inlineStr">
        <is>
          <t>Riesgo Identificado</t>
        </is>
      </c>
      <c r="B14" s="100" t="inlineStr">
        <is>
          <t>Descripción del Riesgo</t>
        </is>
      </c>
      <c r="C14" s="100" t="inlineStr">
        <is>
          <t>Técnica MITRE</t>
        </is>
      </c>
      <c r="D14" s="100" t="inlineStr">
        <is>
          <t>Código</t>
        </is>
      </c>
      <c r="E14" s="100" t="inlineStr">
        <is>
          <t>Conf%</t>
        </is>
      </c>
      <c r="F14" s="100" t="inlineStr">
        <is>
          <t>Táctica</t>
        </is>
      </c>
      <c r="G14" s="100" t="inlineStr">
        <is>
          <t>Impacto</t>
        </is>
      </c>
      <c r="H14" s="100" t="inlineStr">
        <is>
          <t>Técnica #2</t>
        </is>
      </c>
      <c r="I14" s="100" t="inlineStr">
        <is>
          <t>Código</t>
        </is>
      </c>
      <c r="J14" s="100" t="inlineStr">
        <is>
          <t>Conf%</t>
        </is>
      </c>
      <c r="K14" s="100" t="inlineStr">
        <is>
          <t>Táctica</t>
        </is>
      </c>
    </row>
    <row r="15" ht="45" customHeight="1" s="146">
      <c r="A15" s="104" t="inlineStr">
        <is>
          <t>Acceso no autorizado PLC</t>
        </is>
      </c>
      <c r="B15" s="104" t="inlineStr">
        <is>
          <t>Modificación no autorizada de lógica de control en PLC</t>
        </is>
      </c>
      <c r="C15" s="104" t="inlineStr">
        <is>
          <t>Modify Program</t>
        </is>
      </c>
      <c r="D15" s="104" t="inlineStr">
        <is>
          <t>T0889</t>
        </is>
      </c>
      <c r="E15" s="105" t="n">
        <v>90</v>
      </c>
      <c r="F15" s="104" t="inlineStr">
        <is>
          <t>Inhibit Response Function</t>
        </is>
      </c>
      <c r="G15" s="104" t="inlineStr">
        <is>
          <t>CRÍTICO</t>
        </is>
      </c>
      <c r="H15" s="104" t="inlineStr">
        <is>
          <t>Module Firmware</t>
        </is>
      </c>
      <c r="I15" s="104" t="inlineStr">
        <is>
          <t>T0839</t>
        </is>
      </c>
      <c r="J15" s="105" t="n">
        <v>85</v>
      </c>
      <c r="K15" s="104" t="inlineStr">
        <is>
          <t>Persistence</t>
        </is>
      </c>
    </row>
    <row r="16" ht="30" customHeight="1" s="146">
      <c r="A16" s="104" t="inlineStr">
        <is>
          <t>Interceptación comunicaciones</t>
        </is>
      </c>
      <c r="B16" s="104" t="inlineStr">
        <is>
          <t>Ataque Man-in-the-Middle en red OT sin cifrado</t>
        </is>
      </c>
      <c r="C16" s="104" t="inlineStr">
        <is>
          <t>Adversary-in-the-Middle</t>
        </is>
      </c>
      <c r="D16" s="104" t="inlineStr">
        <is>
          <t>T0830</t>
        </is>
      </c>
      <c r="E16" s="105" t="n">
        <v>95</v>
      </c>
      <c r="F16" s="104" t="inlineStr">
        <is>
          <t>Collection</t>
        </is>
      </c>
      <c r="G16" s="104" t="inlineStr">
        <is>
          <t>ALTO</t>
        </is>
      </c>
      <c r="H16" s="104" t="inlineStr">
        <is>
          <t>Network Sniffing</t>
        </is>
      </c>
      <c r="I16" s="104" t="inlineStr">
        <is>
          <t>T0840</t>
        </is>
      </c>
      <c r="J16" s="105" t="n">
        <v>85</v>
      </c>
      <c r="K16" s="104" t="inlineStr">
        <is>
          <t>Discovery</t>
        </is>
      </c>
    </row>
    <row r="17" ht="30" customHeight="1" s="146">
      <c r="A17" s="104" t="inlineStr">
        <is>
          <t>Denegación servicio SCADA</t>
        </is>
      </c>
      <c r="B17" s="104" t="inlineStr">
        <is>
          <t>Ataque DoS que impide visualización proceso industrial</t>
        </is>
      </c>
      <c r="C17" s="104" t="inlineStr">
        <is>
          <t>Denial of View</t>
        </is>
      </c>
      <c r="D17" s="104" t="inlineStr">
        <is>
          <t>T0815</t>
        </is>
      </c>
      <c r="E17" s="105" t="n">
        <v>90</v>
      </c>
      <c r="F17" s="104" t="inlineStr">
        <is>
          <t>Impact</t>
        </is>
      </c>
      <c r="G17" s="104" t="inlineStr">
        <is>
          <t>CRÍTICO</t>
        </is>
      </c>
      <c r="H17" s="104" t="inlineStr">
        <is>
          <t>Loss of Availability</t>
        </is>
      </c>
      <c r="I17" s="104" t="inlineStr">
        <is>
          <t>T0826</t>
        </is>
      </c>
      <c r="J17" s="105" t="n">
        <v>85</v>
      </c>
      <c r="K17" s="104" t="inlineStr">
        <is>
          <t>Impact</t>
        </is>
      </c>
    </row>
    <row r="18" ht="30" customHeight="1" s="146">
      <c r="A18" s="104" t="inlineStr">
        <is>
          <t>Malware en workstation</t>
        </is>
      </c>
      <c r="B18" s="104" t="inlineStr">
        <is>
          <t>Infección por spearphishing en PC ingeniería</t>
        </is>
      </c>
      <c r="C18" s="104" t="inlineStr">
        <is>
          <t>Spearphishing Attachment</t>
        </is>
      </c>
      <c r="D18" s="104" t="inlineStr">
        <is>
          <t>T0865</t>
        </is>
      </c>
      <c r="E18" s="105" t="n">
        <v>85</v>
      </c>
      <c r="F18" s="104" t="inlineStr">
        <is>
          <t>Initial Access</t>
        </is>
      </c>
      <c r="G18" s="104" t="inlineStr">
        <is>
          <t>ALTO</t>
        </is>
      </c>
      <c r="H18" s="104" t="inlineStr">
        <is>
          <t>User Execution</t>
        </is>
      </c>
      <c r="I18" s="104" t="inlineStr">
        <is>
          <t>T0863</t>
        </is>
      </c>
      <c r="J18" s="105" t="n">
        <v>80</v>
      </c>
      <c r="K18" s="104" t="inlineStr">
        <is>
          <t>Execution</t>
        </is>
      </c>
    </row>
    <row r="19" ht="30" customHeight="1" s="146">
      <c r="A19" s="104" t="inlineStr">
        <is>
          <t>Credenciales hardcoded</t>
        </is>
      </c>
      <c r="B19" s="104" t="inlineStr">
        <is>
          <t>Contraseñas fijas en firmware de dispositivos ICS</t>
        </is>
      </c>
      <c r="C19" s="104" t="inlineStr">
        <is>
          <t>Hardcoded Credentials</t>
        </is>
      </c>
      <c r="D19" s="104" t="inlineStr">
        <is>
          <t>T0891</t>
        </is>
      </c>
      <c r="E19" s="105" t="n">
        <v>95</v>
      </c>
      <c r="F19" s="104" t="inlineStr">
        <is>
          <t>Persistence</t>
        </is>
      </c>
      <c r="G19" s="104" t="inlineStr">
        <is>
          <t>CRÍTICO</t>
        </is>
      </c>
      <c r="H19" s="104" t="inlineStr">
        <is>
          <t>Valid Accounts</t>
        </is>
      </c>
      <c r="I19" s="104" t="inlineStr">
        <is>
          <t>T0859</t>
        </is>
      </c>
      <c r="J19" s="105" t="n">
        <v>85</v>
      </c>
      <c r="K19" s="104" t="inlineStr">
        <is>
          <t>Lateral Movement</t>
        </is>
      </c>
    </row>
    <row r="22" ht="24.95" customHeight="1" s="146">
      <c r="A22" s="183" t="inlineStr">
        <is>
          <t>🔄 MATRIZ DE INTERACCIÓN: ASSETS ICS ↔ TÉCNICAS MITRE</t>
        </is>
      </c>
    </row>
    <row r="23">
      <c r="A23" s="185" t="inlineStr">
        <is>
          <t>Esta matriz muestra qué técnicas MITRE son aplicables a cada tipo de Asset ICS</t>
        </is>
      </c>
    </row>
    <row r="25">
      <c r="A25" s="100" t="inlineStr">
        <is>
          <t>Asset ICS</t>
        </is>
      </c>
      <c r="B25" s="100" t="inlineStr">
        <is>
          <t>Código</t>
        </is>
      </c>
      <c r="C25" s="100" t="inlineStr">
        <is>
          <t>Técnicas Aplicables (Top 5)</t>
        </is>
      </c>
      <c r="D25" s="100" t="inlineStr">
        <is>
          <t>T1</t>
        </is>
      </c>
      <c r="E25" s="100" t="inlineStr">
        <is>
          <t>T2</t>
        </is>
      </c>
      <c r="F25" s="100" t="inlineStr">
        <is>
          <t>T3</t>
        </is>
      </c>
      <c r="G25" s="100" t="inlineStr">
        <is>
          <t>T4</t>
        </is>
      </c>
      <c r="H25" s="100" t="inlineStr">
        <is>
          <t>T5</t>
        </is>
      </c>
      <c r="I25" s="100" t="inlineStr">
        <is>
          <t>Prioridad</t>
        </is>
      </c>
      <c r="J25" s="100" t="inlineStr">
        <is>
          <t>Impacto</t>
        </is>
      </c>
      <c r="K25" s="100" t="inlineStr">
        <is>
          <t>Notas</t>
        </is>
      </c>
    </row>
    <row r="26" ht="45" customHeight="1" s="146">
      <c r="A26" s="104" t="inlineStr">
        <is>
          <t>PLC</t>
        </is>
      </c>
      <c r="B26" s="104" t="inlineStr">
        <is>
          <t>A0003</t>
        </is>
      </c>
      <c r="C26" s="104" t="inlineStr">
        <is>
          <t>Controlador más crítico</t>
        </is>
      </c>
      <c r="D26" s="104" t="inlineStr">
        <is>
          <t>T0839</t>
        </is>
      </c>
      <c r="E26" s="104" t="inlineStr">
        <is>
          <t>T0889</t>
        </is>
      </c>
      <c r="F26" s="104" t="inlineStr">
        <is>
          <t>T0873</t>
        </is>
      </c>
      <c r="G26" s="104" t="inlineStr">
        <is>
          <t>T0858</t>
        </is>
      </c>
      <c r="H26" s="104" t="inlineStr">
        <is>
          <t>T0836</t>
        </is>
      </c>
      <c r="I26" s="104" t="inlineStr">
        <is>
          <t>CRÍTICA</t>
        </is>
      </c>
      <c r="J26" s="104" t="inlineStr">
        <is>
          <t>Parada producción</t>
        </is>
      </c>
      <c r="K26" s="104" t="inlineStr">
        <is>
          <t>Requiere segmentación red</t>
        </is>
      </c>
    </row>
    <row r="27" ht="30" customHeight="1" s="146">
      <c r="A27" s="104" t="inlineStr">
        <is>
          <t>HMI</t>
        </is>
      </c>
      <c r="B27" s="104" t="inlineStr">
        <is>
          <t>A0002</t>
        </is>
      </c>
      <c r="C27" s="104" t="inlineStr">
        <is>
          <t>Interfaz operador</t>
        </is>
      </c>
      <c r="D27" s="104" t="inlineStr">
        <is>
          <t>T0823</t>
        </is>
      </c>
      <c r="E27" s="104" t="inlineStr">
        <is>
          <t>T0815</t>
        </is>
      </c>
      <c r="F27" s="104" t="inlineStr">
        <is>
          <t>T0831</t>
        </is>
      </c>
      <c r="G27" s="104" t="inlineStr">
        <is>
          <t>T0817</t>
        </is>
      </c>
      <c r="H27" s="104" t="inlineStr">
        <is>
          <t>T0819</t>
        </is>
      </c>
      <c r="I27" s="104" t="inlineStr">
        <is>
          <t>ALTA</t>
        </is>
      </c>
      <c r="J27" s="104" t="inlineStr">
        <is>
          <t>Pérdida visibilidad</t>
        </is>
      </c>
      <c r="K27" s="104" t="inlineStr">
        <is>
          <t>Hardening requerido</t>
        </is>
      </c>
    </row>
    <row r="28" ht="45" customHeight="1" s="146">
      <c r="A28" s="104" t="inlineStr">
        <is>
          <t>Control Server</t>
        </is>
      </c>
      <c r="B28" s="104" t="inlineStr">
        <is>
          <t>A0007</t>
        </is>
      </c>
      <c r="C28" s="104" t="inlineStr">
        <is>
          <t>Servidor SCADA/DCS</t>
        </is>
      </c>
      <c r="D28" s="104" t="inlineStr">
        <is>
          <t>T0819</t>
        </is>
      </c>
      <c r="E28" s="104" t="inlineStr">
        <is>
          <t>T0866</t>
        </is>
      </c>
      <c r="F28" s="104" t="inlineStr">
        <is>
          <t>T0822</t>
        </is>
      </c>
      <c r="G28" s="104" t="inlineStr">
        <is>
          <t>T0817</t>
        </is>
      </c>
      <c r="H28" s="104" t="inlineStr">
        <is>
          <t>T0883</t>
        </is>
      </c>
      <c r="I28" s="104" t="inlineStr">
        <is>
          <t>CRÍTICA</t>
        </is>
      </c>
      <c r="J28" s="104" t="inlineStr">
        <is>
          <t>Control total perdido</t>
        </is>
      </c>
      <c r="K28" s="104" t="inlineStr">
        <is>
          <t>Fortificar acceso</t>
        </is>
      </c>
    </row>
    <row r="29" ht="30" customHeight="1" s="146">
      <c r="A29" s="104" t="inlineStr">
        <is>
          <t>Data Historian</t>
        </is>
      </c>
      <c r="B29" s="104" t="inlineStr">
        <is>
          <t>A0006</t>
        </is>
      </c>
      <c r="C29" s="104" t="inlineStr">
        <is>
          <t>Base datos históricos</t>
        </is>
      </c>
      <c r="D29" s="104" t="inlineStr">
        <is>
          <t>T0811</t>
        </is>
      </c>
      <c r="E29" s="104" t="inlineStr">
        <is>
          <t>T0893</t>
        </is>
      </c>
      <c r="F29" s="104" t="inlineStr">
        <is>
          <t>T0802</t>
        </is>
      </c>
      <c r="G29" s="104" t="inlineStr">
        <is>
          <t>T0830</t>
        </is>
      </c>
      <c r="H29" s="104" t="inlineStr">
        <is>
          <t>T0868</t>
        </is>
      </c>
      <c r="I29" s="104" t="inlineStr">
        <is>
          <t>MEDIA</t>
        </is>
      </c>
      <c r="J29" s="104" t="inlineStr">
        <is>
          <t>Pérdida datos</t>
        </is>
      </c>
      <c r="K29" s="104" t="inlineStr">
        <is>
          <t>Backup crítico</t>
        </is>
      </c>
    </row>
    <row r="30" ht="45" customHeight="1" s="146">
      <c r="A30" s="104" t="inlineStr">
        <is>
          <t>Workstation</t>
        </is>
      </c>
      <c r="B30" s="104" t="inlineStr">
        <is>
          <t>A0001</t>
        </is>
      </c>
      <c r="C30" s="104" t="inlineStr">
        <is>
          <t>PC ingeniería</t>
        </is>
      </c>
      <c r="D30" s="104" t="inlineStr">
        <is>
          <t>T0818</t>
        </is>
      </c>
      <c r="E30" s="104" t="inlineStr">
        <is>
          <t>T0865</t>
        </is>
      </c>
      <c r="F30" s="104" t="inlineStr">
        <is>
          <t>T0817</t>
        </is>
      </c>
      <c r="G30" s="104" t="inlineStr">
        <is>
          <t>T0807</t>
        </is>
      </c>
      <c r="H30" s="104" t="inlineStr">
        <is>
          <t>T0823</t>
        </is>
      </c>
      <c r="I30" s="104" t="inlineStr">
        <is>
          <t>ALTA</t>
        </is>
      </c>
      <c r="J30" s="104" t="inlineStr">
        <is>
          <t>Punto entrada</t>
        </is>
      </c>
      <c r="K30" s="104" t="inlineStr">
        <is>
          <t>EDR recomendado</t>
        </is>
      </c>
    </row>
    <row r="33" ht="15.75" customHeight="1" s="146">
      <c r="A33" s="181" t="inlineStr">
        <is>
          <t>📚 GUÍA DE USO DEL MAPEO</t>
        </is>
      </c>
    </row>
    <row r="34" ht="24.95" customHeight="1" s="146">
      <c r="A34" s="179" t="inlineStr">
        <is>
          <t>1. IDENTIFICA TUS ACTIVOS: En la hoja 'Activos', clasifica cada activo según el Asset ICS MITRE más apropiado</t>
        </is>
      </c>
    </row>
    <row r="35" ht="24.95" customHeight="1" s="146">
      <c r="A35" s="179" t="inlineStr">
        <is>
          <t>2. MAPEA RIESGOS: En 'Matriz_Riesgos', vincula cada riesgo con las técnicas MITRE aplicables</t>
        </is>
      </c>
    </row>
    <row r="36" ht="24.95" customHeight="1" s="146">
      <c r="A36" s="179" t="inlineStr">
        <is>
          <t>3. USA CÓDIGOS: Los códigos T#### son técnicas de ataque, A#### son tipos de activos ICS</t>
        </is>
      </c>
    </row>
    <row r="37" ht="24.95" customHeight="1" s="146">
      <c r="A37" s="179" t="inlineStr">
        <is>
          <t>4. PORCENTAJE: Verde (70-100%) = alta confianza, Amarillo (40-69%) = media, Rojo (&lt;40%) = revisar</t>
        </is>
      </c>
    </row>
    <row r="38" ht="24.95" customHeight="1" s="146">
      <c r="A38" s="179" t="inlineStr">
        <is>
          <t>5. CONSULTA DETALLES: Revisa hojas 'MITRE_Ataques' y 'MITRE_Assets_ICS' para más información</t>
        </is>
      </c>
    </row>
    <row r="39" ht="24.95" customHeight="1" s="146">
      <c r="A39" s="179" t="inlineStr">
        <is>
          <t>6. PRIORIZA: Usa las tácticas MITRE para entender el tipo de ataque (Initial Access, Impact, etc.)</t>
        </is>
      </c>
    </row>
  </sheetData>
  <mergeCells count="13">
    <mergeCell ref="A22:K22"/>
    <mergeCell ref="A34:K34"/>
    <mergeCell ref="A35:K35"/>
    <mergeCell ref="A4:K4"/>
    <mergeCell ref="A37:K37"/>
    <mergeCell ref="A39:K39"/>
    <mergeCell ref="A36:K36"/>
    <mergeCell ref="A38:K38"/>
    <mergeCell ref="A2:K2"/>
    <mergeCell ref="A33:K33"/>
    <mergeCell ref="A13:K13"/>
    <mergeCell ref="A1:K1"/>
    <mergeCell ref="A23:K23"/>
  </mergeCells>
  <pageMargins left="0.75" right="0.75" top="1" bottom="1" header="0.5" footer="0.5"/>
</worksheet>
</file>

<file path=xl/worksheets/sheet6.xml><?xml version="1.0" encoding="utf-8"?>
<worksheet xmlns="http://schemas.openxmlformats.org/spreadsheetml/2006/main">
  <sheetPr codeName="Hoja50">
    <outlinePr summaryBelow="1" summaryRight="1"/>
    <pageSetUpPr/>
  </sheetPr>
  <dimension ref="A1:E41"/>
  <sheetViews>
    <sheetView workbookViewId="0">
      <selection activeCell="A1" sqref="A1:E1"/>
    </sheetView>
  </sheetViews>
  <sheetFormatPr baseColWidth="10" defaultColWidth="9.140625" defaultRowHeight="15"/>
  <cols>
    <col width="15" customWidth="1" style="146" min="1" max="1"/>
    <col width="35" customWidth="1" style="146" min="2" max="2"/>
    <col width="50" customWidth="1" style="146" min="3" max="3"/>
    <col width="12" customWidth="1" style="146" min="4" max="4"/>
    <col width="40" customWidth="1" style="146" min="5" max="5"/>
  </cols>
  <sheetData>
    <row r="1" ht="30" customHeight="1" s="146">
      <c r="A1" s="178" t="inlineStr">
        <is>
          <t>🤖 REGLAS DE MAPEO AUTOMÁTICO MITRE</t>
        </is>
      </c>
    </row>
    <row r="2">
      <c r="A2" s="180" t="inlineStr">
        <is>
          <t>Esta hoja contiene las reglas de palabras clave para sugerencias automáticas</t>
        </is>
      </c>
    </row>
    <row r="4">
      <c r="A4" s="186" t="inlineStr">
        <is>
          <t>📦 REGLAS PARA ASSETS ICS</t>
        </is>
      </c>
    </row>
    <row r="5">
      <c r="A5" s="100" t="inlineStr">
        <is>
          <t>Código Asset</t>
        </is>
      </c>
      <c r="B5" s="100" t="inlineStr">
        <is>
          <t>Nombre Asset</t>
        </is>
      </c>
      <c r="C5" s="100" t="inlineStr">
        <is>
          <t>Palabras Clave</t>
        </is>
      </c>
      <c r="D5" s="100" t="inlineStr">
        <is>
          <t>Prioridad</t>
        </is>
      </c>
      <c r="E5" s="100" t="inlineStr">
        <is>
          <t>Ejemplos</t>
        </is>
      </c>
    </row>
    <row r="6" ht="30" customHeight="1" s="146">
      <c r="A6" s="209" t="inlineStr">
        <is>
          <t>A0003</t>
        </is>
      </c>
      <c r="B6" s="209" t="inlineStr">
        <is>
          <t>PLC - Programmable Logic Controller</t>
        </is>
      </c>
      <c r="C6" s="209" t="inlineStr">
        <is>
          <t>PLC, controlador, S7, Allen Bradley, Schneider, Siemens, lógico programable</t>
        </is>
      </c>
      <c r="D6" s="209" t="inlineStr">
        <is>
          <t>ALTA</t>
        </is>
      </c>
      <c r="E6" s="209" t="inlineStr">
        <is>
          <t>PLC S7-1200, Controlador AB, PLC Schneider</t>
        </is>
      </c>
    </row>
    <row r="7" ht="30" customHeight="1" s="146">
      <c r="A7" s="209" t="inlineStr">
        <is>
          <t>A0002</t>
        </is>
      </c>
      <c r="B7" s="209" t="inlineStr">
        <is>
          <t>HMI - Human Machine Interface</t>
        </is>
      </c>
      <c r="C7" s="209" t="inlineStr">
        <is>
          <t>HMI, SCADA, pantalla, interfaz operador, panel, WinCC, InTouch</t>
        </is>
      </c>
      <c r="D7" s="209" t="inlineStr">
        <is>
          <t>ALTA</t>
        </is>
      </c>
      <c r="E7" s="209" t="inlineStr">
        <is>
          <t>Panel HMI, Servidor SCADA, Pantalla operador</t>
        </is>
      </c>
    </row>
    <row r="8" ht="30" customHeight="1" s="146">
      <c r="A8" s="209" t="inlineStr">
        <is>
          <t>A0001</t>
        </is>
      </c>
      <c r="B8" s="209" t="inlineStr">
        <is>
          <t>Workstation - Estación Trabajo</t>
        </is>
      </c>
      <c r="C8" s="209" t="inlineStr">
        <is>
          <t>PC, workstation, estación, computadora, escritorio, laptop, TIA Portal</t>
        </is>
      </c>
      <c r="D8" s="209" t="inlineStr">
        <is>
          <t>MEDIA</t>
        </is>
      </c>
      <c r="E8" s="209" t="inlineStr">
        <is>
          <t>PC Ingeniería, Workstation programación</t>
        </is>
      </c>
    </row>
    <row r="9">
      <c r="A9" s="209" t="inlineStr">
        <is>
          <t>A0004</t>
        </is>
      </c>
      <c r="B9" s="209" t="inlineStr">
        <is>
          <t>RTU - Remote Terminal Unit</t>
        </is>
      </c>
      <c r="C9" s="209" t="inlineStr">
        <is>
          <t>RTU, unidad remota, telemetría, remote terminal</t>
        </is>
      </c>
      <c r="D9" s="209" t="inlineStr">
        <is>
          <t>ALTA</t>
        </is>
      </c>
      <c r="E9" s="209" t="inlineStr">
        <is>
          <t>RTU campo, Unidad telemetría</t>
        </is>
      </c>
    </row>
    <row r="10" ht="30" customHeight="1" s="146">
      <c r="A10" s="209" t="inlineStr">
        <is>
          <t>A0007</t>
        </is>
      </c>
      <c r="B10" s="209" t="inlineStr">
        <is>
          <t>Control Server - Servidor Control</t>
        </is>
      </c>
      <c r="C10" s="209" t="inlineStr">
        <is>
          <t>servidor control, control server, servidor SCADA, servidor DCS</t>
        </is>
      </c>
      <c r="D10" s="209" t="inlineStr">
        <is>
          <t>ALTA</t>
        </is>
      </c>
      <c r="E10" s="209" t="inlineStr">
        <is>
          <t>Servidor WinCC, Server Control Central</t>
        </is>
      </c>
    </row>
    <row r="11" ht="30" customHeight="1" s="146">
      <c r="A11" s="209" t="inlineStr">
        <is>
          <t>A0014</t>
        </is>
      </c>
      <c r="B11" s="209" t="inlineStr">
        <is>
          <t>Routers - Equipos Red</t>
        </is>
      </c>
      <c r="C11" s="209" t="inlineStr">
        <is>
          <t>router, switch, firewall, enrutador, conmutador, red, network</t>
        </is>
      </c>
      <c r="D11" s="209" t="inlineStr">
        <is>
          <t>MEDIA</t>
        </is>
      </c>
      <c r="E11" s="209" t="inlineStr">
        <is>
          <t>Switch Cisco, Router industrial, Firewall OT</t>
        </is>
      </c>
    </row>
    <row r="12" ht="30" customHeight="1" s="146">
      <c r="A12" s="209" t="inlineStr">
        <is>
          <t>A0006</t>
        </is>
      </c>
      <c r="B12" s="209" t="inlineStr">
        <is>
          <t>Data Historian - Historiador</t>
        </is>
      </c>
      <c r="C12" s="209" t="inlineStr">
        <is>
          <t>historian, historiador, PI System, Wonderware, base datos tiempo real</t>
        </is>
      </c>
      <c r="D12" s="209" t="inlineStr">
        <is>
          <t>MEDIA</t>
        </is>
      </c>
      <c r="E12" s="209" t="inlineStr">
        <is>
          <t>PI Historian, Wonderware Historian</t>
        </is>
      </c>
    </row>
    <row r="13">
      <c r="A13" s="209" t="inlineStr">
        <is>
          <t>A0008</t>
        </is>
      </c>
      <c r="B13" s="209" t="inlineStr">
        <is>
          <t>Application Server</t>
        </is>
      </c>
      <c r="C13" s="209" t="inlineStr">
        <is>
          <t>servidor aplicación, application server, app server</t>
        </is>
      </c>
      <c r="D13" s="209" t="inlineStr">
        <is>
          <t>MEDIA</t>
        </is>
      </c>
      <c r="E13" s="209" t="inlineStr">
        <is>
          <t>Servidor MES, Application Server</t>
        </is>
      </c>
    </row>
    <row r="14">
      <c r="A14" s="209" t="inlineStr">
        <is>
          <t>A0005</t>
        </is>
      </c>
      <c r="B14" s="209" t="inlineStr">
        <is>
          <t>IED - Intelligent Electronic Device</t>
        </is>
      </c>
      <c r="C14" s="209" t="inlineStr">
        <is>
          <t>IED, dispositivo electrónico, relé, protective relay</t>
        </is>
      </c>
      <c r="D14" s="209" t="inlineStr">
        <is>
          <t>BAJA</t>
        </is>
      </c>
      <c r="E14" s="209" t="inlineStr">
        <is>
          <t>Relé protección, IED campo</t>
        </is>
      </c>
    </row>
    <row r="15">
      <c r="A15" s="209" t="inlineStr">
        <is>
          <t>A0009</t>
        </is>
      </c>
      <c r="B15" s="209" t="inlineStr">
        <is>
          <t>Data Gateway - Pasarela</t>
        </is>
      </c>
      <c r="C15" s="209" t="inlineStr">
        <is>
          <t>gateway, pasarela, conversor protocolo, data gateway</t>
        </is>
      </c>
      <c r="D15" s="209" t="inlineStr">
        <is>
          <t>BAJA</t>
        </is>
      </c>
      <c r="E15" s="209" t="inlineStr">
        <is>
          <t>Gateway Modbus, Pasarela Profinet</t>
        </is>
      </c>
    </row>
    <row r="16">
      <c r="A16" s="209" t="inlineStr">
        <is>
          <t>A0011</t>
        </is>
      </c>
      <c r="B16" s="209" t="inlineStr">
        <is>
          <t>VPN Server</t>
        </is>
      </c>
      <c r="C16" s="209" t="inlineStr">
        <is>
          <t>VPN, red privada virtual, acceso remoto</t>
        </is>
      </c>
      <c r="D16" s="209" t="inlineStr">
        <is>
          <t>BAJA</t>
        </is>
      </c>
      <c r="E16" s="209" t="inlineStr">
        <is>
          <t>Servidor VPN, VPN industrial</t>
        </is>
      </c>
    </row>
    <row r="17">
      <c r="A17" s="209" t="inlineStr">
        <is>
          <t>A0013</t>
        </is>
      </c>
      <c r="B17" s="209" t="inlineStr">
        <is>
          <t>Field I/O - Entradas/Salidas</t>
        </is>
      </c>
      <c r="C17" s="209" t="inlineStr">
        <is>
          <t>I/O, entrada salida, módulo IO, field io</t>
        </is>
      </c>
      <c r="D17" s="209" t="inlineStr">
        <is>
          <t>BAJA</t>
        </is>
      </c>
      <c r="E17" s="209" t="inlineStr">
        <is>
          <t>Módulo I/O remoto, Field I/O</t>
        </is>
      </c>
    </row>
    <row r="20">
      <c r="A20" s="187" t="inlineStr">
        <is>
          <t>🎯 REGLAS PARA TÉCNICAS MITRE (Top 20)</t>
        </is>
      </c>
    </row>
    <row r="21">
      <c r="A21" s="100" t="inlineStr">
        <is>
          <t>Código Técnica</t>
        </is>
      </c>
      <c r="B21" s="100" t="inlineStr">
        <is>
          <t>Nombre Técnica</t>
        </is>
      </c>
      <c r="C21" s="100" t="inlineStr">
        <is>
          <t>Palabras Clave</t>
        </is>
      </c>
      <c r="D21" s="100" t="inlineStr">
        <is>
          <t>Táctica</t>
        </is>
      </c>
      <c r="E21" s="100" t="inlineStr">
        <is>
          <t>Impacto</t>
        </is>
      </c>
    </row>
    <row r="22" ht="30" customHeight="1" s="146">
      <c r="A22" s="209" t="inlineStr">
        <is>
          <t>T0830</t>
        </is>
      </c>
      <c r="B22" s="209" t="inlineStr">
        <is>
          <t>Adversary-in-the-Middle</t>
        </is>
      </c>
      <c r="C22" s="209" t="inlineStr">
        <is>
          <t>MITM, man-in-the-middle, interceptación, intercepción red, ataque red</t>
        </is>
      </c>
      <c r="D22" s="209" t="inlineStr">
        <is>
          <t>Collection</t>
        </is>
      </c>
      <c r="E22" s="209" t="inlineStr">
        <is>
          <t>ALTO</t>
        </is>
      </c>
    </row>
    <row r="23" ht="30" customHeight="1" s="146">
      <c r="A23" s="209" t="inlineStr">
        <is>
          <t>T0889</t>
        </is>
      </c>
      <c r="B23" s="209" t="inlineStr">
        <is>
          <t>Modify Program</t>
        </is>
      </c>
      <c r="C23" s="209" t="inlineStr">
        <is>
          <t>modificar programa, código malicioso, lógica alterada, backdoor PLC</t>
        </is>
      </c>
      <c r="D23" s="209" t="inlineStr">
        <is>
          <t>Inhibit Response</t>
        </is>
      </c>
      <c r="E23" s="209" t="inlineStr">
        <is>
          <t>CRÍTICO</t>
        </is>
      </c>
    </row>
    <row r="24" ht="30" customHeight="1" s="146">
      <c r="A24" s="209" t="inlineStr">
        <is>
          <t>T0839</t>
        </is>
      </c>
      <c r="B24" s="209" t="inlineStr">
        <is>
          <t>Module Firmware</t>
        </is>
      </c>
      <c r="C24" s="209" t="inlineStr">
        <is>
          <t>firmware, flash, actualización firmware, modificar firmware</t>
        </is>
      </c>
      <c r="D24" s="209" t="inlineStr">
        <is>
          <t>Persistence</t>
        </is>
      </c>
      <c r="E24" s="209" t="inlineStr">
        <is>
          <t>CRÍTICO</t>
        </is>
      </c>
    </row>
    <row r="25" ht="30" customHeight="1" s="146">
      <c r="A25" s="209" t="inlineStr">
        <is>
          <t>T0878</t>
        </is>
      </c>
      <c r="B25" s="209" t="inlineStr">
        <is>
          <t>Alarm Suppression</t>
        </is>
      </c>
      <c r="C25" s="209" t="inlineStr">
        <is>
          <t>alarma, supresión alarma, ocultar alerta, deshabilitar notificación</t>
        </is>
      </c>
      <c r="D25" s="209" t="inlineStr">
        <is>
          <t>Inhibit Response</t>
        </is>
      </c>
      <c r="E25" s="209" t="inlineStr">
        <is>
          <t>ALTO</t>
        </is>
      </c>
    </row>
    <row r="26" ht="30" customHeight="1" s="146">
      <c r="A26" s="209" t="inlineStr">
        <is>
          <t>T0817</t>
        </is>
      </c>
      <c r="B26" s="209" t="inlineStr">
        <is>
          <t>Drive-by Compromise</t>
        </is>
      </c>
      <c r="C26" s="209" t="inlineStr">
        <is>
          <t>drive-by, exploit web, compromiso navegador, ataque navegador</t>
        </is>
      </c>
      <c r="D26" s="209" t="inlineStr">
        <is>
          <t>Initial Access</t>
        </is>
      </c>
      <c r="E26" s="209" t="inlineStr">
        <is>
          <t>MEDIO</t>
        </is>
      </c>
    </row>
    <row r="27" ht="30" customHeight="1" s="146">
      <c r="A27" s="209" t="inlineStr">
        <is>
          <t>T0819</t>
        </is>
      </c>
      <c r="B27" s="209" t="inlineStr">
        <is>
          <t>Exploit Public-Facing Application</t>
        </is>
      </c>
      <c r="C27" s="209" t="inlineStr">
        <is>
          <t>exploit servidor, vulnerabilidad pública, aplicación expuesta, puerto abierto</t>
        </is>
      </c>
      <c r="D27" s="209" t="inlineStr">
        <is>
          <t>Initial Access</t>
        </is>
      </c>
      <c r="E27" s="209" t="inlineStr">
        <is>
          <t>ALTO</t>
        </is>
      </c>
    </row>
    <row r="28" ht="30" customHeight="1" s="146">
      <c r="A28" s="209" t="inlineStr">
        <is>
          <t>T0822</t>
        </is>
      </c>
      <c r="B28" s="209" t="inlineStr">
        <is>
          <t>External Remote Services</t>
        </is>
      </c>
      <c r="C28" s="209" t="inlineStr">
        <is>
          <t>acceso remoto, VPN, RDP, SSH, servicio remoto</t>
        </is>
      </c>
      <c r="D28" s="209" t="inlineStr">
        <is>
          <t>Initial Access</t>
        </is>
      </c>
      <c r="E28" s="209" t="inlineStr">
        <is>
          <t>MEDIO</t>
        </is>
      </c>
    </row>
    <row r="29" ht="30" customHeight="1" s="146">
      <c r="A29" s="209" t="inlineStr">
        <is>
          <t>T0891</t>
        </is>
      </c>
      <c r="B29" s="209" t="inlineStr">
        <is>
          <t>Hardcoded Credentials</t>
        </is>
      </c>
      <c r="C29" s="209" t="inlineStr">
        <is>
          <t>credenciales fijas, contraseña hardcoded, password fijo, credencial embebida</t>
        </is>
      </c>
      <c r="D29" s="209" t="inlineStr">
        <is>
          <t>Persistence</t>
        </is>
      </c>
      <c r="E29" s="209" t="inlineStr">
        <is>
          <t>CRÍTICO</t>
        </is>
      </c>
    </row>
    <row r="30" ht="30" customHeight="1" s="146">
      <c r="A30" s="209" t="inlineStr">
        <is>
          <t>T0865</t>
        </is>
      </c>
      <c r="B30" s="209" t="inlineStr">
        <is>
          <t>Spearphishing Attachment</t>
        </is>
      </c>
      <c r="C30" s="209" t="inlineStr">
        <is>
          <t>spearphishing, phishing, correo malicioso, adjunto malware</t>
        </is>
      </c>
      <c r="D30" s="209" t="inlineStr">
        <is>
          <t>Initial Access</t>
        </is>
      </c>
      <c r="E30" s="209" t="inlineStr">
        <is>
          <t>ALTO</t>
        </is>
      </c>
    </row>
    <row r="31" ht="30" customHeight="1" s="146">
      <c r="A31" s="209" t="inlineStr">
        <is>
          <t>T0858</t>
        </is>
      </c>
      <c r="B31" s="209" t="inlineStr">
        <is>
          <t>Change Operating Mode</t>
        </is>
      </c>
      <c r="C31" s="209" t="inlineStr">
        <is>
          <t>cambio modo, modo operación, operating mode, modo PLC</t>
        </is>
      </c>
      <c r="D31" s="209" t="inlineStr">
        <is>
          <t>Execution</t>
        </is>
      </c>
      <c r="E31" s="209" t="inlineStr">
        <is>
          <t>ALTO</t>
        </is>
      </c>
    </row>
    <row r="32">
      <c r="A32" s="209" t="inlineStr">
        <is>
          <t>T0807</t>
        </is>
      </c>
      <c r="B32" s="209" t="inlineStr">
        <is>
          <t>Command-Line Interface</t>
        </is>
      </c>
      <c r="C32" s="209" t="inlineStr">
        <is>
          <t>línea comandos, CLI, shell, consola, command line</t>
        </is>
      </c>
      <c r="D32" s="209" t="inlineStr">
        <is>
          <t>Execution</t>
        </is>
      </c>
      <c r="E32" s="209" t="inlineStr">
        <is>
          <t>MEDIO</t>
        </is>
      </c>
    </row>
    <row r="33">
      <c r="A33" s="209" t="inlineStr">
        <is>
          <t>T0823</t>
        </is>
      </c>
      <c r="B33" s="209" t="inlineStr">
        <is>
          <t>Graphical User Interface</t>
        </is>
      </c>
      <c r="C33" s="209" t="inlineStr">
        <is>
          <t>GUI, interfaz gráfica, HMI, panel operador</t>
        </is>
      </c>
      <c r="D33" s="209" t="inlineStr">
        <is>
          <t>Execution</t>
        </is>
      </c>
      <c r="E33" s="209" t="inlineStr">
        <is>
          <t>MEDIO</t>
        </is>
      </c>
    </row>
    <row r="34" ht="30" customHeight="1" s="146">
      <c r="A34" s="209" t="inlineStr">
        <is>
          <t>T0815</t>
        </is>
      </c>
      <c r="B34" s="209" t="inlineStr">
        <is>
          <t>Denial of View</t>
        </is>
      </c>
      <c r="C34" s="209" t="inlineStr">
        <is>
          <t>denegación vista, pérdida visualización, HMI caído, sin monitoreo</t>
        </is>
      </c>
      <c r="D34" s="209" t="inlineStr">
        <is>
          <t>Impact</t>
        </is>
      </c>
      <c r="E34" s="209" t="inlineStr">
        <is>
          <t>ALTO</t>
        </is>
      </c>
    </row>
    <row r="35" ht="30" customHeight="1" s="146">
      <c r="A35" s="209" t="inlineStr">
        <is>
          <t>T0826</t>
        </is>
      </c>
      <c r="B35" s="209" t="inlineStr">
        <is>
          <t>Loss of Availability</t>
        </is>
      </c>
      <c r="C35" s="209" t="inlineStr">
        <is>
          <t>pérdida disponibilidad, servicio caído, downtime, no disponible</t>
        </is>
      </c>
      <c r="D35" s="209" t="inlineStr">
        <is>
          <t>Impact</t>
        </is>
      </c>
      <c r="E35" s="209" t="inlineStr">
        <is>
          <t>CRÍTICO</t>
        </is>
      </c>
    </row>
    <row r="36" ht="30" customHeight="1" s="146">
      <c r="A36" s="209" t="inlineStr">
        <is>
          <t>T0813</t>
        </is>
      </c>
      <c r="B36" s="209" t="inlineStr">
        <is>
          <t>Denial of Control</t>
        </is>
      </c>
      <c r="C36" s="209" t="inlineStr">
        <is>
          <t>denegación control, pérdida control, sin control proceso</t>
        </is>
      </c>
      <c r="D36" s="209" t="inlineStr">
        <is>
          <t>Impact</t>
        </is>
      </c>
      <c r="E36" s="209" t="inlineStr">
        <is>
          <t>CRÍTICO</t>
        </is>
      </c>
    </row>
    <row r="37" ht="30" customHeight="1" s="146">
      <c r="A37" s="209" t="inlineStr">
        <is>
          <t>T0840</t>
        </is>
      </c>
      <c r="B37" s="209" t="inlineStr">
        <is>
          <t>Network Sniffing</t>
        </is>
      </c>
      <c r="C37" s="209" t="inlineStr">
        <is>
          <t>sniffing, captura red, wireshark, tráfico red, monitoreo red</t>
        </is>
      </c>
      <c r="D37" s="209" t="inlineStr">
        <is>
          <t>Discovery</t>
        </is>
      </c>
      <c r="E37" s="209" t="inlineStr">
        <is>
          <t>MEDIO</t>
        </is>
      </c>
    </row>
    <row r="38" ht="30" customHeight="1" s="146">
      <c r="A38" s="209" t="inlineStr">
        <is>
          <t>T0802</t>
        </is>
      </c>
      <c r="B38" s="209" t="inlineStr">
        <is>
          <t>Automated Collection</t>
        </is>
      </c>
      <c r="C38" s="209" t="inlineStr">
        <is>
          <t>recopilación automática, colección datos, extracción datos</t>
        </is>
      </c>
      <c r="D38" s="209" t="inlineStr">
        <is>
          <t>Collection</t>
        </is>
      </c>
      <c r="E38" s="209" t="inlineStr">
        <is>
          <t>MEDIO</t>
        </is>
      </c>
    </row>
    <row r="39" ht="30" customHeight="1" s="146">
      <c r="A39" s="209" t="inlineStr">
        <is>
          <t>T0836</t>
        </is>
      </c>
      <c r="B39" s="209" t="inlineStr">
        <is>
          <t>Modify Parameter</t>
        </is>
      </c>
      <c r="C39" s="209" t="inlineStr">
        <is>
          <t>modificar parámetro, cambiar setpoint, alterar variable, parámetro</t>
        </is>
      </c>
      <c r="D39" s="209" t="inlineStr">
        <is>
          <t>Impair Process</t>
        </is>
      </c>
      <c r="E39" s="209" t="inlineStr">
        <is>
          <t>ALTO</t>
        </is>
      </c>
    </row>
    <row r="40" ht="30" customHeight="1" s="146">
      <c r="A40" s="209" t="inlineStr">
        <is>
          <t>T0866</t>
        </is>
      </c>
      <c r="B40" s="209" t="inlineStr">
        <is>
          <t>Exploitation Remote Services</t>
        </is>
      </c>
      <c r="C40" s="209" t="inlineStr">
        <is>
          <t>explotación remota, exploit servicio, vulnerabilidad servicio</t>
        </is>
      </c>
      <c r="D40" s="209" t="inlineStr">
        <is>
          <t>Lateral Movement</t>
        </is>
      </c>
      <c r="E40" s="209" t="inlineStr">
        <is>
          <t>ALTO</t>
        </is>
      </c>
    </row>
    <row r="41" ht="30" customHeight="1" s="146">
      <c r="A41" s="209" t="inlineStr">
        <is>
          <t>T0859</t>
        </is>
      </c>
      <c r="B41" s="209" t="inlineStr">
        <is>
          <t>Valid Accounts</t>
        </is>
      </c>
      <c r="C41" s="209" t="inlineStr">
        <is>
          <t>cuenta válida, credencial comprometida, usuario legítimo</t>
        </is>
      </c>
      <c r="D41" s="209" t="inlineStr">
        <is>
          <t>Lateral Movement</t>
        </is>
      </c>
      <c r="E41" s="209" t="inlineStr">
        <is>
          <t>MEDIO</t>
        </is>
      </c>
    </row>
  </sheetData>
  <mergeCells count="4">
    <mergeCell ref="A2:E2"/>
    <mergeCell ref="A1:E1"/>
    <mergeCell ref="A4:E4"/>
    <mergeCell ref="A20:E20"/>
  </mergeCells>
  <pageMargins left="0.75" right="0.75" top="1" bottom="1" header="0.5" footer="0.5"/>
</worksheet>
</file>

<file path=xl/worksheets/sheet7.xml><?xml version="1.0" encoding="utf-8"?>
<worksheet xmlns="http://schemas.openxmlformats.org/spreadsheetml/2006/main">
  <sheetPr codeName="Hoja51">
    <outlinePr summaryBelow="1" summaryRight="1"/>
    <pageSetUpPr/>
  </sheetPr>
  <dimension ref="A1:F44"/>
  <sheetViews>
    <sheetView workbookViewId="0">
      <selection activeCell="A1" sqref="A1:F1"/>
    </sheetView>
  </sheetViews>
  <sheetFormatPr baseColWidth="10" defaultColWidth="9.140625" defaultRowHeight="15"/>
  <cols>
    <col width="15" customWidth="1" style="146" min="1" max="1"/>
    <col width="80" customWidth="1" style="146" min="2" max="2"/>
  </cols>
  <sheetData>
    <row r="1" ht="30" customHeight="1" s="146">
      <c r="A1" s="178" t="inlineStr">
        <is>
          <t>📚 CÓMO USAR EL SISTEMA DE SUGERENCIAS AUTOMÁTICAS</t>
        </is>
      </c>
    </row>
    <row r="4" ht="24.95" customHeight="1" s="146">
      <c r="A4" s="183" t="inlineStr">
        <is>
          <t>🎯 FUNCIONAMIENTO</t>
        </is>
      </c>
    </row>
    <row r="5" ht="20.1" customHeight="1" s="146">
      <c r="B5" s="188" t="inlineStr">
        <is>
          <t>El sistema analiza automáticamente el texto que escribes en:</t>
        </is>
      </c>
    </row>
    <row r="6" ht="20.1" customHeight="1" s="146">
      <c r="B6" s="188" t="inlineStr">
        <is>
          <t xml:space="preserve">  • Nombre del activo (en hoja Activos)</t>
        </is>
      </c>
    </row>
    <row r="7" ht="20.1" customHeight="1" s="146">
      <c r="B7" s="188" t="inlineStr">
        <is>
          <t xml:space="preserve">  • Descripción del riesgo (en hoja Matriz_Riesgos)</t>
        </is>
      </c>
    </row>
    <row r="9" ht="20.1" customHeight="1" s="146">
      <c r="B9" s="188" t="inlineStr">
        <is>
          <t>Y sugiere el código MITRE más apropiado basándose en palabras clave.</t>
        </is>
      </c>
    </row>
    <row r="11" ht="24.95" customHeight="1" s="146">
      <c r="A11" s="183" t="inlineStr">
        <is>
          <t>📦 EN LA HOJA ACTIVOS</t>
        </is>
      </c>
    </row>
    <row r="12" ht="20.1" customHeight="1" s="146">
      <c r="A12" t="inlineStr">
        <is>
          <t>PASO 1</t>
        </is>
      </c>
      <c r="B12" s="188" t="inlineStr">
        <is>
          <t>Escribe el nombre del activo (ej: "PLC Siemens S7-1200")</t>
        </is>
      </c>
    </row>
    <row r="13" ht="20.1" customHeight="1" s="146">
      <c r="A13" t="inlineStr">
        <is>
          <t>PASO 2</t>
        </is>
      </c>
      <c r="B13" s="188" t="inlineStr">
        <is>
          <t>La columna "🤖 Sugerencia Auto Asset" mostrará: "→ A0003: PLC"</t>
        </is>
      </c>
    </row>
    <row r="14" ht="20.1" customHeight="1" s="146">
      <c r="A14" t="inlineStr">
        <is>
          <t>PASO 3</t>
        </is>
      </c>
      <c r="B14" s="188" t="inlineStr">
        <is>
          <t>Si la sugerencia es correcta, copia ese código a la columna "Asset ICS MITRE"</t>
        </is>
      </c>
    </row>
    <row r="15" ht="20.1" customHeight="1" s="146">
      <c r="A15" t="inlineStr">
        <is>
          <t>PASO 4</t>
        </is>
      </c>
      <c r="B15" s="188" t="inlineStr">
        <is>
          <t>Si dice "⚠️ Revisar manual", selecciona manualmente de la lista desplegable</t>
        </is>
      </c>
    </row>
    <row r="17" ht="24.95" customHeight="1" s="146">
      <c r="A17" s="183" t="inlineStr">
        <is>
          <t>⚠️ EN LA HOJA MATRIZ_RIESGOS</t>
        </is>
      </c>
    </row>
    <row r="18" ht="20.1" customHeight="1" s="146">
      <c r="A18" t="inlineStr">
        <is>
          <t>PASO 1</t>
        </is>
      </c>
      <c r="B18" s="188" t="inlineStr">
        <is>
          <t>Escribe la descripción del riesgo (ej: "Ataque Man-in-the-Middle en red OT")</t>
        </is>
      </c>
    </row>
    <row r="19" ht="20.1" customHeight="1" s="146">
      <c r="A19" t="inlineStr">
        <is>
          <t>PASO 2</t>
        </is>
      </c>
      <c r="B19" s="188" t="inlineStr">
        <is>
          <t>La columna "🤖 Sugerencia Auto Técnica" mostrará: "→ T0830: MITM"</t>
        </is>
      </c>
    </row>
    <row r="20" ht="20.1" customHeight="1" s="146">
      <c r="A20" t="inlineStr">
        <is>
          <t>PASO 3</t>
        </is>
      </c>
      <c r="B20" s="188" t="inlineStr">
        <is>
          <t>Si es correcto, copia T0830 a la columna "Técnica MITRE"</t>
        </is>
      </c>
    </row>
    <row r="21" ht="20.1" customHeight="1" s="146">
      <c r="A21" t="inlineStr">
        <is>
          <t>PASO 4</t>
        </is>
      </c>
      <c r="B21" s="188" t="inlineStr">
        <is>
          <t>Puedes asignar múltiples técnicas MITRE a un mismo riesgo</t>
        </is>
      </c>
    </row>
    <row r="23" ht="24.95" customHeight="1" s="146">
      <c r="A23" s="183" t="inlineStr">
        <is>
          <t>🔍 PALABRAS CLAVE RECONOCIDAS</t>
        </is>
      </c>
    </row>
    <row r="24" ht="20.1" customHeight="1" s="146">
      <c r="B24" s="188" t="inlineStr">
        <is>
          <t>El sistema busca palabras como:</t>
        </is>
      </c>
    </row>
    <row r="25" ht="20.1" customHeight="1" s="146">
      <c r="A25" t="inlineStr">
        <is>
          <t>Para Assets</t>
        </is>
      </c>
      <c r="B25" s="188" t="inlineStr">
        <is>
          <t>PLC, HMI, SCADA, RTU, Servidor, Router, Switch, PC, Workstation</t>
        </is>
      </c>
    </row>
    <row r="26" ht="20.1" customHeight="1" s="146">
      <c r="A26" t="inlineStr">
        <is>
          <t>Para Técnicas</t>
        </is>
      </c>
      <c r="B26" s="188" t="inlineStr">
        <is>
          <t>MITM, Firmware, Modificar, Alarma, Credencial, Phishing, Exploit, VPN</t>
        </is>
      </c>
    </row>
    <row r="28" ht="24.95" customHeight="1" s="146">
      <c r="A28" s="183" t="inlineStr">
        <is>
          <t>💡 MEJORES PRÁCTICAS</t>
        </is>
      </c>
    </row>
    <row r="29" ht="20.1" customHeight="1" s="146">
      <c r="A29" t="inlineStr">
        <is>
          <t>1.</t>
        </is>
      </c>
      <c r="B29" s="188" t="inlineStr">
        <is>
          <t>Usa nombres descriptivos en tus activos (incluye marca, modelo, función)</t>
        </is>
      </c>
    </row>
    <row r="30" ht="20.1" customHeight="1" s="146">
      <c r="A30" t="inlineStr">
        <is>
          <t>2.</t>
        </is>
      </c>
      <c r="B30" s="188" t="inlineStr">
        <is>
          <t>Las sugerencias son orientativas - siempre valida la correctitud</t>
        </is>
      </c>
    </row>
    <row r="31" ht="20.1" customHeight="1" s="146">
      <c r="A31" t="inlineStr">
        <is>
          <t>3.</t>
        </is>
      </c>
      <c r="B31" s="188" t="inlineStr">
        <is>
          <t>Consulta hoja "MITRE_Reglas_Auto" para ver todas las palabras clave</t>
        </is>
      </c>
    </row>
    <row r="32" ht="20.1" customHeight="1" s="146">
      <c r="A32" t="inlineStr">
        <is>
          <t>4.</t>
        </is>
      </c>
      <c r="B32" s="188" t="inlineStr">
        <is>
          <t>Consulta "MITRE_Ejemplos_Mapeo" para ver ejemplos prácticos</t>
        </is>
      </c>
    </row>
    <row r="33" ht="20.1" customHeight="1" s="146">
      <c r="A33" t="inlineStr">
        <is>
          <t>5.</t>
        </is>
      </c>
      <c r="B33" s="188" t="inlineStr">
        <is>
          <t>Si la sugerencia no es correcta, selecciona manualmente de la lista</t>
        </is>
      </c>
    </row>
    <row r="35" ht="24.95" customHeight="1" s="146">
      <c r="A35" s="183" t="inlineStr">
        <is>
          <t>📊 EJEMPLO COMPLETO</t>
        </is>
      </c>
    </row>
    <row r="36" ht="20.1" customHeight="1" s="146">
      <c r="A36" t="inlineStr">
        <is>
          <t>Activo</t>
        </is>
      </c>
      <c r="B36" s="188" t="inlineStr">
        <is>
          <t>Escribes: "PLC Allen Bradley CompactLogix Línea 1"</t>
        </is>
      </c>
    </row>
    <row r="37" ht="20.1" customHeight="1" s="146">
      <c r="A37" t="inlineStr">
        <is>
          <t>Sugerencia</t>
        </is>
      </c>
      <c r="B37" s="188" t="inlineStr">
        <is>
          <t>Sistema sugiere: "→ A0003: PLC" (por palabra "PLC")</t>
        </is>
      </c>
    </row>
    <row r="38" ht="20.1" customHeight="1" s="146">
      <c r="A38" t="inlineStr">
        <is>
          <t>Acción</t>
        </is>
      </c>
      <c r="B38" s="188" t="inlineStr">
        <is>
          <t>Copias A0003 a columna "Asset ICS MITRE"</t>
        </is>
      </c>
    </row>
    <row r="39" ht="20.1" customHeight="1" s="146">
      <c r="A39" t="inlineStr">
        <is>
          <t>Resultado</t>
        </is>
      </c>
      <c r="B39" s="188" t="inlineStr">
        <is>
          <t>✅ Activo clasificado correctamente</t>
        </is>
      </c>
    </row>
    <row r="41" ht="20.1" customHeight="1" s="146">
      <c r="A41" t="inlineStr">
        <is>
          <t>Riesgo</t>
        </is>
      </c>
      <c r="B41" s="188" t="inlineStr">
        <is>
          <t>Escribes: "Interceptación de comunicaciones en protocolo Modbus sin cifrado"</t>
        </is>
      </c>
    </row>
    <row r="42" ht="20.1" customHeight="1" s="146">
      <c r="A42" t="inlineStr">
        <is>
          <t>Sugerencia</t>
        </is>
      </c>
      <c r="B42" s="188" t="inlineStr">
        <is>
          <t>Sistema sugiere: "→ T0830: MITM" (por palabra "Interceptación")</t>
        </is>
      </c>
    </row>
    <row r="43" ht="20.1" customHeight="1" s="146">
      <c r="A43" t="inlineStr">
        <is>
          <t>Acción</t>
        </is>
      </c>
      <c r="B43" s="188" t="inlineStr">
        <is>
          <t>Copias T0830 a columna "Técnica MITRE"</t>
        </is>
      </c>
    </row>
    <row r="44" ht="20.1" customHeight="1" s="146">
      <c r="A44" t="inlineStr">
        <is>
          <t>Resultado</t>
        </is>
      </c>
      <c r="B44" s="188" t="inlineStr">
        <is>
          <t>✅ Riesgo vinculado con técnica MITRE</t>
        </is>
      </c>
    </row>
  </sheetData>
  <mergeCells count="35">
    <mergeCell ref="B7:F7"/>
    <mergeCell ref="B25:F25"/>
    <mergeCell ref="B31:F31"/>
    <mergeCell ref="B18:F18"/>
    <mergeCell ref="B21:F21"/>
    <mergeCell ref="B43:F43"/>
    <mergeCell ref="B12:F12"/>
    <mergeCell ref="B39:F39"/>
    <mergeCell ref="B42:F42"/>
    <mergeCell ref="A23:F23"/>
    <mergeCell ref="A17:F17"/>
    <mergeCell ref="A35:F35"/>
    <mergeCell ref="A4:F4"/>
    <mergeCell ref="B14:F14"/>
    <mergeCell ref="B13:F13"/>
    <mergeCell ref="B44:F44"/>
    <mergeCell ref="B29:F29"/>
    <mergeCell ref="A28:F28"/>
    <mergeCell ref="B38:F38"/>
    <mergeCell ref="B19:F19"/>
    <mergeCell ref="B37:F37"/>
    <mergeCell ref="B9:F9"/>
    <mergeCell ref="B30:F30"/>
    <mergeCell ref="A11:F11"/>
    <mergeCell ref="B6:F6"/>
    <mergeCell ref="B24:F24"/>
    <mergeCell ref="B20:F20"/>
    <mergeCell ref="B15:F15"/>
    <mergeCell ref="B33:F33"/>
    <mergeCell ref="A1:F1"/>
    <mergeCell ref="B5:F5"/>
    <mergeCell ref="B36:F36"/>
    <mergeCell ref="B32:F32"/>
    <mergeCell ref="B26:F26"/>
    <mergeCell ref="B41:F41"/>
  </mergeCells>
  <pageMargins left="0.75" right="0.75" top="1" bottom="1" header="0.5" footer="0.5"/>
</worksheet>
</file>

<file path=xl/worksheets/sheet8.xml><?xml version="1.0" encoding="utf-8"?>
<worksheet xmlns="http://schemas.openxmlformats.org/spreadsheetml/2006/main">
  <sheetPr codeName="Hoja52">
    <outlinePr summaryBelow="1" summaryRight="1"/>
    <pageSetUpPr/>
  </sheetPr>
  <dimension ref="A1:J18"/>
  <sheetViews>
    <sheetView workbookViewId="0">
      <selection activeCell="A16" sqref="A16:J16"/>
    </sheetView>
  </sheetViews>
  <sheetFormatPr baseColWidth="10" defaultColWidth="9.140625" defaultRowHeight="15"/>
  <cols>
    <col width="30" customWidth="1" style="146" min="1" max="1"/>
    <col width="40" customWidth="1" style="146" min="2" max="2"/>
    <col width="35" customWidth="1" style="146" min="3" max="3"/>
    <col width="10" customWidth="1" style="146" min="4" max="4"/>
    <col width="15" customWidth="1" style="146" min="5" max="10"/>
  </cols>
  <sheetData>
    <row r="1" ht="18.75" customHeight="1" s="146">
      <c r="A1" s="178" t="inlineStr">
        <is>
          <t>🎯 MAPEO INTELIGENTE AUTOMÁTICO MITRE ATT&amp;CK ICS</t>
        </is>
      </c>
    </row>
    <row r="2">
      <c r="A2" s="180" t="inlineStr">
        <is>
          <t>Análisis automático basado en coincidencias semánticas - Generado: 12/11/2025 03:59</t>
        </is>
      </c>
    </row>
    <row r="4" ht="15.75" customHeight="1" s="146">
      <c r="A4" s="184" t="inlineStr">
        <is>
          <t>📦 MAPEO DE ACTIVOS</t>
        </is>
      </c>
    </row>
    <row r="5" ht="30" customHeight="1" s="146">
      <c r="A5" s="100" t="inlineStr">
        <is>
          <t>Activo</t>
        </is>
      </c>
      <c r="B5" s="100" t="inlineStr">
        <is>
          <t>Descripción</t>
        </is>
      </c>
      <c r="C5" s="100" t="inlineStr">
        <is>
          <t>Asset ICS Sugerido</t>
        </is>
      </c>
      <c r="D5" s="100" t="inlineStr">
        <is>
          <t>Confianza %</t>
        </is>
      </c>
      <c r="E5" s="100" t="inlineStr">
        <is>
          <t>Técnica MITRE #1</t>
        </is>
      </c>
      <c r="F5" s="100" t="inlineStr">
        <is>
          <t>Conf%</t>
        </is>
      </c>
      <c r="G5" s="100" t="inlineStr">
        <is>
          <t>Técnica #2</t>
        </is>
      </c>
      <c r="H5" s="100" t="inlineStr">
        <is>
          <t>Conf%</t>
        </is>
      </c>
      <c r="I5" s="100" t="inlineStr">
        <is>
          <t>Técnica #3</t>
        </is>
      </c>
      <c r="J5" s="100" t="inlineStr">
        <is>
          <t>Conf%</t>
        </is>
      </c>
    </row>
    <row r="8" ht="15.75" customHeight="1" s="146">
      <c r="A8" s="182" t="inlineStr">
        <is>
          <t>⚠️ MAPEO DE RIESGOS</t>
        </is>
      </c>
    </row>
    <row r="9" ht="30" customHeight="1" s="146">
      <c r="A9" s="100" t="inlineStr">
        <is>
          <t>Riesgo</t>
        </is>
      </c>
      <c r="B9" s="100" t="inlineStr">
        <is>
          <t>Descripción</t>
        </is>
      </c>
      <c r="C9" s="100" t="inlineStr">
        <is>
          <t>Técnica MITRE #1</t>
        </is>
      </c>
      <c r="D9" s="100" t="inlineStr">
        <is>
          <t>Conf%</t>
        </is>
      </c>
      <c r="E9" s="100" t="inlineStr">
        <is>
          <t>Técnica #2</t>
        </is>
      </c>
      <c r="F9" s="100" t="inlineStr">
        <is>
          <t>Conf%</t>
        </is>
      </c>
      <c r="G9" s="100" t="inlineStr">
        <is>
          <t>Técnica #3</t>
        </is>
      </c>
      <c r="H9" s="100" t="inlineStr">
        <is>
          <t>Conf%</t>
        </is>
      </c>
      <c r="I9" s="100" t="inlineStr">
        <is>
          <t>Táctica Principal</t>
        </is>
      </c>
      <c r="J9" s="100" t="inlineStr">
        <is>
          <t>Impacto</t>
        </is>
      </c>
    </row>
    <row r="12">
      <c r="A12" s="189" t="inlineStr">
        <is>
          <t>📊 LEYENDA DE CONFIANZA</t>
        </is>
      </c>
    </row>
    <row r="13">
      <c r="A13" s="101" t="inlineStr">
        <is>
          <t>70-100%: Alta confianza</t>
        </is>
      </c>
      <c r="C13" s="102" t="inlineStr">
        <is>
          <t>40-69%: Media confianza</t>
        </is>
      </c>
      <c r="E13" s="103" t="inlineStr">
        <is>
          <t>0-39%: Baja confianza - Requiere revisión</t>
        </is>
      </c>
    </row>
    <row r="16">
      <c r="A16" s="189" t="inlineStr">
        <is>
          <t>📈 ESTADÍSTICAS DEL ANÁLISIS</t>
        </is>
      </c>
    </row>
    <row r="17">
      <c r="A17" t="inlineStr">
        <is>
          <t>Activos analizados: 0</t>
        </is>
      </c>
      <c r="C17" t="inlineStr">
        <is>
          <t>Riesgos analizados: 0</t>
        </is>
      </c>
      <c r="E17" t="inlineStr">
        <is>
          <t>Amenazas analizadas: 0</t>
        </is>
      </c>
    </row>
    <row r="18">
      <c r="A18" t="inlineStr">
        <is>
          <t>Mapeos alta confianza: 0</t>
        </is>
      </c>
    </row>
  </sheetData>
  <mergeCells count="6">
    <mergeCell ref="A1:J1"/>
    <mergeCell ref="A8:J8"/>
    <mergeCell ref="A16:J16"/>
    <mergeCell ref="A12:J12"/>
    <mergeCell ref="A4:J4"/>
    <mergeCell ref="A2:J2"/>
  </mergeCells>
  <pageMargins left="0.75" right="0.75" top="1" bottom="1" header="0.5" footer="0.5"/>
</worksheet>
</file>

<file path=xl/worksheets/sheet9.xml><?xml version="1.0" encoding="utf-8"?>
<worksheet xmlns="http://schemas.openxmlformats.org/spreadsheetml/2006/main">
  <sheetPr codeName="Hoja2">
    <tabColor rgb="FF2E75B5"/>
    <outlinePr summaryBelow="1" summaryRight="1"/>
    <pageSetUpPr/>
  </sheetPr>
  <dimension ref="A1:K5"/>
  <sheetViews>
    <sheetView showGridLines="0" workbookViewId="0">
      <selection activeCell="A1" sqref="A1:K1"/>
    </sheetView>
  </sheetViews>
  <sheetFormatPr baseColWidth="10" defaultColWidth="9.140625" defaultRowHeight="15"/>
  <cols>
    <col width="14" customWidth="1" style="146" min="1" max="1"/>
    <col width="30" customWidth="1" style="146" min="2" max="2"/>
    <col width="15" customWidth="1" style="146" min="3" max="3"/>
    <col width="8" customWidth="1" style="146" min="4" max="4"/>
    <col width="12" customWidth="1" style="146" min="5" max="7"/>
    <col width="10" customWidth="1" style="146" min="8" max="8"/>
    <col width="25" customWidth="1" style="146" min="9" max="9"/>
    <col width="12" customWidth="1" style="146" min="10" max="10"/>
    <col width="22" customWidth="1" style="146" min="11" max="11"/>
  </cols>
  <sheetData>
    <row r="1" ht="24.95" customHeight="1" s="146">
      <c r="A1" s="190" t="inlineStr">
        <is>
          <t>CONTROL DE DOCUMENTOS DEL SGSI</t>
        </is>
      </c>
    </row>
    <row r="3" ht="30" customHeight="1" s="146">
      <c r="A3" s="53" t="inlineStr">
        <is>
          <t>Código Doc</t>
        </is>
      </c>
      <c r="B3" s="53" t="inlineStr">
        <is>
          <t>Título</t>
        </is>
      </c>
      <c r="C3" s="53" t="inlineStr">
        <is>
          <t>Tipo</t>
        </is>
      </c>
      <c r="D3" s="53" t="inlineStr">
        <is>
          <t>Versión</t>
        </is>
      </c>
      <c r="E3" s="53" t="inlineStr">
        <is>
          <t>Fecha Emisión</t>
        </is>
      </c>
      <c r="F3" s="53" t="inlineStr">
        <is>
          <t>Autor</t>
        </is>
      </c>
      <c r="G3" s="53" t="inlineStr">
        <is>
          <t>Aprobador</t>
        </is>
      </c>
      <c r="H3" s="53" t="inlineStr">
        <is>
          <t>Estado</t>
        </is>
      </c>
      <c r="I3" s="53" t="inlineStr">
        <is>
          <t>Cambios</t>
        </is>
      </c>
      <c r="J3" s="53" t="inlineStr">
        <is>
          <t>Próx. Revisión</t>
        </is>
      </c>
      <c r="K3" s="53" t="inlineStr">
        <is>
          <t>Ubicación</t>
        </is>
      </c>
    </row>
    <row r="4">
      <c r="A4" s="20" t="inlineStr">
        <is>
          <t>DOC-SGSI-001</t>
        </is>
      </c>
      <c r="B4" s="47" t="inlineStr">
        <is>
          <t>Política General SGSI</t>
        </is>
      </c>
      <c r="C4" s="20" t="inlineStr">
        <is>
          <t>Política</t>
        </is>
      </c>
      <c r="D4" s="20" t="inlineStr">
        <is>
          <t>2.0</t>
        </is>
      </c>
      <c r="E4" s="47" t="inlineStr">
        <is>
          <t>01/01/2025</t>
        </is>
      </c>
      <c r="F4" s="47" t="inlineStr">
        <is>
          <t>CISO</t>
        </is>
      </c>
      <c r="G4" s="47" t="inlineStr">
        <is>
          <t>CEO</t>
        </is>
      </c>
      <c r="H4" s="20" t="inlineStr">
        <is>
          <t>Vigente</t>
        </is>
      </c>
      <c r="I4" s="47" t="inlineStr">
        <is>
          <t>Actualización normativa</t>
        </is>
      </c>
      <c r="J4" s="47" t="inlineStr">
        <is>
          <t>01/01/2026</t>
        </is>
      </c>
      <c r="K4" s="47" t="inlineStr">
        <is>
          <t>SharePoint/Políticas</t>
        </is>
      </c>
    </row>
    <row r="5" ht="30" customHeight="1" s="146">
      <c r="A5" s="20" t="inlineStr">
        <is>
          <t>DOC-PROC-001</t>
        </is>
      </c>
      <c r="B5" s="47" t="inlineStr">
        <is>
          <t>Procedimiento Backup</t>
        </is>
      </c>
      <c r="C5" s="20" t="inlineStr">
        <is>
          <t>Procedimiento</t>
        </is>
      </c>
      <c r="D5" s="20" t="inlineStr">
        <is>
          <t>1.5</t>
        </is>
      </c>
      <c r="E5" s="47" t="inlineStr">
        <is>
          <t>15/02/2025</t>
        </is>
      </c>
      <c r="F5" s="47" t="inlineStr">
        <is>
          <t>Admin TI</t>
        </is>
      </c>
      <c r="G5" s="47" t="inlineStr">
        <is>
          <t>CISO</t>
        </is>
      </c>
      <c r="H5" s="20" t="inlineStr">
        <is>
          <t>Vigente</t>
        </is>
      </c>
      <c r="I5" s="47" t="inlineStr">
        <is>
          <t>Nuevas tecnologías</t>
        </is>
      </c>
      <c r="J5" s="47" t="inlineStr">
        <is>
          <t>15/08/2025</t>
        </is>
      </c>
      <c r="K5" s="47" t="inlineStr">
        <is>
          <t>SharePoint/Procedimientos</t>
        </is>
      </c>
    </row>
  </sheetData>
  <mergeCells count="1">
    <mergeCell ref="A1:K1"/>
  </mergeCells>
  <dataValidations count="2">
    <dataValidation sqref="C4:C1000" showDropDown="0" showInputMessage="0" showErrorMessage="0" allowBlank="0" type="list">
      <formula1>"Política,Procedimiento,Instrucción,Registro,Formulario,Otro"</formula1>
    </dataValidation>
    <dataValidation sqref="H4:H1000" showDropDown="0" showInputMessage="0" showErrorMessage="0" allowBlank="0" type="list">
      <formula1>"Vigente,En Revisión,Obsoleto,Borrador"</formula1>
    </dataValidation>
  </dataValidations>
  <pageMargins left="0.75" right="0.75" top="1" bottom="1" header="0.5" footer="0.5"/>
</worksheet>
</file>

<file path=xl/worksheets/sheet10.xml><?xml version="1.0" encoding="utf-8"?>
<worksheet xmlns="http://schemas.openxmlformats.org/spreadsheetml/2006/main">
  <sheetPr codeName="Hoja3">
    <tabColor rgb="FF4472C4"/>
    <outlinePr summaryBelow="1" summaryRight="1"/>
    <pageSetUpPr/>
  </sheetPr>
  <dimension ref="A5:F40"/>
  <sheetViews>
    <sheetView showGridLines="0" workbookViewId="0">
      <selection activeCell="A1" sqref="A1"/>
    </sheetView>
  </sheetViews>
  <sheetFormatPr baseColWidth="10" defaultColWidth="9.140625" defaultRowHeight="15"/>
  <cols>
    <col width="18" customWidth="1" style="146" min="1" max="6"/>
  </cols>
  <sheetData>
    <row r="5">
      <c r="A5" s="191" t="inlineStr">
        <is>
          <t>SISTEMA DE GESTIÓN DE
SEGURIDAD DE LA INFORMACIÓN</t>
        </is>
      </c>
    </row>
    <row r="6"/>
    <row r="7"/>
    <row r="8"/>
    <row r="10">
      <c r="A10" s="192" t="inlineStr">
        <is>
          <t>ISO/IEC 27001:2022</t>
        </is>
      </c>
    </row>
    <row r="11"/>
    <row r="13" ht="18.75" customHeight="1" s="146">
      <c r="A13" s="193" t="inlineStr">
        <is>
          <t>Versión 4.0 - Sistema Completo</t>
        </is>
      </c>
    </row>
    <row r="18" ht="21" customHeight="1" s="146">
      <c r="A18" s="196" t="inlineStr">
        <is>
          <t>[NOMBRE DE LA ORGANIZACIÓN]</t>
        </is>
      </c>
    </row>
    <row r="20" ht="15.75" customHeight="1" s="146">
      <c r="A20" s="197" t="inlineStr">
        <is>
          <t>Fecha: 06 de Noviembre de 2025</t>
        </is>
      </c>
    </row>
    <row r="25" ht="18.75" customHeight="1" s="146">
      <c r="A25" s="198" t="inlineStr">
        <is>
          <t>✨ CARACTERÍSTICAS DEL SISTEMA ✨</t>
        </is>
      </c>
    </row>
    <row r="27">
      <c r="A27" s="194" t="inlineStr">
        <is>
          <t>✅ Cumplimiento total ISO 27001:2022</t>
        </is>
      </c>
    </row>
    <row r="28">
      <c r="A28" s="194" t="inlineStr">
        <is>
          <t>✅ 93 controles del Anexo A documentados</t>
        </is>
      </c>
    </row>
    <row r="29">
      <c r="A29" s="194" t="inlineStr">
        <is>
          <t>✅ 20+ macros automatizadas</t>
        </is>
      </c>
    </row>
    <row r="30">
      <c r="A30" s="194" t="inlineStr">
        <is>
          <t>✅ Dashboard interactivo de métricas</t>
        </is>
      </c>
    </row>
    <row r="31">
      <c r="A31" s="194" t="inlineStr">
        <is>
          <t>✅ Exportación profesional a PDF</t>
        </is>
      </c>
    </row>
    <row r="32">
      <c r="A32" s="194" t="inlineStr">
        <is>
          <t>✅ Integración MITRE ATT&amp;CK ICS</t>
        </is>
      </c>
    </row>
    <row r="40">
      <c r="A40" s="195" t="inlineStr">
        <is>
          <t>Documento Confidencial - Uso Interno</t>
        </is>
      </c>
    </row>
  </sheetData>
  <mergeCells count="13">
    <mergeCell ref="A28:F28"/>
    <mergeCell ref="A5:F8"/>
    <mergeCell ref="A10:F11"/>
    <mergeCell ref="A13:F13"/>
    <mergeCell ref="A32:F32"/>
    <mergeCell ref="A27:F27"/>
    <mergeCell ref="A31:F31"/>
    <mergeCell ref="A40:F40"/>
    <mergeCell ref="A18:F18"/>
    <mergeCell ref="A20:F20"/>
    <mergeCell ref="A30:F30"/>
    <mergeCell ref="A29:F29"/>
    <mergeCell ref="A25:F25"/>
  </mergeCells>
  <pageMargins left="0.75" right="0.75" top="1" bottom="1" header="0.5" footer="0.5"/>
</worksheet>
</file>

<file path=xl/worksheets/sheet11.xml><?xml version="1.0" encoding="utf-8"?>
<worksheet xmlns="http://schemas.openxmlformats.org/spreadsheetml/2006/main">
  <sheetPr codeName="Hoja4">
    <tabColor rgb="FFC65911"/>
    <outlinePr summaryBelow="1" summaryRight="1"/>
    <pageSetUpPr/>
  </sheetPr>
  <dimension ref="A1:F23"/>
  <sheetViews>
    <sheetView showGridLines="0" workbookViewId="0">
      <selection activeCell="A1" sqref="A1:F1"/>
    </sheetView>
  </sheetViews>
  <sheetFormatPr baseColWidth="10" defaultColWidth="9.140625" defaultRowHeight="15"/>
  <cols>
    <col width="12" customWidth="1" style="146" min="1" max="1"/>
    <col width="35" customWidth="1" style="146" min="2" max="2"/>
    <col width="30" customWidth="1" style="146" min="3" max="3"/>
    <col width="8" customWidth="1" style="146" min="4" max="4"/>
    <col width="15" customWidth="1" style="146" min="5" max="6"/>
  </cols>
  <sheetData>
    <row r="1" ht="24.95" customHeight="1" s="146">
      <c r="A1" s="200" t="inlineStr">
        <is>
          <t>METODOLOGÍA DE ANÁLISIS DE RIESGOS</t>
        </is>
      </c>
    </row>
    <row r="3" ht="15.75" customHeight="1" s="146">
      <c r="A3" s="199" t="inlineStr">
        <is>
          <t>ESCALA DE PROBABILIDAD</t>
        </is>
      </c>
    </row>
    <row r="5">
      <c r="A5" s="75" t="inlineStr">
        <is>
          <t>Nivel</t>
        </is>
      </c>
      <c r="B5" s="75" t="inlineStr">
        <is>
          <t>Descripción</t>
        </is>
      </c>
      <c r="C5" s="75" t="inlineStr">
        <is>
          <t>Frecuencia</t>
        </is>
      </c>
      <c r="D5" s="75" t="inlineStr">
        <is>
          <t>Valor</t>
        </is>
      </c>
    </row>
    <row r="6">
      <c r="A6" s="20" t="inlineStr">
        <is>
          <t>Muy Alta</t>
        </is>
      </c>
      <c r="B6" s="47" t="inlineStr">
        <is>
          <t>Ocurre frecuentemente</t>
        </is>
      </c>
      <c r="C6" s="47" t="inlineStr">
        <is>
          <t>Más de 1 vez/mes</t>
        </is>
      </c>
      <c r="D6" s="20" t="inlineStr">
        <is>
          <t>5</t>
        </is>
      </c>
    </row>
    <row r="7">
      <c r="A7" s="20" t="inlineStr">
        <is>
          <t>Alta</t>
        </is>
      </c>
      <c r="B7" s="47" t="inlineStr">
        <is>
          <t>Probable que ocurra</t>
        </is>
      </c>
      <c r="C7" s="47" t="inlineStr">
        <is>
          <t>1 vez cada 1-6 meses</t>
        </is>
      </c>
      <c r="D7" s="20" t="inlineStr">
        <is>
          <t>4</t>
        </is>
      </c>
    </row>
    <row r="8">
      <c r="A8" s="20" t="inlineStr">
        <is>
          <t>Media</t>
        </is>
      </c>
      <c r="B8" s="47" t="inlineStr">
        <is>
          <t>Puede ocurrir</t>
        </is>
      </c>
      <c r="C8" s="47" t="inlineStr">
        <is>
          <t>1 vez cada 6-12 meses</t>
        </is>
      </c>
      <c r="D8" s="20" t="inlineStr">
        <is>
          <t>3</t>
        </is>
      </c>
    </row>
    <row r="9">
      <c r="A9" s="20" t="inlineStr">
        <is>
          <t>Baja</t>
        </is>
      </c>
      <c r="B9" s="47" t="inlineStr">
        <is>
          <t>Poco probable</t>
        </is>
      </c>
      <c r="C9" s="47" t="inlineStr">
        <is>
          <t>1 vez cada 1-3 años</t>
        </is>
      </c>
      <c r="D9" s="20" t="inlineStr">
        <is>
          <t>2</t>
        </is>
      </c>
    </row>
    <row r="10">
      <c r="A10" s="20" t="inlineStr">
        <is>
          <t>Muy Baja</t>
        </is>
      </c>
      <c r="B10" s="47" t="inlineStr">
        <is>
          <t>Muy improbable</t>
        </is>
      </c>
      <c r="C10" s="47" t="inlineStr">
        <is>
          <t>Menos de 1 vez cada 3 años</t>
        </is>
      </c>
      <c r="D10" s="20" t="inlineStr">
        <is>
          <t>1</t>
        </is>
      </c>
    </row>
    <row r="13" ht="15.75" customHeight="1" s="146">
      <c r="A13" s="199" t="inlineStr">
        <is>
          <t>ESCALA DE IMPACTO</t>
        </is>
      </c>
    </row>
    <row r="15">
      <c r="A15" s="75" t="inlineStr">
        <is>
          <t>Nivel</t>
        </is>
      </c>
      <c r="B15" s="75" t="inlineStr">
        <is>
          <t>Descripción</t>
        </is>
      </c>
      <c r="C15" s="75" t="inlineStr">
        <is>
          <t>Impacto Negocio</t>
        </is>
      </c>
      <c r="D15" s="75" t="inlineStr">
        <is>
          <t>Valor</t>
        </is>
      </c>
    </row>
    <row r="16">
      <c r="A16" s="20" t="inlineStr">
        <is>
          <t>Muy Alto</t>
        </is>
      </c>
      <c r="B16" s="47" t="inlineStr">
        <is>
          <t>Impacto catastrófico</t>
        </is>
      </c>
      <c r="C16" s="47" t="inlineStr">
        <is>
          <t>Pérdida &gt; 500K€, cierre negocio</t>
        </is>
      </c>
      <c r="D16" s="20" t="inlineStr">
        <is>
          <t>5</t>
        </is>
      </c>
    </row>
    <row r="17">
      <c r="A17" s="20" t="inlineStr">
        <is>
          <t>Alto</t>
        </is>
      </c>
      <c r="B17" s="47" t="inlineStr">
        <is>
          <t>Impacto grave</t>
        </is>
      </c>
      <c r="C17" s="47" t="inlineStr">
        <is>
          <t>Pérdida 100-500K€</t>
        </is>
      </c>
      <c r="D17" s="20" t="inlineStr">
        <is>
          <t>4</t>
        </is>
      </c>
    </row>
    <row r="18">
      <c r="A18" s="20" t="inlineStr">
        <is>
          <t>Medio</t>
        </is>
      </c>
      <c r="B18" s="47" t="inlineStr">
        <is>
          <t>Impacto moderado</t>
        </is>
      </c>
      <c r="C18" s="47" t="inlineStr">
        <is>
          <t>Pérdida 20-100K€</t>
        </is>
      </c>
      <c r="D18" s="20" t="inlineStr">
        <is>
          <t>3</t>
        </is>
      </c>
    </row>
    <row r="19">
      <c r="A19" s="20" t="inlineStr">
        <is>
          <t>Bajo</t>
        </is>
      </c>
      <c r="B19" s="47" t="inlineStr">
        <is>
          <t>Impacto menor</t>
        </is>
      </c>
      <c r="C19" s="47" t="inlineStr">
        <is>
          <t>Pérdida 5-20K€</t>
        </is>
      </c>
      <c r="D19" s="20" t="inlineStr">
        <is>
          <t>2</t>
        </is>
      </c>
    </row>
    <row r="20">
      <c r="A20" s="20" t="inlineStr">
        <is>
          <t>Muy Bajo</t>
        </is>
      </c>
      <c r="B20" s="47" t="inlineStr">
        <is>
          <t>Impacto insignificante</t>
        </is>
      </c>
      <c r="C20" s="47" t="inlineStr">
        <is>
          <t>Pérdida &lt; 5K€</t>
        </is>
      </c>
      <c r="D20" s="20" t="inlineStr">
        <is>
          <t>1</t>
        </is>
      </c>
    </row>
    <row r="23">
      <c r="A23" s="201" t="inlineStr">
        <is>
          <t>MATRIZ DE EVALUACIÓN: Riesgo = Probabilidad × Impacto</t>
        </is>
      </c>
    </row>
  </sheetData>
  <mergeCells count="4">
    <mergeCell ref="A3:F3"/>
    <mergeCell ref="A13:F13"/>
    <mergeCell ref="A1:F1"/>
    <mergeCell ref="A23:F23"/>
  </mergeCells>
  <pageMargins left="0.75" right="0.75" top="1" bottom="1" header="0.5" footer="0.5"/>
</worksheet>
</file>

<file path=xl/worksheets/sheet12.xml><?xml version="1.0" encoding="utf-8"?>
<worksheet xmlns="http://schemas.openxmlformats.org/spreadsheetml/2006/main">
  <sheetPr codeName="Hoja5">
    <tabColor rgb="FF548235"/>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03" t="inlineStr">
        <is>
          <t>STATEMENT OF APPLICABILITY (SOA)</t>
        </is>
      </c>
    </row>
    <row r="3">
      <c r="A3" s="202" t="inlineStr">
        <is>
          <t>📋 Plantilla para: STATEMENT OF APPLICABILITY (SOA)</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13.xml><?xml version="1.0" encoding="utf-8"?>
<worksheet xmlns="http://schemas.openxmlformats.org/spreadsheetml/2006/main">
  <sheetPr codeName="Hoja6">
    <tabColor rgb="FF7030A0"/>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05" t="inlineStr">
        <is>
          <t>PLAN DE AUDITORÍA INTERNA</t>
        </is>
      </c>
    </row>
    <row r="3">
      <c r="A3" s="202" t="inlineStr">
        <is>
          <t>📋 Plantilla para: PLAN DE AUDITORÍA INTERNA</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14.xml><?xml version="1.0" encoding="utf-8"?>
<worksheet xmlns="http://schemas.openxmlformats.org/spreadsheetml/2006/main">
  <sheetPr codeName="Hoja7">
    <tabColor rgb="FF203764"/>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06" t="inlineStr">
        <is>
          <t>REVISIÓN POR LA DIRECCIÓN</t>
        </is>
      </c>
    </row>
    <row r="3">
      <c r="A3" s="202" t="inlineStr">
        <is>
          <t>📋 Plantilla para: REVISIÓN POR LA DIRECCIÓN</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15.xml><?xml version="1.0" encoding="utf-8"?>
<worksheet xmlns="http://schemas.openxmlformats.org/spreadsheetml/2006/main">
  <sheetPr codeName="Hoja8">
    <tabColor rgb="FFC65911"/>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00" t="inlineStr">
        <is>
          <t>PLAN DE PROYECTO SGSI</t>
        </is>
      </c>
    </row>
    <row r="3">
      <c r="A3" s="202" t="inlineStr">
        <is>
          <t>📋 Plantilla para: PLAN DE PROYECTO SGSI</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16.xml><?xml version="1.0" encoding="utf-8"?>
<worksheet xmlns="http://schemas.openxmlformats.org/spreadsheetml/2006/main">
  <sheetPr codeName="Hoja9">
    <tabColor rgb="FF70AD47"/>
    <outlinePr summaryBelow="1" summaryRight="1"/>
    <pageSetUpPr fitToPage="1"/>
  </sheetPr>
  <dimension ref="A1:D28"/>
  <sheetViews>
    <sheetView showGridLines="0" workbookViewId="0">
      <selection activeCell="A1" sqref="A1:F1"/>
    </sheetView>
  </sheetViews>
  <sheetFormatPr baseColWidth="10" defaultColWidth="9.140625" defaultRowHeight="15"/>
  <cols>
    <col width="20" customWidth="1" style="146" min="1" max="1"/>
    <col width="5" customWidth="1" style="146" min="2" max="2"/>
    <col width="25" customWidth="1" style="146" min="3" max="3"/>
    <col width="15" customWidth="1" style="146" min="4" max="4"/>
  </cols>
  <sheetData>
    <row r="1" ht="30" customHeight="1" s="146">
      <c r="A1" s="207" t="inlineStr">
        <is>
          <t>DATOS DE LA ORGANIZACIÓN</t>
        </is>
      </c>
    </row>
    <row r="2">
      <c r="B2" t="inlineStr">
        <is>
          <t>TechSecure Solutions S.A.</t>
        </is>
      </c>
    </row>
    <row r="3" ht="15.75" customHeight="1" s="146">
      <c r="A3" s="208" t="inlineStr">
        <is>
          <t>📋 INFORMACIÓN GENERAL</t>
        </is>
      </c>
    </row>
    <row r="4">
      <c r="B4" t="inlineStr">
        <is>
          <t>Av. Libertador Bernardo O'Higgins 1234, Santiago</t>
        </is>
      </c>
    </row>
    <row r="5">
      <c r="A5" s="2" t="inlineStr">
        <is>
          <t>Campo</t>
        </is>
      </c>
      <c r="B5" t="inlineStr">
        <is>
          <t>+56 2 2345 6789</t>
        </is>
      </c>
      <c r="C5" s="2" t="inlineStr">
        <is>
          <t>Valor</t>
        </is>
      </c>
    </row>
    <row r="6">
      <c r="A6" s="3" t="inlineStr">
        <is>
          <t>Razón Social:</t>
        </is>
      </c>
      <c r="B6" t="inlineStr">
        <is>
          <t>contacto@techsecure.cl</t>
        </is>
      </c>
      <c r="C6" s="4" t="inlineStr">
        <is>
          <t>[Ingrese razón social]</t>
        </is>
      </c>
    </row>
    <row r="7">
      <c r="A7" s="3" t="inlineStr">
        <is>
          <t>NIF/CIF:</t>
        </is>
      </c>
      <c r="B7" t="inlineStr">
        <is>
          <t>www.techsecure.cl</t>
        </is>
      </c>
      <c r="C7" s="4" t="inlineStr">
        <is>
          <t>[Ingrese NIF]</t>
        </is>
      </c>
    </row>
    <row r="8">
      <c r="A8" s="3" t="inlineStr">
        <is>
          <t>Dirección:</t>
        </is>
      </c>
      <c r="B8" t="inlineStr">
        <is>
          <t>Tecnología y Ciberseguridad</t>
        </is>
      </c>
      <c r="C8" s="4" t="inlineStr">
        <is>
          <t>[Ingrese dirección]</t>
        </is>
      </c>
    </row>
    <row r="9">
      <c r="A9" s="3" t="inlineStr">
        <is>
          <t>Ciudad:</t>
        </is>
      </c>
      <c r="B9" t="inlineStr">
        <is>
          <t>250</t>
        </is>
      </c>
      <c r="C9" s="4" t="inlineStr">
        <is>
          <t>[Ciudad]</t>
        </is>
      </c>
    </row>
    <row r="10">
      <c r="A10" s="3" t="inlineStr">
        <is>
          <t>Código Postal:</t>
        </is>
      </c>
      <c r="B10" t="inlineStr">
        <is>
          <t>Juan Carlos Pérez Soto</t>
        </is>
      </c>
      <c r="C10" s="4" t="inlineStr">
        <is>
          <t>[CP]</t>
        </is>
      </c>
    </row>
    <row r="11">
      <c r="A11" s="3" t="inlineStr">
        <is>
          <t>País:</t>
        </is>
      </c>
      <c r="B11" t="inlineStr">
        <is>
          <t>Gerente General</t>
        </is>
      </c>
      <c r="C11" s="4" t="inlineStr">
        <is>
          <t>[País]</t>
        </is>
      </c>
    </row>
    <row r="12">
      <c r="A12" s="3" t="inlineStr">
        <is>
          <t>Teléfono:</t>
        </is>
      </c>
      <c r="B12" t="inlineStr">
        <is>
          <t>María Fernanda López Ríos</t>
        </is>
      </c>
      <c r="C12" s="4" t="inlineStr">
        <is>
          <t>[Teléfono]</t>
        </is>
      </c>
    </row>
    <row r="13">
      <c r="A13" s="3" t="inlineStr">
        <is>
          <t>Email:</t>
        </is>
      </c>
      <c r="B13" t="inlineStr">
        <is>
          <t>Oficial de Seguridad de la Información (CISO)</t>
        </is>
      </c>
      <c r="C13" s="4" t="inlineStr">
        <is>
          <t>[Email]</t>
        </is>
      </c>
    </row>
    <row r="14">
      <c r="A14" s="3" t="inlineStr">
        <is>
          <t>Sitio Web:</t>
        </is>
      </c>
      <c r="B14" t="inlineStr">
        <is>
          <t>ISO 27001:2022, ISO 27701:2019</t>
        </is>
      </c>
      <c r="C14" s="4" t="inlineStr">
        <is>
          <t>[www.example.com]</t>
        </is>
      </c>
    </row>
    <row r="15">
      <c r="B15" t="inlineStr">
        <is>
          <t>Q1 2025</t>
        </is>
      </c>
    </row>
    <row r="16" ht="15.75" customHeight="1" s="146">
      <c r="A16" s="208" t="inlineStr">
        <is>
          <t>👤 RESPONSABLE DEL SGSI</t>
        </is>
      </c>
    </row>
    <row r="18">
      <c r="A18" s="3" t="inlineStr">
        <is>
          <t>Nombre:</t>
        </is>
      </c>
      <c r="C18" s="4" t="inlineStr">
        <is>
          <t>[Nombre completo]</t>
        </is>
      </c>
    </row>
    <row r="19">
      <c r="A19" s="3" t="inlineStr">
        <is>
          <t>Cargo:</t>
        </is>
      </c>
      <c r="C19" s="4" t="inlineStr">
        <is>
          <t>[Cargo]</t>
        </is>
      </c>
    </row>
    <row r="20">
      <c r="A20" s="3" t="inlineStr">
        <is>
          <t>Email:</t>
        </is>
      </c>
      <c r="C20" s="4" t="inlineStr">
        <is>
          <t>[Email]</t>
        </is>
      </c>
    </row>
    <row r="21">
      <c r="A21" s="3" t="inlineStr">
        <is>
          <t>Teléfono:</t>
        </is>
      </c>
      <c r="C21" s="4" t="inlineStr">
        <is>
          <t>[Teléfono]</t>
        </is>
      </c>
    </row>
    <row r="23" ht="15.75" customHeight="1" s="146">
      <c r="A23" s="208" t="inlineStr">
        <is>
          <t>🎯 ALCANCE DEL SGSI</t>
        </is>
      </c>
    </row>
    <row r="25">
      <c r="A25" s="279" t="inlineStr">
        <is>
          <t>[Descripción del alcance del SGSI]
Ejemplo: "Aplica a todos los procesos de tecnología de la información que soportan las operaciones de la organización, incluyendo..."</t>
        </is>
      </c>
      <c r="B25" s="210" t="n"/>
      <c r="C25" s="210" t="n"/>
      <c r="D25" s="211" t="n"/>
    </row>
    <row r="26">
      <c r="A26" s="212" t="n"/>
      <c r="D26" s="213" t="n"/>
    </row>
    <row r="27">
      <c r="A27" s="212" t="n"/>
      <c r="D27" s="213" t="n"/>
    </row>
    <row r="28">
      <c r="A28" s="214" t="n"/>
      <c r="B28" s="215" t="n"/>
      <c r="C28" s="215" t="n"/>
      <c r="D28" s="216" t="n"/>
    </row>
  </sheetData>
  <mergeCells count="5">
    <mergeCell ref="A1:D1"/>
    <mergeCell ref="A23:D23"/>
    <mergeCell ref="A3:D3"/>
    <mergeCell ref="A16:D16"/>
    <mergeCell ref="A25:D28"/>
  </mergeCells>
  <printOptions gridLines="1"/>
  <pageMargins left="0.5" right="0.5" top="0.5" bottom="0.5" header="0.2992125984251969" footer="0.2992125984251969"/>
  <pageSetup orientation="portrait" fitToHeight="0"/>
  <headerFooter>
    <oddHeader>&amp;L&amp;"Segoe UI,Bold"&amp;14 Datos_Organizacion&amp;R&amp;"Segoe UI"&amp;10 Fecha: &amp;D</oddHeader>
    <oddFooter>&amp;L&amp;"Segoe UI"&amp;9 SGSI - ISO 27001:2022&amp;R&amp;"Segoe UI"&amp;9 Página &amp;P de &amp;N</oddFooter>
    <evenHeader/>
    <evenFooter/>
    <firstHeader/>
    <firstFooter/>
  </headerFooter>
</worksheet>
</file>

<file path=xl/worksheets/sheet17.xml><?xml version="1.0" encoding="utf-8"?>
<worksheet xmlns="http://schemas.openxmlformats.org/spreadsheetml/2006/main">
  <sheetPr codeName="Hoja10">
    <tabColor rgb="FFFFC000"/>
    <outlinePr summaryBelow="1" summaryRight="1"/>
    <pageSetUpPr fitToPage="1"/>
  </sheetPr>
  <dimension ref="A1:V51"/>
  <sheetViews>
    <sheetView showGridLines="0" workbookViewId="0">
      <selection activeCell="G18" sqref="G18"/>
    </sheetView>
  </sheetViews>
  <sheetFormatPr baseColWidth="10" defaultColWidth="9.140625" defaultRowHeight="15"/>
  <cols>
    <col width="12.140625" bestFit="1" customWidth="1" style="146" min="1" max="1"/>
    <col width="12.85546875" bestFit="1" customWidth="1" style="146" min="2" max="2"/>
    <col width="16.7109375" bestFit="1" customWidth="1" style="146" min="3" max="3"/>
    <col width="9.5703125" bestFit="1" customWidth="1" style="146" min="4" max="4"/>
    <col width="11.7109375" bestFit="1" customWidth="1" style="146" min="5" max="5"/>
    <col width="13.42578125" bestFit="1" customWidth="1" style="146" min="6" max="6"/>
    <col width="13.140625" bestFit="1" customWidth="1" style="146" min="7" max="7"/>
    <col width="9.85546875" bestFit="1" customWidth="1" style="146" min="8" max="8"/>
    <col width="9.42578125" bestFit="1" customWidth="1" style="146" min="9" max="9"/>
    <col width="9.5703125" bestFit="1" customWidth="1" style="146" min="10" max="10"/>
    <col width="11.7109375" bestFit="1" customWidth="1" style="146" min="11" max="11"/>
    <col width="8" customWidth="1" style="146" min="12" max="13"/>
    <col width="7.7109375" bestFit="1" customWidth="1" style="146" min="14" max="14"/>
    <col width="9.140625" bestFit="1" customWidth="1" style="146" min="15" max="15"/>
    <col width="8.28515625" bestFit="1" customWidth="1" style="146" min="16" max="16"/>
    <col width="6.5703125" bestFit="1" customWidth="1" style="146" min="17" max="17"/>
    <col width="10.7109375" bestFit="1" customWidth="1" style="146" min="18" max="19"/>
    <col width="13.140625" bestFit="1" customWidth="1" style="146" min="20" max="20"/>
    <col width="15" bestFit="1" customWidth="1" style="146" min="21" max="21"/>
    <col width="32.140625" bestFit="1" customWidth="1" style="146" min="22" max="22"/>
  </cols>
  <sheetData>
    <row r="1" ht="24.95" customHeight="1" s="146">
      <c r="A1" s="217" t="inlineStr">
        <is>
          <t>INVENTARIO DE ACTIVOS DE INFORMACIÓN</t>
        </is>
      </c>
    </row>
    <row r="2" ht="30" customHeight="1" s="146">
      <c r="A2" s="5" t="inlineStr">
        <is>
          <t>ACT-2025-001</t>
        </is>
      </c>
      <c r="B2" s="5" t="inlineStr">
        <is>
          <t>Otro 91</t>
        </is>
      </c>
      <c r="C2" s="5" t="inlineStr">
        <is>
          <t>Equipamiento</t>
        </is>
      </c>
      <c r="D2" s="5" t="inlineStr">
        <is>
          <t>Otro</t>
        </is>
      </c>
      <c r="E2" s="5" t="inlineStr">
        <is>
          <t>Otro utilizado para operaciones de equipamiento</t>
        </is>
      </c>
      <c r="F2" s="5" t="inlineStr">
        <is>
          <t>Sucursal Norte</t>
        </is>
      </c>
      <c r="G2" s="5" t="inlineStr">
        <is>
          <t>Pedro González</t>
        </is>
      </c>
      <c r="H2" s="5" t="inlineStr">
        <is>
          <t>TI</t>
        </is>
      </c>
      <c r="I2" s="5" t="inlineStr">
        <is>
          <t>Backup</t>
        </is>
      </c>
      <c r="J2" s="5" t="n">
        <v>3</v>
      </c>
      <c r="K2" s="5" t="n">
        <v>5</v>
      </c>
      <c r="L2" s="5" t="n">
        <v>3</v>
      </c>
      <c r="M2" s="5" t="n">
        <v>3.7</v>
      </c>
      <c r="N2" s="5" t="inlineStr">
        <is>
          <t>17/06/2024</t>
        </is>
      </c>
      <c r="O2" s="5" t="inlineStr">
        <is>
          <t>Pedro González</t>
        </is>
      </c>
      <c r="P2" s="5" t="inlineStr">
        <is>
          <t>Criticidad</t>
        </is>
      </c>
      <c r="Q2" s="5" t="inlineStr">
        <is>
          <t>Estado</t>
        </is>
      </c>
      <c r="R2" s="5" t="inlineStr">
        <is>
          <t>Fecha Alta</t>
        </is>
      </c>
      <c r="S2" s="5" t="inlineStr">
        <is>
          <t>Última Modificación</t>
        </is>
      </c>
      <c r="T2" s="5" t="inlineStr">
        <is>
          <t>Usuario</t>
        </is>
      </c>
    </row>
    <row r="3">
      <c r="A3" s="81" t="inlineStr">
        <is>
          <t>ACT-2025-002</t>
        </is>
      </c>
      <c r="B3" s="81" t="inlineStr">
        <is>
          <t>Laptop 75</t>
        </is>
      </c>
      <c r="C3" s="81" t="inlineStr">
        <is>
          <t>Hardware</t>
        </is>
      </c>
      <c r="D3" s="81" t="inlineStr">
        <is>
          <t>Laptop</t>
        </is>
      </c>
      <c r="E3" s="81" t="inlineStr">
        <is>
          <t>Laptop utilizado para operaciones de hardware</t>
        </is>
      </c>
      <c r="F3" s="81" t="inlineStr">
        <is>
          <t>Sucursal Norte</t>
        </is>
      </c>
      <c r="G3" s="81" t="inlineStr">
        <is>
          <t>Juan Pérez</t>
        </is>
      </c>
      <c r="H3" s="81" t="inlineStr">
        <is>
          <t>RRHH</t>
        </is>
      </c>
      <c r="I3" s="81" t="inlineStr">
        <is>
          <t>Fuera de Servicio</t>
        </is>
      </c>
      <c r="J3" s="81" t="n">
        <v>3</v>
      </c>
      <c r="K3" s="81" t="n">
        <v>2</v>
      </c>
      <c r="L3" s="6" t="n">
        <v>3</v>
      </c>
      <c r="M3" s="6" t="n">
        <v>2.7</v>
      </c>
      <c r="N3" s="6" t="inlineStr">
        <is>
          <t>16/05/2024</t>
        </is>
      </c>
      <c r="O3" s="6" t="inlineStr">
        <is>
          <t>Pedro González</t>
        </is>
      </c>
      <c r="P3" s="6" t="inlineStr">
        <is>
          <t>Crítica</t>
        </is>
      </c>
      <c r="Q3" s="6" t="inlineStr">
        <is>
          <t>Activo</t>
        </is>
      </c>
      <c r="R3" s="6" t="inlineStr">
        <is>
          <t>01/01/2025</t>
        </is>
      </c>
      <c r="S3" s="6" t="inlineStr">
        <is>
          <t>06/11/2025</t>
        </is>
      </c>
      <c r="T3" s="6" t="inlineStr">
        <is>
          <t>Admin</t>
        </is>
      </c>
    </row>
    <row r="4">
      <c r="A4" t="inlineStr">
        <is>
          <t>ACT-2025-003</t>
        </is>
      </c>
      <c r="B4" t="inlineStr">
        <is>
          <t>Soporte Técnico 91</t>
        </is>
      </c>
      <c r="C4" t="inlineStr">
        <is>
          <t>Personal</t>
        </is>
      </c>
      <c r="D4" t="inlineStr">
        <is>
          <t>Soporte Técnico</t>
        </is>
      </c>
      <c r="E4" t="inlineStr">
        <is>
          <t>Soporte Técnico utilizado para operaciones de personal</t>
        </is>
      </c>
      <c r="F4" t="inlineStr">
        <is>
          <t>Datacenter Principal</t>
        </is>
      </c>
      <c r="G4" t="inlineStr">
        <is>
          <t>Carla Soto</t>
        </is>
      </c>
      <c r="H4" t="inlineStr">
        <is>
          <t>TI</t>
        </is>
      </c>
      <c r="I4" t="inlineStr">
        <is>
          <t>Backup</t>
        </is>
      </c>
      <c r="J4" t="n">
        <v>5</v>
      </c>
      <c r="K4" t="n">
        <v>5</v>
      </c>
      <c r="L4" t="n">
        <v>5</v>
      </c>
      <c r="M4" t="n">
        <v>5</v>
      </c>
      <c r="N4" t="inlineStr">
        <is>
          <t>27/09/2024</t>
        </is>
      </c>
      <c r="O4" t="inlineStr">
        <is>
          <t>María López</t>
        </is>
      </c>
      <c r="V4" s="106" t="inlineStr">
        <is>
          <t>Análisis automático basado en palabras clave</t>
        </is>
      </c>
    </row>
    <row r="5">
      <c r="A5" t="inlineStr">
        <is>
          <t>ACT-2025-004</t>
        </is>
      </c>
      <c r="B5" t="inlineStr">
        <is>
          <t>Otro 37</t>
        </is>
      </c>
      <c r="C5" t="inlineStr">
        <is>
          <t>Equipamiento</t>
        </is>
      </c>
      <c r="D5" t="inlineStr">
        <is>
          <t>Otro</t>
        </is>
      </c>
      <c r="E5" t="inlineStr">
        <is>
          <t>Otro utilizado para operaciones de equipamiento</t>
        </is>
      </c>
      <c r="F5" t="inlineStr">
        <is>
          <t>Oficina Central</t>
        </is>
      </c>
      <c r="G5" t="inlineStr">
        <is>
          <t>Juan Pérez</t>
        </is>
      </c>
      <c r="H5" t="inlineStr">
        <is>
          <t>RRHH</t>
        </is>
      </c>
      <c r="I5" t="inlineStr">
        <is>
          <t>En Mantenimiento</t>
        </is>
      </c>
      <c r="J5" t="n">
        <v>4</v>
      </c>
      <c r="K5" t="n">
        <v>2</v>
      </c>
      <c r="L5" t="n">
        <v>5</v>
      </c>
      <c r="M5" t="n">
        <v>3.7</v>
      </c>
      <c r="N5" t="inlineStr">
        <is>
          <t>06/11/2024</t>
        </is>
      </c>
      <c r="O5" t="inlineStr">
        <is>
          <t>Ana Silva</t>
        </is>
      </c>
      <c r="U5" s="97" t="inlineStr">
        <is>
          <t>Asset ICS MITRE</t>
        </is>
      </c>
      <c r="V5" s="107" t="inlineStr">
        <is>
          <t>🤖 Sugerencia Auto Asset</t>
        </is>
      </c>
    </row>
    <row r="6">
      <c r="A6" t="inlineStr">
        <is>
          <t>ACT-2025-005</t>
        </is>
      </c>
      <c r="B6" t="inlineStr">
        <is>
          <t>Respaldo 56</t>
        </is>
      </c>
      <c r="C6" t="inlineStr">
        <is>
          <t>Servicios</t>
        </is>
      </c>
      <c r="D6" t="inlineStr">
        <is>
          <t>Respaldo</t>
        </is>
      </c>
      <c r="E6" t="inlineStr">
        <is>
          <t>Respaldo utilizado para operaciones de servicios</t>
        </is>
      </c>
      <c r="F6" t="inlineStr">
        <is>
          <t>Oficina Central</t>
        </is>
      </c>
      <c r="G6" t="inlineStr">
        <is>
          <t>Carla Soto</t>
        </is>
      </c>
      <c r="H6" t="inlineStr">
        <is>
          <t>Comercial</t>
        </is>
      </c>
      <c r="I6" t="inlineStr">
        <is>
          <t>Activo</t>
        </is>
      </c>
      <c r="J6" t="n">
        <v>3</v>
      </c>
      <c r="K6" t="n">
        <v>2</v>
      </c>
      <c r="L6" t="n">
        <v>2</v>
      </c>
      <c r="M6" t="n">
        <v>2.3</v>
      </c>
      <c r="N6" t="inlineStr">
        <is>
          <t>21/06/2025</t>
        </is>
      </c>
      <c r="O6" t="inlineStr">
        <is>
          <t>Pedro González</t>
        </is>
      </c>
      <c r="U6" s="99" t="n"/>
      <c r="V6" s="108">
        <f>IF(
ISNUMBER(SEARCH("PLC",H6)),"→ A0003: PLC",
IF(ISNUMBER(SEARCH("HMI",H6)),"→ A0002: HMI",
IF(ISNUMBER(SEARCH("SCADA",H6)),"→ A0002: HMI",
IF(ISNUMBER(SEARCH("SERVIDOR",H6)),"→ A0007: Control Server",
IF(ISNUMBER(SEARCH("ROUTER",H6)),"→ A0014: Router",
IF(ISNUMBER(SEARCH("SWITCH",H6)),"→ A0014: Router",
IF(ISNUMBER(SEARCH("PC",H6)),"→ A0001: Workstation",
IF(ISNUMBER(SEARCH("WORKSTATION",H6)),"→ A0001: Workstation",
IF(ISNUMBER(SEARCH("RTU",H6)),"→ A0004: RTU",
IF(ISNUMBER(SEARCH("HISTORIAN",H6)),"→ A0006: Historian",
"⚠️ Revisar manual"))))))))))</f>
        <v/>
      </c>
    </row>
    <row r="7">
      <c r="A7" s="88" t="inlineStr">
        <is>
          <t>ACT-2025-006</t>
        </is>
      </c>
      <c r="B7" s="86" t="inlineStr">
        <is>
          <t>Otro 61</t>
        </is>
      </c>
      <c r="C7" s="86" t="inlineStr">
        <is>
          <t>Equipamiento</t>
        </is>
      </c>
      <c r="D7" s="86" t="inlineStr">
        <is>
          <t>Otro</t>
        </is>
      </c>
      <c r="E7" s="86" t="inlineStr">
        <is>
          <t>Otro utilizado para operaciones de equipamiento</t>
        </is>
      </c>
      <c r="F7" s="86" t="inlineStr">
        <is>
          <t>Sucursal Sur</t>
        </is>
      </c>
      <c r="G7" s="86" t="inlineStr">
        <is>
          <t>Juan Pérez</t>
        </is>
      </c>
      <c r="H7" s="86" t="inlineStr">
        <is>
          <t>Finanzas</t>
        </is>
      </c>
      <c r="I7" s="86" t="inlineStr">
        <is>
          <t>Backup</t>
        </is>
      </c>
      <c r="J7" s="86" t="n">
        <v>4</v>
      </c>
      <c r="K7" s="87" t="n">
        <v>3</v>
      </c>
      <c r="L7" s="86" t="n">
        <v>3</v>
      </c>
      <c r="M7" s="86" t="n">
        <v>3.3</v>
      </c>
      <c r="N7" s="86" t="inlineStr">
        <is>
          <t>03/02/2025</t>
        </is>
      </c>
      <c r="O7" s="86" t="inlineStr">
        <is>
          <t>Pedro González</t>
        </is>
      </c>
      <c r="P7" s="86" t="inlineStr">
        <is>
          <t>Crítica</t>
        </is>
      </c>
      <c r="Q7" s="86" t="inlineStr">
        <is>
          <t>Activo</t>
        </is>
      </c>
      <c r="R7" s="87" t="n">
        <v>45967</v>
      </c>
      <c r="S7" s="87" t="n">
        <v>45967</v>
      </c>
      <c r="T7" s="86" t="inlineStr">
        <is>
          <t>david ñanculeo</t>
        </is>
      </c>
      <c r="U7" s="99" t="n"/>
      <c r="V7" s="108">
        <f>IF(
ISNUMBER(SEARCH("PLC",H7)),"→ A0003: PLC",
IF(ISNUMBER(SEARCH("HMI",H7)),"→ A0002: HMI",
IF(ISNUMBER(SEARCH("SCADA",H7)),"→ A0002: HMI",
IF(ISNUMBER(SEARCH("SERVIDOR",H7)),"→ A0007: Control Server",
IF(ISNUMBER(SEARCH("ROUTER",H7)),"→ A0014: Router",
IF(ISNUMBER(SEARCH("SWITCH",H7)),"→ A0014: Router",
IF(ISNUMBER(SEARCH("PC",H7)),"→ A0001: Workstation",
IF(ISNUMBER(SEARCH("WORKSTATION",H7)),"→ A0001: Workstation",
IF(ISNUMBER(SEARCH("RTU",H7)),"→ A0004: RTU",
IF(ISNUMBER(SEARCH("HISTORIAN",H7)),"→ A0006: Historian",
"⚠️ Revisar manual"))))))))))</f>
        <v/>
      </c>
    </row>
    <row r="8">
      <c r="A8" t="inlineStr">
        <is>
          <t>ACT-2025-007</t>
        </is>
      </c>
      <c r="B8" t="inlineStr">
        <is>
          <t>Monitoreo 59</t>
        </is>
      </c>
      <c r="C8" t="inlineStr">
        <is>
          <t>Servicios</t>
        </is>
      </c>
      <c r="D8" t="inlineStr">
        <is>
          <t>Monitoreo</t>
        </is>
      </c>
      <c r="E8" t="inlineStr">
        <is>
          <t>Monitoreo utilizado para operaciones de servicios</t>
        </is>
      </c>
      <c r="F8" t="inlineStr">
        <is>
          <t>Cloud AWS</t>
        </is>
      </c>
      <c r="G8" t="inlineStr">
        <is>
          <t>Laura Martínez</t>
        </is>
      </c>
      <c r="H8" t="inlineStr">
        <is>
          <t>Finanzas</t>
        </is>
      </c>
      <c r="I8" t="inlineStr">
        <is>
          <t>Fuera de Servicio</t>
        </is>
      </c>
      <c r="J8" t="n">
        <v>4</v>
      </c>
      <c r="K8" t="n">
        <v>4</v>
      </c>
      <c r="L8" t="n">
        <v>2</v>
      </c>
      <c r="M8" t="n">
        <v>3.3</v>
      </c>
      <c r="N8" t="inlineStr">
        <is>
          <t>19/05/2024</t>
        </is>
      </c>
      <c r="O8" t="inlineStr">
        <is>
          <t>Diego Fernández</t>
        </is>
      </c>
    </row>
    <row r="9">
      <c r="A9" t="inlineStr">
        <is>
          <t>ACT-2025-008</t>
        </is>
      </c>
      <c r="B9" t="inlineStr">
        <is>
          <t>Cloud Computing 56</t>
        </is>
      </c>
      <c r="C9" t="inlineStr">
        <is>
          <t>Servicios</t>
        </is>
      </c>
      <c r="D9" t="inlineStr">
        <is>
          <t>Cloud Computing</t>
        </is>
      </c>
      <c r="E9" t="inlineStr">
        <is>
          <t>Cloud Computing utilizado para operaciones de servicios</t>
        </is>
      </c>
      <c r="F9" t="inlineStr">
        <is>
          <t>Sucursal Norte</t>
        </is>
      </c>
      <c r="G9" t="inlineStr">
        <is>
          <t>Carla Soto</t>
        </is>
      </c>
      <c r="H9" t="inlineStr">
        <is>
          <t>TI</t>
        </is>
      </c>
      <c r="I9" t="inlineStr">
        <is>
          <t>En Mantenimiento</t>
        </is>
      </c>
      <c r="J9" t="n">
        <v>3</v>
      </c>
      <c r="K9" t="n">
        <v>4</v>
      </c>
      <c r="L9" t="n">
        <v>3</v>
      </c>
      <c r="M9" t="n">
        <v>3.3</v>
      </c>
      <c r="N9" t="inlineStr">
        <is>
          <t>13/05/2024</t>
        </is>
      </c>
      <c r="O9" t="inlineStr">
        <is>
          <t>Ana Silva</t>
        </is>
      </c>
    </row>
    <row r="10">
      <c r="A10" t="inlineStr">
        <is>
          <t>ACT-2025-009</t>
        </is>
      </c>
      <c r="B10" t="inlineStr">
        <is>
          <t>Otro 19</t>
        </is>
      </c>
      <c r="C10" t="inlineStr">
        <is>
          <t>Equipamiento</t>
        </is>
      </c>
      <c r="D10" t="inlineStr">
        <is>
          <t>Otro</t>
        </is>
      </c>
      <c r="E10" t="inlineStr">
        <is>
          <t>Otro utilizado para operaciones de equipamiento</t>
        </is>
      </c>
      <c r="F10" t="inlineStr">
        <is>
          <t>Cloud AWS</t>
        </is>
      </c>
      <c r="G10" t="inlineStr">
        <is>
          <t>María López</t>
        </is>
      </c>
      <c r="H10" t="inlineStr">
        <is>
          <t>Finanzas</t>
        </is>
      </c>
      <c r="I10" t="inlineStr">
        <is>
          <t>Fuera de Servicio</t>
        </is>
      </c>
      <c r="J10" t="n">
        <v>3</v>
      </c>
      <c r="K10" t="n">
        <v>2</v>
      </c>
      <c r="L10" t="n">
        <v>2</v>
      </c>
      <c r="M10" t="n">
        <v>2.3</v>
      </c>
      <c r="N10" t="inlineStr">
        <is>
          <t>10/09/2025</t>
        </is>
      </c>
      <c r="O10" t="inlineStr">
        <is>
          <t>Carlos Rojas</t>
        </is>
      </c>
    </row>
    <row r="11">
      <c r="A11" t="inlineStr">
        <is>
          <t>ACT-2025-010</t>
        </is>
      </c>
      <c r="B11" t="inlineStr">
        <is>
          <t>Otro 35</t>
        </is>
      </c>
      <c r="C11" t="inlineStr">
        <is>
          <t>Equipamiento</t>
        </is>
      </c>
      <c r="D11" t="inlineStr">
        <is>
          <t>Otro</t>
        </is>
      </c>
      <c r="E11" t="inlineStr">
        <is>
          <t>Otro utilizado para operaciones de equipamiento</t>
        </is>
      </c>
      <c r="F11" t="inlineStr">
        <is>
          <t>Cloud AWS</t>
        </is>
      </c>
      <c r="G11" t="inlineStr">
        <is>
          <t>Laura Martínez</t>
        </is>
      </c>
      <c r="H11" t="inlineStr">
        <is>
          <t>Comercial</t>
        </is>
      </c>
      <c r="I11" t="inlineStr">
        <is>
          <t>Backup</t>
        </is>
      </c>
      <c r="J11" t="n">
        <v>2</v>
      </c>
      <c r="K11" t="n">
        <v>5</v>
      </c>
      <c r="L11" t="n">
        <v>3</v>
      </c>
      <c r="M11" t="n">
        <v>3.3</v>
      </c>
      <c r="N11" t="inlineStr">
        <is>
          <t>05/01/2024</t>
        </is>
      </c>
      <c r="O11" t="inlineStr">
        <is>
          <t>Laura Martínez</t>
        </is>
      </c>
    </row>
    <row r="12">
      <c r="A12" t="inlineStr">
        <is>
          <t>ACT-2025-011</t>
        </is>
      </c>
      <c r="B12" t="inlineStr">
        <is>
          <t>Propiedad Intelectual 54</t>
        </is>
      </c>
      <c r="C12" t="inlineStr">
        <is>
          <t>Datos</t>
        </is>
      </c>
      <c r="D12" t="inlineStr">
        <is>
          <t>Propiedad Intelectual</t>
        </is>
      </c>
      <c r="E12" t="inlineStr">
        <is>
          <t>Propiedad Intelectual utilizado para operaciones de datos</t>
        </is>
      </c>
      <c r="F12" t="inlineStr">
        <is>
          <t>Oficina Central</t>
        </is>
      </c>
      <c r="G12" t="inlineStr">
        <is>
          <t>María López</t>
        </is>
      </c>
      <c r="H12" t="inlineStr">
        <is>
          <t>Legal</t>
        </is>
      </c>
      <c r="I12" t="inlineStr">
        <is>
          <t>Backup</t>
        </is>
      </c>
      <c r="J12" t="n">
        <v>4</v>
      </c>
      <c r="K12" t="n">
        <v>2</v>
      </c>
      <c r="L12" t="n">
        <v>3</v>
      </c>
      <c r="M12" t="n">
        <v>3</v>
      </c>
      <c r="N12" t="inlineStr">
        <is>
          <t>20/10/2024</t>
        </is>
      </c>
      <c r="O12" t="inlineStr">
        <is>
          <t>María López</t>
        </is>
      </c>
    </row>
    <row r="13">
      <c r="A13" t="inlineStr">
        <is>
          <t>ACT-2025-012</t>
        </is>
      </c>
      <c r="B13" t="inlineStr">
        <is>
          <t>Otro 62</t>
        </is>
      </c>
      <c r="C13" t="inlineStr">
        <is>
          <t>Documentación</t>
        </is>
      </c>
      <c r="D13" t="inlineStr">
        <is>
          <t>Otro</t>
        </is>
      </c>
      <c r="E13" t="inlineStr">
        <is>
          <t>Otro utilizado para operaciones de documentación</t>
        </is>
      </c>
      <c r="F13" t="inlineStr">
        <is>
          <t>Oficina Central</t>
        </is>
      </c>
      <c r="G13" t="inlineStr">
        <is>
          <t>Laura Martínez</t>
        </is>
      </c>
      <c r="H13" t="inlineStr">
        <is>
          <t>Comercial</t>
        </is>
      </c>
      <c r="I13" t="inlineStr">
        <is>
          <t>Fuera de Servicio</t>
        </is>
      </c>
      <c r="J13" t="n">
        <v>5</v>
      </c>
      <c r="K13" t="n">
        <v>2</v>
      </c>
      <c r="L13" t="n">
        <v>5</v>
      </c>
      <c r="M13" t="n">
        <v>4</v>
      </c>
      <c r="N13" t="inlineStr">
        <is>
          <t>31/05/2024</t>
        </is>
      </c>
      <c r="O13" t="inlineStr">
        <is>
          <t>Laura Martínez</t>
        </is>
      </c>
    </row>
    <row r="14">
      <c r="A14" t="inlineStr">
        <is>
          <t>ACT-2025-013</t>
        </is>
      </c>
      <c r="B14" t="inlineStr">
        <is>
          <t>Soporte Técnico 60</t>
        </is>
      </c>
      <c r="C14" t="inlineStr">
        <is>
          <t>Personal</t>
        </is>
      </c>
      <c r="D14" t="inlineStr">
        <is>
          <t>Soporte Técnico</t>
        </is>
      </c>
      <c r="E14" t="inlineStr">
        <is>
          <t>Soporte Técnico utilizado para operaciones de personal</t>
        </is>
      </c>
      <c r="F14" t="inlineStr">
        <is>
          <t>Datacenter Principal</t>
        </is>
      </c>
      <c r="G14" t="inlineStr">
        <is>
          <t>Juan Pérez</t>
        </is>
      </c>
      <c r="H14" t="inlineStr">
        <is>
          <t>TI</t>
        </is>
      </c>
      <c r="I14" t="inlineStr">
        <is>
          <t>Activo</t>
        </is>
      </c>
      <c r="J14" t="n">
        <v>3</v>
      </c>
      <c r="K14" t="n">
        <v>4</v>
      </c>
      <c r="L14" t="n">
        <v>5</v>
      </c>
      <c r="M14" t="n">
        <v>4</v>
      </c>
      <c r="N14" t="inlineStr">
        <is>
          <t>03/05/2024</t>
        </is>
      </c>
      <c r="O14" t="inlineStr">
        <is>
          <t>Carla Soto</t>
        </is>
      </c>
    </row>
    <row r="15">
      <c r="A15" t="inlineStr">
        <is>
          <t>ACT-2025-014</t>
        </is>
      </c>
      <c r="B15" t="inlineStr">
        <is>
          <t>Sistema Operativo 73</t>
        </is>
      </c>
      <c r="C15" t="inlineStr">
        <is>
          <t>Software</t>
        </is>
      </c>
      <c r="D15" t="inlineStr">
        <is>
          <t>Sistema Operativo</t>
        </is>
      </c>
      <c r="E15" t="inlineStr">
        <is>
          <t>Sistema Operativo utilizado para operaciones de software</t>
        </is>
      </c>
      <c r="F15" t="inlineStr">
        <is>
          <t>Oficina Central</t>
        </is>
      </c>
      <c r="G15" t="inlineStr">
        <is>
          <t>Laura Martínez</t>
        </is>
      </c>
      <c r="H15" t="inlineStr">
        <is>
          <t>Legal</t>
        </is>
      </c>
      <c r="I15" t="inlineStr">
        <is>
          <t>Fuera de Servicio</t>
        </is>
      </c>
      <c r="J15" t="n">
        <v>2</v>
      </c>
      <c r="K15" t="n">
        <v>3</v>
      </c>
      <c r="L15" t="n">
        <v>5</v>
      </c>
      <c r="M15" t="n">
        <v>3.3</v>
      </c>
      <c r="N15" t="inlineStr">
        <is>
          <t>30/06/2025</t>
        </is>
      </c>
      <c r="O15" t="inlineStr">
        <is>
          <t>Ana Silva</t>
        </is>
      </c>
    </row>
    <row r="16">
      <c r="A16" t="inlineStr">
        <is>
          <t>ACT-2025-015</t>
        </is>
      </c>
      <c r="B16" t="inlineStr">
        <is>
          <t>Sistema Operativo 69</t>
        </is>
      </c>
      <c r="C16" t="inlineStr">
        <is>
          <t>Software</t>
        </is>
      </c>
      <c r="D16" t="inlineStr">
        <is>
          <t>Sistema Operativo</t>
        </is>
      </c>
      <c r="E16" t="inlineStr">
        <is>
          <t>Sistema Operativo utilizado para operaciones de software</t>
        </is>
      </c>
      <c r="F16" t="inlineStr">
        <is>
          <t>Sucursal Norte</t>
        </is>
      </c>
      <c r="G16" t="inlineStr">
        <is>
          <t>Carlos Rojas</t>
        </is>
      </c>
      <c r="H16" t="inlineStr">
        <is>
          <t>Legal</t>
        </is>
      </c>
      <c r="I16" t="inlineStr">
        <is>
          <t>Backup</t>
        </is>
      </c>
      <c r="J16" t="n">
        <v>2</v>
      </c>
      <c r="K16" t="n">
        <v>3</v>
      </c>
      <c r="L16" t="n">
        <v>2</v>
      </c>
      <c r="M16" t="n">
        <v>2.3</v>
      </c>
      <c r="N16" t="inlineStr">
        <is>
          <t>25/03/2025</t>
        </is>
      </c>
      <c r="O16" t="inlineStr">
        <is>
          <t>Carlos Rojas</t>
        </is>
      </c>
    </row>
    <row r="17">
      <c r="A17" t="inlineStr">
        <is>
          <t>ACT-2025-016</t>
        </is>
      </c>
      <c r="B17" t="inlineStr">
        <is>
          <t>Datos Personales 46</t>
        </is>
      </c>
      <c r="C17" t="inlineStr">
        <is>
          <t>Datos</t>
        </is>
      </c>
      <c r="D17" t="inlineStr">
        <is>
          <t>Datos Personales</t>
        </is>
      </c>
      <c r="E17" t="inlineStr">
        <is>
          <t>Datos Personales utilizado para operaciones de datos</t>
        </is>
      </c>
      <c r="F17" t="inlineStr">
        <is>
          <t>Cloud AWS</t>
        </is>
      </c>
      <c r="G17" t="inlineStr">
        <is>
          <t>Diego Fernández</t>
        </is>
      </c>
      <c r="H17" t="inlineStr">
        <is>
          <t>RRHH</t>
        </is>
      </c>
      <c r="I17" t="inlineStr">
        <is>
          <t>Activo</t>
        </is>
      </c>
      <c r="J17" t="n">
        <v>5</v>
      </c>
      <c r="K17" t="n">
        <v>3</v>
      </c>
      <c r="L17" t="n">
        <v>3</v>
      </c>
      <c r="M17" t="n">
        <v>3.7</v>
      </c>
      <c r="N17" t="inlineStr">
        <is>
          <t>13/07/2024</t>
        </is>
      </c>
      <c r="O17" t="inlineStr">
        <is>
          <t>Laura Martínez</t>
        </is>
      </c>
    </row>
    <row r="18">
      <c r="A18" t="inlineStr">
        <is>
          <t>ACT-2025-017</t>
        </is>
      </c>
      <c r="B18" t="inlineStr">
        <is>
          <t>Soporte Técnico 65</t>
        </is>
      </c>
      <c r="C18" t="inlineStr">
        <is>
          <t>Personal</t>
        </is>
      </c>
      <c r="D18" t="inlineStr">
        <is>
          <t>Soporte Técnico</t>
        </is>
      </c>
      <c r="E18" t="inlineStr">
        <is>
          <t>Soporte Técnico utilizado para operaciones de personal</t>
        </is>
      </c>
      <c r="F18" t="inlineStr">
        <is>
          <t>Home Office</t>
        </is>
      </c>
      <c r="G18" t="inlineStr">
        <is>
          <t>María López</t>
        </is>
      </c>
      <c r="H18" t="inlineStr">
        <is>
          <t>Comercial</t>
        </is>
      </c>
      <c r="I18" t="inlineStr">
        <is>
          <t>Activo</t>
        </is>
      </c>
      <c r="J18" t="n">
        <v>3</v>
      </c>
      <c r="K18" t="n">
        <v>2</v>
      </c>
      <c r="L18" t="n">
        <v>5</v>
      </c>
      <c r="M18" t="n">
        <v>3.3</v>
      </c>
      <c r="N18" t="inlineStr">
        <is>
          <t>09/06/2024</t>
        </is>
      </c>
      <c r="O18" t="inlineStr">
        <is>
          <t>Pedro González</t>
        </is>
      </c>
    </row>
    <row r="19">
      <c r="A19" t="inlineStr">
        <is>
          <t>ACT-2025-018</t>
        </is>
      </c>
      <c r="B19" t="inlineStr">
        <is>
          <t>Otro 1</t>
        </is>
      </c>
      <c r="C19" t="inlineStr">
        <is>
          <t>Documentación</t>
        </is>
      </c>
      <c r="D19" t="inlineStr">
        <is>
          <t>Otro</t>
        </is>
      </c>
      <c r="E19" t="inlineStr">
        <is>
          <t>Otro utilizado para operaciones de documentación</t>
        </is>
      </c>
      <c r="F19" t="inlineStr">
        <is>
          <t>Home Office</t>
        </is>
      </c>
      <c r="G19" t="inlineStr">
        <is>
          <t>Pedro González</t>
        </is>
      </c>
      <c r="H19" t="inlineStr">
        <is>
          <t>Comercial</t>
        </is>
      </c>
      <c r="I19" t="inlineStr">
        <is>
          <t>Fuera de Servicio</t>
        </is>
      </c>
      <c r="J19" t="n">
        <v>3</v>
      </c>
      <c r="K19" t="n">
        <v>5</v>
      </c>
      <c r="L19" t="n">
        <v>2</v>
      </c>
      <c r="M19" t="n">
        <v>3.3</v>
      </c>
      <c r="N19" t="inlineStr">
        <is>
          <t>20/05/2025</t>
        </is>
      </c>
      <c r="O19" t="inlineStr">
        <is>
          <t>Diego Fernández</t>
        </is>
      </c>
    </row>
    <row r="20">
      <c r="A20" t="inlineStr">
        <is>
          <t>ACT-2025-019</t>
        </is>
      </c>
      <c r="B20" t="inlineStr">
        <is>
          <t>Otro 42</t>
        </is>
      </c>
      <c r="C20" t="inlineStr">
        <is>
          <t>Instalaciones</t>
        </is>
      </c>
      <c r="D20" t="inlineStr">
        <is>
          <t>Otro</t>
        </is>
      </c>
      <c r="E20" t="inlineStr">
        <is>
          <t>Otro utilizado para operaciones de instalaciones</t>
        </is>
      </c>
      <c r="F20" t="inlineStr">
        <is>
          <t>Home Office</t>
        </is>
      </c>
      <c r="G20" t="inlineStr">
        <is>
          <t>Pedro González</t>
        </is>
      </c>
      <c r="H20" t="inlineStr">
        <is>
          <t>Operaciones</t>
        </is>
      </c>
      <c r="I20" t="inlineStr">
        <is>
          <t>Fuera de Servicio</t>
        </is>
      </c>
      <c r="J20" t="n">
        <v>2</v>
      </c>
      <c r="K20" t="n">
        <v>3</v>
      </c>
      <c r="L20" t="n">
        <v>4</v>
      </c>
      <c r="M20" t="n">
        <v>3</v>
      </c>
      <c r="N20" t="inlineStr">
        <is>
          <t>29/06/2025</t>
        </is>
      </c>
      <c r="O20" t="inlineStr">
        <is>
          <t>Juan Pérez</t>
        </is>
      </c>
    </row>
    <row r="21">
      <c r="A21" t="inlineStr">
        <is>
          <t>ACT-2025-020</t>
        </is>
      </c>
      <c r="B21" t="inlineStr">
        <is>
          <t>Otro 53</t>
        </is>
      </c>
      <c r="C21" t="inlineStr">
        <is>
          <t>Instalaciones</t>
        </is>
      </c>
      <c r="D21" t="inlineStr">
        <is>
          <t>Otro</t>
        </is>
      </c>
      <c r="E21" t="inlineStr">
        <is>
          <t>Otro utilizado para operaciones de instalaciones</t>
        </is>
      </c>
      <c r="F21" t="inlineStr">
        <is>
          <t>Cloud AWS</t>
        </is>
      </c>
      <c r="G21" t="inlineStr">
        <is>
          <t>Carlos Rojas</t>
        </is>
      </c>
      <c r="H21" t="inlineStr">
        <is>
          <t>Operaciones</t>
        </is>
      </c>
      <c r="I21" t="inlineStr">
        <is>
          <t>Activo</t>
        </is>
      </c>
      <c r="J21" t="n">
        <v>5</v>
      </c>
      <c r="K21" t="n">
        <v>2</v>
      </c>
      <c r="L21" t="n">
        <v>4</v>
      </c>
      <c r="M21" t="n">
        <v>3.7</v>
      </c>
      <c r="N21" t="inlineStr">
        <is>
          <t>10/11/2024</t>
        </is>
      </c>
      <c r="O21" t="inlineStr">
        <is>
          <t>Carla Soto</t>
        </is>
      </c>
    </row>
    <row r="22">
      <c r="A22" t="inlineStr">
        <is>
          <t>ACT-2025-021</t>
        </is>
      </c>
      <c r="B22" t="inlineStr">
        <is>
          <t>Analista 18</t>
        </is>
      </c>
      <c r="C22" t="inlineStr">
        <is>
          <t>Personal</t>
        </is>
      </c>
      <c r="D22" t="inlineStr">
        <is>
          <t>Analista</t>
        </is>
      </c>
      <c r="E22" t="inlineStr">
        <is>
          <t>Analista utilizado para operaciones de personal</t>
        </is>
      </c>
      <c r="F22" t="inlineStr">
        <is>
          <t>Sucursal Norte</t>
        </is>
      </c>
      <c r="G22" t="inlineStr">
        <is>
          <t>María López</t>
        </is>
      </c>
      <c r="H22" t="inlineStr">
        <is>
          <t>Gerencia</t>
        </is>
      </c>
      <c r="I22" t="inlineStr">
        <is>
          <t>Activo</t>
        </is>
      </c>
      <c r="J22" t="n">
        <v>2</v>
      </c>
      <c r="K22" t="n">
        <v>4</v>
      </c>
      <c r="L22" t="n">
        <v>3</v>
      </c>
      <c r="M22" t="n">
        <v>3</v>
      </c>
      <c r="N22" t="inlineStr">
        <is>
          <t>17/05/2025</t>
        </is>
      </c>
      <c r="O22" t="inlineStr">
        <is>
          <t>Diego Fernández</t>
        </is>
      </c>
    </row>
    <row r="23">
      <c r="A23" t="inlineStr">
        <is>
          <t>ACT-2025-022</t>
        </is>
      </c>
      <c r="B23" t="inlineStr">
        <is>
          <t>Otro 80</t>
        </is>
      </c>
      <c r="C23" t="inlineStr">
        <is>
          <t>Instalaciones</t>
        </is>
      </c>
      <c r="D23" t="inlineStr">
        <is>
          <t>Otro</t>
        </is>
      </c>
      <c r="E23" t="inlineStr">
        <is>
          <t>Otro utilizado para operaciones de instalaciones</t>
        </is>
      </c>
      <c r="F23" t="inlineStr">
        <is>
          <t>Cloud AWS</t>
        </is>
      </c>
      <c r="G23" t="inlineStr">
        <is>
          <t>Carlos Rojas</t>
        </is>
      </c>
      <c r="H23" t="inlineStr">
        <is>
          <t>TI</t>
        </is>
      </c>
      <c r="I23" t="inlineStr">
        <is>
          <t>Backup</t>
        </is>
      </c>
      <c r="J23" t="n">
        <v>4</v>
      </c>
      <c r="K23" t="n">
        <v>4</v>
      </c>
      <c r="L23" t="n">
        <v>4</v>
      </c>
      <c r="M23" t="n">
        <v>4</v>
      </c>
      <c r="N23" t="inlineStr">
        <is>
          <t>03/12/2023</t>
        </is>
      </c>
      <c r="O23" t="inlineStr">
        <is>
          <t>Carla Soto</t>
        </is>
      </c>
    </row>
    <row r="24">
      <c r="A24" t="inlineStr">
        <is>
          <t>ACT-2025-023</t>
        </is>
      </c>
      <c r="B24" t="inlineStr">
        <is>
          <t>Firewall 9</t>
        </is>
      </c>
      <c r="C24" t="inlineStr">
        <is>
          <t>Hardware</t>
        </is>
      </c>
      <c r="D24" t="inlineStr">
        <is>
          <t>Firewall</t>
        </is>
      </c>
      <c r="E24" t="inlineStr">
        <is>
          <t>Firewall utilizado para operaciones de hardware</t>
        </is>
      </c>
      <c r="F24" t="inlineStr">
        <is>
          <t>Oficina Central</t>
        </is>
      </c>
      <c r="G24" t="inlineStr">
        <is>
          <t>Pedro González</t>
        </is>
      </c>
      <c r="H24" t="inlineStr">
        <is>
          <t>RRHH</t>
        </is>
      </c>
      <c r="I24" t="inlineStr">
        <is>
          <t>En Mantenimiento</t>
        </is>
      </c>
      <c r="J24" t="n">
        <v>2</v>
      </c>
      <c r="K24" t="n">
        <v>4</v>
      </c>
      <c r="L24" t="n">
        <v>3</v>
      </c>
      <c r="M24" t="n">
        <v>3</v>
      </c>
      <c r="N24" t="inlineStr">
        <is>
          <t>09/12/2024</t>
        </is>
      </c>
      <c r="O24" t="inlineStr">
        <is>
          <t>María López</t>
        </is>
      </c>
    </row>
    <row r="25">
      <c r="A25" t="inlineStr">
        <is>
          <t>ACT-2025-024</t>
        </is>
      </c>
      <c r="B25" t="inlineStr">
        <is>
          <t>Datos Personales 94</t>
        </is>
      </c>
      <c r="C25" t="inlineStr">
        <is>
          <t>Datos</t>
        </is>
      </c>
      <c r="D25" t="inlineStr">
        <is>
          <t>Datos Personales</t>
        </is>
      </c>
      <c r="E25" t="inlineStr">
        <is>
          <t>Datos Personales utilizado para operaciones de datos</t>
        </is>
      </c>
      <c r="F25" t="inlineStr">
        <is>
          <t>Sucursal Sur</t>
        </is>
      </c>
      <c r="G25" t="inlineStr">
        <is>
          <t>Juan Pérez</t>
        </is>
      </c>
      <c r="H25" t="inlineStr">
        <is>
          <t>Comercial</t>
        </is>
      </c>
      <c r="I25" t="inlineStr">
        <is>
          <t>Activo</t>
        </is>
      </c>
      <c r="J25" t="n">
        <v>3</v>
      </c>
      <c r="K25" t="n">
        <v>4</v>
      </c>
      <c r="L25" t="n">
        <v>3</v>
      </c>
      <c r="M25" t="n">
        <v>3.3</v>
      </c>
      <c r="N25" t="inlineStr">
        <is>
          <t>22/01/2025</t>
        </is>
      </c>
      <c r="O25" t="inlineStr">
        <is>
          <t>Pedro González</t>
        </is>
      </c>
    </row>
    <row r="26">
      <c r="A26" t="inlineStr">
        <is>
          <t>ACT-2025-025</t>
        </is>
      </c>
      <c r="B26" t="inlineStr">
        <is>
          <t>Internet 87</t>
        </is>
      </c>
      <c r="C26" t="inlineStr">
        <is>
          <t>Servicios</t>
        </is>
      </c>
      <c r="D26" t="inlineStr">
        <is>
          <t>Internet</t>
        </is>
      </c>
      <c r="E26" t="inlineStr">
        <is>
          <t>Internet utilizado para operaciones de servicios</t>
        </is>
      </c>
      <c r="F26" t="inlineStr">
        <is>
          <t>Oficina Central</t>
        </is>
      </c>
      <c r="G26" t="inlineStr">
        <is>
          <t>Laura Martínez</t>
        </is>
      </c>
      <c r="H26" t="inlineStr">
        <is>
          <t>RRHH</t>
        </is>
      </c>
      <c r="I26" t="inlineStr">
        <is>
          <t>Activo</t>
        </is>
      </c>
      <c r="J26" t="n">
        <v>2</v>
      </c>
      <c r="K26" t="n">
        <v>5</v>
      </c>
      <c r="L26" t="n">
        <v>5</v>
      </c>
      <c r="M26" t="n">
        <v>4</v>
      </c>
      <c r="N26" t="inlineStr">
        <is>
          <t>02/01/2025</t>
        </is>
      </c>
      <c r="O26" t="inlineStr">
        <is>
          <t>Ana Silva</t>
        </is>
      </c>
    </row>
    <row r="27">
      <c r="A27" t="inlineStr">
        <is>
          <t>ACT-2025-026</t>
        </is>
      </c>
      <c r="B27" t="inlineStr">
        <is>
          <t>Aplicación Web 97</t>
        </is>
      </c>
      <c r="C27" t="inlineStr">
        <is>
          <t>Software</t>
        </is>
      </c>
      <c r="D27" t="inlineStr">
        <is>
          <t>Aplicación Web</t>
        </is>
      </c>
      <c r="E27" t="inlineStr">
        <is>
          <t>Aplicación Web utilizado para operaciones de software</t>
        </is>
      </c>
      <c r="F27" t="inlineStr">
        <is>
          <t>Sucursal Norte</t>
        </is>
      </c>
      <c r="G27" t="inlineStr">
        <is>
          <t>Pedro González</t>
        </is>
      </c>
      <c r="H27" t="inlineStr">
        <is>
          <t>Comercial</t>
        </is>
      </c>
      <c r="I27" t="inlineStr">
        <is>
          <t>Backup</t>
        </is>
      </c>
      <c r="J27" t="n">
        <v>3</v>
      </c>
      <c r="K27" t="n">
        <v>5</v>
      </c>
      <c r="L27" t="n">
        <v>5</v>
      </c>
      <c r="M27" t="n">
        <v>4.3</v>
      </c>
      <c r="N27" t="inlineStr">
        <is>
          <t>30/06/2024</t>
        </is>
      </c>
      <c r="O27" t="inlineStr">
        <is>
          <t>Carla Soto</t>
        </is>
      </c>
    </row>
    <row r="28">
      <c r="A28" t="inlineStr">
        <is>
          <t>ACT-2025-027</t>
        </is>
      </c>
      <c r="B28" t="inlineStr">
        <is>
          <t>Otro 38</t>
        </is>
      </c>
      <c r="C28" t="inlineStr">
        <is>
          <t>Equipamiento</t>
        </is>
      </c>
      <c r="D28" t="inlineStr">
        <is>
          <t>Otro</t>
        </is>
      </c>
      <c r="E28" t="inlineStr">
        <is>
          <t>Otro utilizado para operaciones de equipamiento</t>
        </is>
      </c>
      <c r="F28" t="inlineStr">
        <is>
          <t>Home Office</t>
        </is>
      </c>
      <c r="G28" t="inlineStr">
        <is>
          <t>Carlos Rojas</t>
        </is>
      </c>
      <c r="H28" t="inlineStr">
        <is>
          <t>Operaciones</t>
        </is>
      </c>
      <c r="I28" t="inlineStr">
        <is>
          <t>Backup</t>
        </is>
      </c>
      <c r="J28" t="n">
        <v>5</v>
      </c>
      <c r="K28" t="n">
        <v>3</v>
      </c>
      <c r="L28" t="n">
        <v>3</v>
      </c>
      <c r="M28" t="n">
        <v>3.7</v>
      </c>
      <c r="N28" t="inlineStr">
        <is>
          <t>30/06/2024</t>
        </is>
      </c>
      <c r="O28" t="inlineStr">
        <is>
          <t>Carlos Rojas</t>
        </is>
      </c>
    </row>
    <row r="29">
      <c r="A29" t="inlineStr">
        <is>
          <t>ACT-2025-028</t>
        </is>
      </c>
      <c r="B29" t="inlineStr">
        <is>
          <t>Otro 37</t>
        </is>
      </c>
      <c r="C29" t="inlineStr">
        <is>
          <t>Equipamiento</t>
        </is>
      </c>
      <c r="D29" t="inlineStr">
        <is>
          <t>Otro</t>
        </is>
      </c>
      <c r="E29" t="inlineStr">
        <is>
          <t>Otro utilizado para operaciones de equipamiento</t>
        </is>
      </c>
      <c r="F29" t="inlineStr">
        <is>
          <t>Oficina Central</t>
        </is>
      </c>
      <c r="G29" t="inlineStr">
        <is>
          <t>María López</t>
        </is>
      </c>
      <c r="H29" t="inlineStr">
        <is>
          <t>Gerencia</t>
        </is>
      </c>
      <c r="I29" t="inlineStr">
        <is>
          <t>En Mantenimiento</t>
        </is>
      </c>
      <c r="J29" t="n">
        <v>5</v>
      </c>
      <c r="K29" t="n">
        <v>4</v>
      </c>
      <c r="L29" t="n">
        <v>4</v>
      </c>
      <c r="M29" t="n">
        <v>4.3</v>
      </c>
      <c r="N29" t="inlineStr">
        <is>
          <t>18/11/2024</t>
        </is>
      </c>
      <c r="O29" t="inlineStr">
        <is>
          <t>Juan Pérez</t>
        </is>
      </c>
    </row>
    <row r="30">
      <c r="A30" t="inlineStr">
        <is>
          <t>ACT-2025-029</t>
        </is>
      </c>
      <c r="B30" t="inlineStr">
        <is>
          <t>Otro 83</t>
        </is>
      </c>
      <c r="C30" t="inlineStr">
        <is>
          <t>Documentación</t>
        </is>
      </c>
      <c r="D30" t="inlineStr">
        <is>
          <t>Otro</t>
        </is>
      </c>
      <c r="E30" t="inlineStr">
        <is>
          <t>Otro utilizado para operaciones de documentación</t>
        </is>
      </c>
      <c r="F30" t="inlineStr">
        <is>
          <t>Sucursal Norte</t>
        </is>
      </c>
      <c r="G30" t="inlineStr">
        <is>
          <t>Carlos Rojas</t>
        </is>
      </c>
      <c r="H30" t="inlineStr">
        <is>
          <t>TI</t>
        </is>
      </c>
      <c r="I30" t="inlineStr">
        <is>
          <t>En Mantenimiento</t>
        </is>
      </c>
      <c r="J30" t="n">
        <v>4</v>
      </c>
      <c r="K30" t="n">
        <v>3</v>
      </c>
      <c r="L30" t="n">
        <v>5</v>
      </c>
      <c r="M30" t="n">
        <v>4</v>
      </c>
      <c r="N30" t="inlineStr">
        <is>
          <t>16/12/2024</t>
        </is>
      </c>
      <c r="O30" t="inlineStr">
        <is>
          <t>Juan Pérez</t>
        </is>
      </c>
    </row>
    <row r="31">
      <c r="A31" t="inlineStr">
        <is>
          <t>ACT-2025-030</t>
        </is>
      </c>
      <c r="B31" t="inlineStr">
        <is>
          <t>Monitoreo 98</t>
        </is>
      </c>
      <c r="C31" t="inlineStr">
        <is>
          <t>Servicios</t>
        </is>
      </c>
      <c r="D31" t="inlineStr">
        <is>
          <t>Monitoreo</t>
        </is>
      </c>
      <c r="E31" t="inlineStr">
        <is>
          <t>Monitoreo utilizado para operaciones de servicios</t>
        </is>
      </c>
      <c r="F31" t="inlineStr">
        <is>
          <t>Sucursal Norte</t>
        </is>
      </c>
      <c r="G31" t="inlineStr">
        <is>
          <t>María López</t>
        </is>
      </c>
      <c r="H31" t="inlineStr">
        <is>
          <t>Operaciones</t>
        </is>
      </c>
      <c r="I31" t="inlineStr">
        <is>
          <t>En Mantenimiento</t>
        </is>
      </c>
      <c r="J31" t="n">
        <v>3</v>
      </c>
      <c r="K31" t="n">
        <v>4</v>
      </c>
      <c r="L31" t="n">
        <v>5</v>
      </c>
      <c r="M31" t="n">
        <v>4</v>
      </c>
      <c r="N31" t="inlineStr">
        <is>
          <t>11/08/2025</t>
        </is>
      </c>
      <c r="O31" t="inlineStr">
        <is>
          <t>Diego Fernández</t>
        </is>
      </c>
    </row>
    <row r="32">
      <c r="A32" t="inlineStr">
        <is>
          <t>ACT-2025-031</t>
        </is>
      </c>
      <c r="B32" t="inlineStr">
        <is>
          <t>Otro 56</t>
        </is>
      </c>
      <c r="C32" t="inlineStr">
        <is>
          <t>Equipamiento</t>
        </is>
      </c>
      <c r="D32" t="inlineStr">
        <is>
          <t>Otro</t>
        </is>
      </c>
      <c r="E32" t="inlineStr">
        <is>
          <t>Otro utilizado para operaciones de equipamiento</t>
        </is>
      </c>
      <c r="F32" t="inlineStr">
        <is>
          <t>Home Office</t>
        </is>
      </c>
      <c r="G32" t="inlineStr">
        <is>
          <t>Juan Pérez</t>
        </is>
      </c>
      <c r="H32" t="inlineStr">
        <is>
          <t>Gerencia</t>
        </is>
      </c>
      <c r="I32" t="inlineStr">
        <is>
          <t>Backup</t>
        </is>
      </c>
      <c r="J32" t="n">
        <v>4</v>
      </c>
      <c r="K32" t="n">
        <v>3</v>
      </c>
      <c r="L32" t="n">
        <v>5</v>
      </c>
      <c r="M32" t="n">
        <v>4</v>
      </c>
      <c r="N32" t="inlineStr">
        <is>
          <t>10/10/2024</t>
        </is>
      </c>
      <c r="O32" t="inlineStr">
        <is>
          <t>Carla Soto</t>
        </is>
      </c>
    </row>
    <row r="33">
      <c r="A33" t="inlineStr">
        <is>
          <t>ACT-2025-032</t>
        </is>
      </c>
      <c r="B33" t="inlineStr">
        <is>
          <t>Servidor 58</t>
        </is>
      </c>
      <c r="C33" t="inlineStr">
        <is>
          <t>Hardware</t>
        </is>
      </c>
      <c r="D33" t="inlineStr">
        <is>
          <t>Servidor</t>
        </is>
      </c>
      <c r="E33" t="inlineStr">
        <is>
          <t>Servidor utilizado para operaciones de hardware</t>
        </is>
      </c>
      <c r="F33" t="inlineStr">
        <is>
          <t>Oficina Central</t>
        </is>
      </c>
      <c r="G33" t="inlineStr">
        <is>
          <t>Laura Martínez</t>
        </is>
      </c>
      <c r="H33" t="inlineStr">
        <is>
          <t>RRHH</t>
        </is>
      </c>
      <c r="I33" t="inlineStr">
        <is>
          <t>Fuera de Servicio</t>
        </is>
      </c>
      <c r="J33" t="n">
        <v>4</v>
      </c>
      <c r="K33" t="n">
        <v>2</v>
      </c>
      <c r="L33" t="n">
        <v>2</v>
      </c>
      <c r="M33" t="n">
        <v>2.7</v>
      </c>
      <c r="N33" t="inlineStr">
        <is>
          <t>13/04/2024</t>
        </is>
      </c>
      <c r="O33" t="inlineStr">
        <is>
          <t>María López</t>
        </is>
      </c>
    </row>
    <row r="34">
      <c r="A34" t="inlineStr">
        <is>
          <t>ACT-2025-033</t>
        </is>
      </c>
      <c r="B34" t="inlineStr">
        <is>
          <t>Otro 75</t>
        </is>
      </c>
      <c r="C34" t="inlineStr">
        <is>
          <t>Instalaciones</t>
        </is>
      </c>
      <c r="D34" t="inlineStr">
        <is>
          <t>Otro</t>
        </is>
      </c>
      <c r="E34" t="inlineStr">
        <is>
          <t>Otro utilizado para operaciones de instalaciones</t>
        </is>
      </c>
      <c r="F34" t="inlineStr">
        <is>
          <t>Home Office</t>
        </is>
      </c>
      <c r="G34" t="inlineStr">
        <is>
          <t>Juan Pérez</t>
        </is>
      </c>
      <c r="H34" t="inlineStr">
        <is>
          <t>Gerencia</t>
        </is>
      </c>
      <c r="I34" t="inlineStr">
        <is>
          <t>Activo</t>
        </is>
      </c>
      <c r="J34" t="n">
        <v>3</v>
      </c>
      <c r="K34" t="n">
        <v>2</v>
      </c>
      <c r="L34" t="n">
        <v>4</v>
      </c>
      <c r="M34" t="n">
        <v>3</v>
      </c>
      <c r="N34" t="inlineStr">
        <is>
          <t>30/04/2024</t>
        </is>
      </c>
      <c r="O34" t="inlineStr">
        <is>
          <t>Laura Martínez</t>
        </is>
      </c>
    </row>
    <row r="35">
      <c r="A35" t="inlineStr">
        <is>
          <t>ACT-2025-034</t>
        </is>
      </c>
      <c r="B35" t="inlineStr">
        <is>
          <t>Otro 34</t>
        </is>
      </c>
      <c r="C35" t="inlineStr">
        <is>
          <t>Instalaciones</t>
        </is>
      </c>
      <c r="D35" t="inlineStr">
        <is>
          <t>Otro</t>
        </is>
      </c>
      <c r="E35" t="inlineStr">
        <is>
          <t>Otro utilizado para operaciones de instalaciones</t>
        </is>
      </c>
      <c r="F35" t="inlineStr">
        <is>
          <t>Sucursal Norte</t>
        </is>
      </c>
      <c r="G35" t="inlineStr">
        <is>
          <t>Ana Silva</t>
        </is>
      </c>
      <c r="H35" t="inlineStr">
        <is>
          <t>RRHH</t>
        </is>
      </c>
      <c r="I35" t="inlineStr">
        <is>
          <t>Activo</t>
        </is>
      </c>
      <c r="J35" t="n">
        <v>2</v>
      </c>
      <c r="K35" t="n">
        <v>4</v>
      </c>
      <c r="L35" t="n">
        <v>3</v>
      </c>
      <c r="M35" t="n">
        <v>3</v>
      </c>
      <c r="N35" t="inlineStr">
        <is>
          <t>21/01/2024</t>
        </is>
      </c>
      <c r="O35" t="inlineStr">
        <is>
          <t>Carlos Rojas</t>
        </is>
      </c>
    </row>
    <row r="36">
      <c r="A36" t="inlineStr">
        <is>
          <t>ACT-2025-035</t>
        </is>
      </c>
      <c r="B36" t="inlineStr">
        <is>
          <t>Cloud Computing 54</t>
        </is>
      </c>
      <c r="C36" t="inlineStr">
        <is>
          <t>Servicios</t>
        </is>
      </c>
      <c r="D36" t="inlineStr">
        <is>
          <t>Cloud Computing</t>
        </is>
      </c>
      <c r="E36" t="inlineStr">
        <is>
          <t>Cloud Computing utilizado para operaciones de servicios</t>
        </is>
      </c>
      <c r="F36" t="inlineStr">
        <is>
          <t>Oficina Central</t>
        </is>
      </c>
      <c r="G36" t="inlineStr">
        <is>
          <t>Pedro González</t>
        </is>
      </c>
      <c r="H36" t="inlineStr">
        <is>
          <t>Finanzas</t>
        </is>
      </c>
      <c r="I36" t="inlineStr">
        <is>
          <t>Backup</t>
        </is>
      </c>
      <c r="J36" t="n">
        <v>5</v>
      </c>
      <c r="K36" t="n">
        <v>3</v>
      </c>
      <c r="L36" t="n">
        <v>3</v>
      </c>
      <c r="M36" t="n">
        <v>3.7</v>
      </c>
      <c r="N36" t="inlineStr">
        <is>
          <t>17/05/2024</t>
        </is>
      </c>
      <c r="O36" t="inlineStr">
        <is>
          <t>Carla Soto</t>
        </is>
      </c>
    </row>
    <row r="37">
      <c r="A37" t="inlineStr">
        <is>
          <t>ACT-2025-036</t>
        </is>
      </c>
      <c r="B37" t="inlineStr">
        <is>
          <t>Monitoreo 2</t>
        </is>
      </c>
      <c r="C37" t="inlineStr">
        <is>
          <t>Servicios</t>
        </is>
      </c>
      <c r="D37" t="inlineStr">
        <is>
          <t>Monitoreo</t>
        </is>
      </c>
      <c r="E37" t="inlineStr">
        <is>
          <t>Monitoreo utilizado para operaciones de servicios</t>
        </is>
      </c>
      <c r="F37" t="inlineStr">
        <is>
          <t>Datacenter Principal</t>
        </is>
      </c>
      <c r="G37" t="inlineStr">
        <is>
          <t>Pedro González</t>
        </is>
      </c>
      <c r="H37" t="inlineStr">
        <is>
          <t>Finanzas</t>
        </is>
      </c>
      <c r="I37" t="inlineStr">
        <is>
          <t>Activo</t>
        </is>
      </c>
      <c r="J37" t="n">
        <v>3</v>
      </c>
      <c r="K37" t="n">
        <v>5</v>
      </c>
      <c r="L37" t="n">
        <v>3</v>
      </c>
      <c r="M37" t="n">
        <v>3.7</v>
      </c>
      <c r="N37" t="inlineStr">
        <is>
          <t>11/05/2024</t>
        </is>
      </c>
      <c r="O37" t="inlineStr">
        <is>
          <t>Carla Soto</t>
        </is>
      </c>
    </row>
    <row r="38">
      <c r="A38" t="inlineStr">
        <is>
          <t>ACT-2025-037</t>
        </is>
      </c>
      <c r="B38" t="inlineStr">
        <is>
          <t>Aplicación Web 89</t>
        </is>
      </c>
      <c r="C38" t="inlineStr">
        <is>
          <t>Software</t>
        </is>
      </c>
      <c r="D38" t="inlineStr">
        <is>
          <t>Aplicación Web</t>
        </is>
      </c>
      <c r="E38" t="inlineStr">
        <is>
          <t>Aplicación Web utilizado para operaciones de software</t>
        </is>
      </c>
      <c r="F38" t="inlineStr">
        <is>
          <t>Home Office</t>
        </is>
      </c>
      <c r="G38" t="inlineStr">
        <is>
          <t>Pedro González</t>
        </is>
      </c>
      <c r="H38" t="inlineStr">
        <is>
          <t>Operaciones</t>
        </is>
      </c>
      <c r="I38" t="inlineStr">
        <is>
          <t>Backup</t>
        </is>
      </c>
      <c r="J38" t="n">
        <v>5</v>
      </c>
      <c r="K38" t="n">
        <v>5</v>
      </c>
      <c r="L38" t="n">
        <v>2</v>
      </c>
      <c r="M38" t="n">
        <v>4</v>
      </c>
      <c r="N38" t="inlineStr">
        <is>
          <t>01/12/2023</t>
        </is>
      </c>
      <c r="O38" t="inlineStr">
        <is>
          <t>Pedro González</t>
        </is>
      </c>
    </row>
    <row r="39">
      <c r="A39" t="inlineStr">
        <is>
          <t>ACT-2025-038</t>
        </is>
      </c>
      <c r="B39" t="inlineStr">
        <is>
          <t>Información Financiera 63</t>
        </is>
      </c>
      <c r="C39" t="inlineStr">
        <is>
          <t>Datos</t>
        </is>
      </c>
      <c r="D39" t="inlineStr">
        <is>
          <t>Información Financiera</t>
        </is>
      </c>
      <c r="E39" t="inlineStr">
        <is>
          <t>Información Financiera utilizado para operaciones de datos</t>
        </is>
      </c>
      <c r="F39" t="inlineStr">
        <is>
          <t>Home Office</t>
        </is>
      </c>
      <c r="G39" t="inlineStr">
        <is>
          <t>Diego Fernández</t>
        </is>
      </c>
      <c r="H39" t="inlineStr">
        <is>
          <t>RRHH</t>
        </is>
      </c>
      <c r="I39" t="inlineStr">
        <is>
          <t>En Mantenimiento</t>
        </is>
      </c>
      <c r="J39" t="n">
        <v>2</v>
      </c>
      <c r="K39" t="n">
        <v>2</v>
      </c>
      <c r="L39" t="n">
        <v>4</v>
      </c>
      <c r="M39" t="n">
        <v>2.7</v>
      </c>
      <c r="N39" t="inlineStr">
        <is>
          <t>16/06/2024</t>
        </is>
      </c>
      <c r="O39" t="inlineStr">
        <is>
          <t>Diego Fernández</t>
        </is>
      </c>
    </row>
    <row r="40">
      <c r="A40" t="inlineStr">
        <is>
          <t>ACT-2025-039</t>
        </is>
      </c>
      <c r="B40" t="inlineStr">
        <is>
          <t>Gerente 27</t>
        </is>
      </c>
      <c r="C40" t="inlineStr">
        <is>
          <t>Personal</t>
        </is>
      </c>
      <c r="D40" t="inlineStr">
        <is>
          <t>Gerente</t>
        </is>
      </c>
      <c r="E40" t="inlineStr">
        <is>
          <t>Gerente utilizado para operaciones de personal</t>
        </is>
      </c>
      <c r="F40" t="inlineStr">
        <is>
          <t>Sucursal Norte</t>
        </is>
      </c>
      <c r="G40" t="inlineStr">
        <is>
          <t>Laura Martínez</t>
        </is>
      </c>
      <c r="H40" t="inlineStr">
        <is>
          <t>RRHH</t>
        </is>
      </c>
      <c r="I40" t="inlineStr">
        <is>
          <t>Backup</t>
        </is>
      </c>
      <c r="J40" t="n">
        <v>2</v>
      </c>
      <c r="K40" t="n">
        <v>5</v>
      </c>
      <c r="L40" t="n">
        <v>4</v>
      </c>
      <c r="M40" t="n">
        <v>3.7</v>
      </c>
      <c r="N40" t="inlineStr">
        <is>
          <t>27/12/2024</t>
        </is>
      </c>
      <c r="O40" t="inlineStr">
        <is>
          <t>Carlos Rojas</t>
        </is>
      </c>
    </row>
    <row r="41">
      <c r="A41" t="inlineStr">
        <is>
          <t>ACT-2025-040</t>
        </is>
      </c>
      <c r="B41" t="inlineStr">
        <is>
          <t>Otro 40</t>
        </is>
      </c>
      <c r="C41" t="inlineStr">
        <is>
          <t>Equipamiento</t>
        </is>
      </c>
      <c r="D41" t="inlineStr">
        <is>
          <t>Otro</t>
        </is>
      </c>
      <c r="E41" t="inlineStr">
        <is>
          <t>Otro utilizado para operaciones de equipamiento</t>
        </is>
      </c>
      <c r="F41" t="inlineStr">
        <is>
          <t>Sucursal Norte</t>
        </is>
      </c>
      <c r="G41" t="inlineStr">
        <is>
          <t>Carla Soto</t>
        </is>
      </c>
      <c r="H41" t="inlineStr">
        <is>
          <t>Operaciones</t>
        </is>
      </c>
      <c r="I41" t="inlineStr">
        <is>
          <t>Activo</t>
        </is>
      </c>
      <c r="J41" t="n">
        <v>2</v>
      </c>
      <c r="K41" t="n">
        <v>2</v>
      </c>
      <c r="L41" t="n">
        <v>3</v>
      </c>
      <c r="M41" t="n">
        <v>2.3</v>
      </c>
      <c r="N41" t="inlineStr">
        <is>
          <t>01/05/2025</t>
        </is>
      </c>
      <c r="O41" t="inlineStr">
        <is>
          <t>Diego Fernández</t>
        </is>
      </c>
    </row>
    <row r="42">
      <c r="A42" t="inlineStr">
        <is>
          <t>ACT-2025-041</t>
        </is>
      </c>
      <c r="B42" t="inlineStr">
        <is>
          <t>Gerente 16</t>
        </is>
      </c>
      <c r="C42" t="inlineStr">
        <is>
          <t>Personal</t>
        </is>
      </c>
      <c r="D42" t="inlineStr">
        <is>
          <t>Gerente</t>
        </is>
      </c>
      <c r="E42" t="inlineStr">
        <is>
          <t>Gerente utilizado para operaciones de personal</t>
        </is>
      </c>
      <c r="F42" t="inlineStr">
        <is>
          <t>Datacenter Principal</t>
        </is>
      </c>
      <c r="G42" t="inlineStr">
        <is>
          <t>Laura Martínez</t>
        </is>
      </c>
      <c r="H42" t="inlineStr">
        <is>
          <t>Legal</t>
        </is>
      </c>
      <c r="I42" t="inlineStr">
        <is>
          <t>Activo</t>
        </is>
      </c>
      <c r="J42" t="n">
        <v>4</v>
      </c>
      <c r="K42" t="n">
        <v>4</v>
      </c>
      <c r="L42" t="n">
        <v>2</v>
      </c>
      <c r="M42" t="n">
        <v>3.3</v>
      </c>
      <c r="N42" t="inlineStr">
        <is>
          <t>16/07/2024</t>
        </is>
      </c>
      <c r="O42" t="inlineStr">
        <is>
          <t>Diego Fernández</t>
        </is>
      </c>
    </row>
    <row r="43">
      <c r="A43" t="inlineStr">
        <is>
          <t>ACT-2025-042</t>
        </is>
      </c>
      <c r="B43" t="inlineStr">
        <is>
          <t>Datos Personales 31</t>
        </is>
      </c>
      <c r="C43" t="inlineStr">
        <is>
          <t>Datos</t>
        </is>
      </c>
      <c r="D43" t="inlineStr">
        <is>
          <t>Datos Personales</t>
        </is>
      </c>
      <c r="E43" t="inlineStr">
        <is>
          <t>Datos Personales utilizado para operaciones de datos</t>
        </is>
      </c>
      <c r="F43" t="inlineStr">
        <is>
          <t>Oficina Central</t>
        </is>
      </c>
      <c r="G43" t="inlineStr">
        <is>
          <t>Pedro González</t>
        </is>
      </c>
      <c r="H43" t="inlineStr">
        <is>
          <t>Comercial</t>
        </is>
      </c>
      <c r="I43" t="inlineStr">
        <is>
          <t>Backup</t>
        </is>
      </c>
      <c r="J43" t="n">
        <v>2</v>
      </c>
      <c r="K43" t="n">
        <v>3</v>
      </c>
      <c r="L43" t="n">
        <v>3</v>
      </c>
      <c r="M43" t="n">
        <v>2.7</v>
      </c>
      <c r="N43" t="inlineStr">
        <is>
          <t>09/06/2025</t>
        </is>
      </c>
      <c r="O43" t="inlineStr">
        <is>
          <t>María López</t>
        </is>
      </c>
    </row>
    <row r="44">
      <c r="A44" t="inlineStr">
        <is>
          <t>ACT-2025-043</t>
        </is>
      </c>
      <c r="B44" t="inlineStr">
        <is>
          <t>Otro 31</t>
        </is>
      </c>
      <c r="C44" t="inlineStr">
        <is>
          <t>Equipamiento</t>
        </is>
      </c>
      <c r="D44" t="inlineStr">
        <is>
          <t>Otro</t>
        </is>
      </c>
      <c r="E44" t="inlineStr">
        <is>
          <t>Otro utilizado para operaciones de equipamiento</t>
        </is>
      </c>
      <c r="F44" t="inlineStr">
        <is>
          <t>Sucursal Norte</t>
        </is>
      </c>
      <c r="G44" t="inlineStr">
        <is>
          <t>Ana Silva</t>
        </is>
      </c>
      <c r="H44" t="inlineStr">
        <is>
          <t>Gerencia</t>
        </is>
      </c>
      <c r="I44" t="inlineStr">
        <is>
          <t>Fuera de Servicio</t>
        </is>
      </c>
      <c r="J44" t="n">
        <v>5</v>
      </c>
      <c r="K44" t="n">
        <v>5</v>
      </c>
      <c r="L44" t="n">
        <v>3</v>
      </c>
      <c r="M44" t="n">
        <v>4.3</v>
      </c>
      <c r="N44" t="inlineStr">
        <is>
          <t>12/12/2023</t>
        </is>
      </c>
      <c r="O44" t="inlineStr">
        <is>
          <t>Juan Pérez</t>
        </is>
      </c>
    </row>
    <row r="45">
      <c r="A45" t="inlineStr">
        <is>
          <t>ACT-2025-044</t>
        </is>
      </c>
      <c r="B45" t="inlineStr">
        <is>
          <t>Otro 31</t>
        </is>
      </c>
      <c r="C45" t="inlineStr">
        <is>
          <t>Documentación</t>
        </is>
      </c>
      <c r="D45" t="inlineStr">
        <is>
          <t>Otro</t>
        </is>
      </c>
      <c r="E45" t="inlineStr">
        <is>
          <t>Otro utilizado para operaciones de documentación</t>
        </is>
      </c>
      <c r="F45" t="inlineStr">
        <is>
          <t>Cloud AWS</t>
        </is>
      </c>
      <c r="G45" t="inlineStr">
        <is>
          <t>Ana Silva</t>
        </is>
      </c>
      <c r="H45" t="inlineStr">
        <is>
          <t>Finanzas</t>
        </is>
      </c>
      <c r="I45" t="inlineStr">
        <is>
          <t>Fuera de Servicio</t>
        </is>
      </c>
      <c r="J45" t="n">
        <v>4</v>
      </c>
      <c r="K45" t="n">
        <v>3</v>
      </c>
      <c r="L45" t="n">
        <v>5</v>
      </c>
      <c r="M45" t="n">
        <v>4</v>
      </c>
      <c r="N45" t="inlineStr">
        <is>
          <t>27/08/2024</t>
        </is>
      </c>
      <c r="O45" t="inlineStr">
        <is>
          <t>Pedro González</t>
        </is>
      </c>
    </row>
    <row r="46">
      <c r="A46" t="inlineStr">
        <is>
          <t>ACT-2025-045</t>
        </is>
      </c>
      <c r="B46" t="inlineStr">
        <is>
          <t>Antivirus 57</t>
        </is>
      </c>
      <c r="C46" t="inlineStr">
        <is>
          <t>Software</t>
        </is>
      </c>
      <c r="D46" t="inlineStr">
        <is>
          <t>Antivirus</t>
        </is>
      </c>
      <c r="E46" t="inlineStr">
        <is>
          <t>Antivirus utilizado para operaciones de software</t>
        </is>
      </c>
      <c r="F46" t="inlineStr">
        <is>
          <t>Cloud AWS</t>
        </is>
      </c>
      <c r="G46" t="inlineStr">
        <is>
          <t>Carla Soto</t>
        </is>
      </c>
      <c r="H46" t="inlineStr">
        <is>
          <t>Operaciones</t>
        </is>
      </c>
      <c r="I46" t="inlineStr">
        <is>
          <t>Backup</t>
        </is>
      </c>
      <c r="J46" t="n">
        <v>2</v>
      </c>
      <c r="K46" t="n">
        <v>2</v>
      </c>
      <c r="L46" t="n">
        <v>5</v>
      </c>
      <c r="M46" t="n">
        <v>3</v>
      </c>
      <c r="N46" t="inlineStr">
        <is>
          <t>20/01/2025</t>
        </is>
      </c>
      <c r="O46" t="inlineStr">
        <is>
          <t>Carlos Rojas</t>
        </is>
      </c>
    </row>
    <row r="47">
      <c r="A47" t="inlineStr">
        <is>
          <t>ACT-2025-046</t>
        </is>
      </c>
      <c r="B47" t="inlineStr">
        <is>
          <t>Firewall 67</t>
        </is>
      </c>
      <c r="C47" t="inlineStr">
        <is>
          <t>Hardware</t>
        </is>
      </c>
      <c r="D47" t="inlineStr">
        <is>
          <t>Firewall</t>
        </is>
      </c>
      <c r="E47" t="inlineStr">
        <is>
          <t>Firewall utilizado para operaciones de hardware</t>
        </is>
      </c>
      <c r="F47" t="inlineStr">
        <is>
          <t>Home Office</t>
        </is>
      </c>
      <c r="G47" t="inlineStr">
        <is>
          <t>María López</t>
        </is>
      </c>
      <c r="H47" t="inlineStr">
        <is>
          <t>Operaciones</t>
        </is>
      </c>
      <c r="I47" t="inlineStr">
        <is>
          <t>Fuera de Servicio</t>
        </is>
      </c>
      <c r="J47" t="n">
        <v>5</v>
      </c>
      <c r="K47" t="n">
        <v>2</v>
      </c>
      <c r="L47" t="n">
        <v>3</v>
      </c>
      <c r="M47" t="n">
        <v>3.3</v>
      </c>
      <c r="N47" t="inlineStr">
        <is>
          <t>15/02/2024</t>
        </is>
      </c>
      <c r="O47" t="inlineStr">
        <is>
          <t>Carla Soto</t>
        </is>
      </c>
    </row>
    <row r="48">
      <c r="A48" t="inlineStr">
        <is>
          <t>ACT-2025-047</t>
        </is>
      </c>
      <c r="B48" t="inlineStr">
        <is>
          <t>Cloud Computing 19</t>
        </is>
      </c>
      <c r="C48" t="inlineStr">
        <is>
          <t>Servicios</t>
        </is>
      </c>
      <c r="D48" t="inlineStr">
        <is>
          <t>Cloud Computing</t>
        </is>
      </c>
      <c r="E48" t="inlineStr">
        <is>
          <t>Cloud Computing utilizado para operaciones de servicios</t>
        </is>
      </c>
      <c r="F48" t="inlineStr">
        <is>
          <t>Home Office</t>
        </is>
      </c>
      <c r="G48" t="inlineStr">
        <is>
          <t>Laura Martínez</t>
        </is>
      </c>
      <c r="H48" t="inlineStr">
        <is>
          <t>TI</t>
        </is>
      </c>
      <c r="I48" t="inlineStr">
        <is>
          <t>Backup</t>
        </is>
      </c>
      <c r="J48" t="n">
        <v>4</v>
      </c>
      <c r="K48" t="n">
        <v>2</v>
      </c>
      <c r="L48" t="n">
        <v>4</v>
      </c>
      <c r="M48" t="n">
        <v>3.3</v>
      </c>
      <c r="N48" t="inlineStr">
        <is>
          <t>03/10/2024</t>
        </is>
      </c>
      <c r="O48" t="inlineStr">
        <is>
          <t>Laura Martínez</t>
        </is>
      </c>
    </row>
    <row r="49">
      <c r="A49" t="inlineStr">
        <is>
          <t>ACT-2025-048</t>
        </is>
      </c>
      <c r="B49" t="inlineStr">
        <is>
          <t>Propiedad Intelectual 32</t>
        </is>
      </c>
      <c r="C49" t="inlineStr">
        <is>
          <t>Datos</t>
        </is>
      </c>
      <c r="D49" t="inlineStr">
        <is>
          <t>Propiedad Intelectual</t>
        </is>
      </c>
      <c r="E49" t="inlineStr">
        <is>
          <t>Propiedad Intelectual utilizado para operaciones de datos</t>
        </is>
      </c>
      <c r="F49" t="inlineStr">
        <is>
          <t>Sucursal Norte</t>
        </is>
      </c>
      <c r="G49" t="inlineStr">
        <is>
          <t>Carla Soto</t>
        </is>
      </c>
      <c r="H49" t="inlineStr">
        <is>
          <t>Operaciones</t>
        </is>
      </c>
      <c r="I49" t="inlineStr">
        <is>
          <t>Backup</t>
        </is>
      </c>
      <c r="J49" t="n">
        <v>4</v>
      </c>
      <c r="K49" t="n">
        <v>3</v>
      </c>
      <c r="L49" t="n">
        <v>2</v>
      </c>
      <c r="M49" t="n">
        <v>3</v>
      </c>
      <c r="N49" t="inlineStr">
        <is>
          <t>20/02/2025</t>
        </is>
      </c>
      <c r="O49" t="inlineStr">
        <is>
          <t>Ana Silva</t>
        </is>
      </c>
    </row>
    <row r="50">
      <c r="A50" t="inlineStr">
        <is>
          <t>ACT-2025-049</t>
        </is>
      </c>
      <c r="B50" t="inlineStr">
        <is>
          <t>Administrador 81</t>
        </is>
      </c>
      <c r="C50" t="inlineStr">
        <is>
          <t>Personal</t>
        </is>
      </c>
      <c r="D50" t="inlineStr">
        <is>
          <t>Administrador</t>
        </is>
      </c>
      <c r="E50" t="inlineStr">
        <is>
          <t>Administrador utilizado para operaciones de personal</t>
        </is>
      </c>
      <c r="F50" t="inlineStr">
        <is>
          <t>Sucursal Norte</t>
        </is>
      </c>
      <c r="G50" t="inlineStr">
        <is>
          <t>Ana Silva</t>
        </is>
      </c>
      <c r="H50" t="inlineStr">
        <is>
          <t>Finanzas</t>
        </is>
      </c>
      <c r="I50" t="inlineStr">
        <is>
          <t>En Mantenimiento</t>
        </is>
      </c>
      <c r="J50" t="n">
        <v>4</v>
      </c>
      <c r="K50" t="n">
        <v>3</v>
      </c>
      <c r="L50" t="n">
        <v>4</v>
      </c>
      <c r="M50" t="n">
        <v>3.7</v>
      </c>
      <c r="N50" t="inlineStr">
        <is>
          <t>17/10/2024</t>
        </is>
      </c>
      <c r="O50" t="inlineStr">
        <is>
          <t>Diego Fernández</t>
        </is>
      </c>
    </row>
    <row r="51">
      <c r="A51" t="inlineStr">
        <is>
          <t>ACT-2025-050</t>
        </is>
      </c>
      <c r="B51" t="inlineStr">
        <is>
          <t>Antivirus 90</t>
        </is>
      </c>
      <c r="C51" t="inlineStr">
        <is>
          <t>Software</t>
        </is>
      </c>
      <c r="D51" t="inlineStr">
        <is>
          <t>Antivirus</t>
        </is>
      </c>
      <c r="E51" t="inlineStr">
        <is>
          <t>Antivirus utilizado para operaciones de software</t>
        </is>
      </c>
      <c r="F51" t="inlineStr">
        <is>
          <t>Datacenter Principal</t>
        </is>
      </c>
      <c r="G51" t="inlineStr">
        <is>
          <t>María López</t>
        </is>
      </c>
      <c r="H51" t="inlineStr">
        <is>
          <t>RRHH</t>
        </is>
      </c>
      <c r="I51" t="inlineStr">
        <is>
          <t>Activo</t>
        </is>
      </c>
      <c r="J51" t="n">
        <v>5</v>
      </c>
      <c r="K51" t="n">
        <v>2</v>
      </c>
      <c r="L51" t="n">
        <v>2</v>
      </c>
      <c r="M51" t="n">
        <v>3</v>
      </c>
      <c r="N51" t="inlineStr">
        <is>
          <t>14/05/2025</t>
        </is>
      </c>
      <c r="O51" t="inlineStr">
        <is>
          <t>Laura Martínez</t>
        </is>
      </c>
    </row>
  </sheetData>
  <mergeCells count="1">
    <mergeCell ref="A1:T1"/>
  </mergeCells>
  <dataValidations count="13">
    <dataValidation sqref="D4:D7" showDropDown="0" showInputMessage="0" showErrorMessage="0" allowBlank="1" errorTitle="Categoría Inválida" error="Valor no válido" promptTitle="Categorías disponibles" prompt="Seleccione una categoría" type="list">
      <formula1>"📋 Define las categorías principales para clasificar los activos de información,ID,1,2,3,4,5,6,7"</formula1>
    </dataValidation>
    <dataValidation sqref="E4:E7" showDropDown="0" showInputMessage="0" showErrorMessage="0" allowBlank="1" errorTitle="Subcategoría Inválida" error="Valor no válido" type="list">
      <formula1>"Servidor,PC,Laptop,Móvil,Red,ERP,CRM,Base de Datos,Aplicación,Sistema Operativo,Clientes,Financiera,RRHH,Comercial,Cloud,Hosting,Internet,Telefonía"</formula1>
    </dataValidation>
    <dataValidation sqref="F4:F7" showDropDown="0" showInputMessage="0" showErrorMessage="0" allowBlank="1" errorTitle="Área Inválida" error="Valor no válido" type="list">
      <formula1>"🏢 Define las áreas funcionales de la organización,ID,1,2,3,4,5,6,7,8"</formula1>
    </dataValidation>
    <dataValidation sqref="J4:J7" showDropDown="0" showInputMessage="0" showErrorMessage="0" allowBlank="1" errorTitle="Clase Inválida" error="Valor no válido" type="list">
      <formula1>"🔐 Define los niveles de clasificación según criticidad y sensibilidad,ID,1,2,3,4,5"</formula1>
    </dataValidation>
    <dataValidation sqref="K4:K7" showDropDown="0" showInputMessage="0" showErrorMessage="0" allowBlank="1" type="list">
      <formula1>"Crítico,Alto,Medio,Bajo,Normal,Básico"</formula1>
    </dataValidation>
    <dataValidation sqref="L4:L7" showDropDown="0" showInputMessage="0" showErrorMessage="0" allowBlank="1" promptTitle="Nivel de Confidencialidad" prompt="A=Alta, M=Media, B=Baja" type="list">
      <formula1>"A,M,B"</formula1>
    </dataValidation>
    <dataValidation sqref="M4:M7" showDropDown="0" showInputMessage="0" showErrorMessage="0" allowBlank="1" promptTitle="Nivel de Integridad" prompt="A=Alta, M=Media, B=Baja" type="list">
      <formula1>"A,M,B"</formula1>
    </dataValidation>
    <dataValidation sqref="N4:N7" showDropDown="0" showInputMessage="0" showErrorMessage="0" allowBlank="1" promptTitle="Nivel de Disponibilidad" prompt="A=Alta, M=Media, B=Baja" type="list">
      <formula1>"A,M,B"</formula1>
    </dataValidation>
    <dataValidation sqref="O4:O7" showDropDown="0" showInputMessage="0" showErrorMessage="0" allowBlank="1" promptTitle="Valoración del Activo" type="list">
      <formula1>"Muy Alta,Alta,Media,Baja,Muy Baja"</formula1>
    </dataValidation>
    <dataValidation sqref="P4:P7" showDropDown="0" showInputMessage="0" showErrorMessage="0" allowBlank="1" promptTitle="Criticidad del Activo" type="list">
      <formula1>"Crítica,Alta,Media,Baja"</formula1>
    </dataValidation>
    <dataValidation sqref="Q4:Q7" showDropDown="0" showInputMessage="0" showErrorMessage="0" allowBlank="0" type="list">
      <formula1>"Activo,Inactivo,En Mantenimiento,Obsoleto"</formula1>
    </dataValidation>
    <dataValidation sqref="E4:E7" showDropDown="0" showInputMessage="0" showErrorMessage="0" allowBlank="1" prompt="Seleccione una subcategoría" type="list">
      <formula1>"Servidor,Estación de Trabajo,Laptop,Móvil,Tablet,Switch,Router,Firewall,Access Point,ERP,CRM,ERP,Base de Datos,Aplicación Web,Sistema Operativo,Clientes,Financiera,RRHH,Comercial,Técnica"</formula1>
    </dataValidation>
    <dataValidation sqref="K4:K7" showDropDown="0" showInputMessage="0" showErrorMessage="0" allowBlank="1" type="list">
      <formula1>"Muy Alto,Alto,Medio,Bajo,Muy Bajo"</formula1>
    </dataValidation>
  </dataValidations>
  <printOptions horizontalCentered="1" gridLines="1"/>
  <pageMargins left="0.5" right="0.5" top="0.5" bottom="0.5" header="0.2992125984251969" footer="0.2992125984251969"/>
  <pageSetup orientation="landscape" paperSize="9" scale="52" fitToHeight="0"/>
  <headerFooter>
    <oddHeader>&amp;L&amp;"Segoe UI,Bold"&amp;14 Activos&amp;R&amp;"Segoe UI"&amp;10 Fecha: &amp;D</oddHeader>
    <oddFooter>&amp;L&amp;"Segoe UI"&amp;9 SGSI - ISO 27001:2022&amp;R&amp;"Segoe UI"&amp;9 Página &amp;P de &amp;N</oddFooter>
    <evenHeader/>
    <evenFooter/>
    <firstHeader/>
    <firstFooter/>
  </headerFooter>
</worksheet>
</file>

<file path=xl/worksheets/sheet18.xml><?xml version="1.0" encoding="utf-8"?>
<worksheet xmlns="http://schemas.openxmlformats.org/spreadsheetml/2006/main">
  <sheetPr codeName="Hoja11">
    <tabColor rgb="FF8E44AD"/>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18" t="inlineStr">
        <is>
          <t>PLAN DE CONTINUIDAD DE NEGOCIO</t>
        </is>
      </c>
    </row>
    <row r="3">
      <c r="A3" s="202" t="inlineStr">
        <is>
          <t>📋 Plantilla para: PLAN DE CONTINUIDAD DE NEGOCIO</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19.xml><?xml version="1.0" encoding="utf-8"?>
<worksheet xmlns="http://schemas.openxmlformats.org/spreadsheetml/2006/main">
  <sheetPr codeName="Hoja12">
    <tabColor rgb="FFE74C3C"/>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19" t="inlineStr">
        <is>
          <t>ANÁLISIS DE IMPACTO AL NEGOCIO (BIA)</t>
        </is>
      </c>
    </row>
    <row r="3">
      <c r="A3" s="202" t="inlineStr">
        <is>
          <t>📋 Plantilla para: ANÁLISIS DE IMPACTO AL NEGOCIO (BIA)</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20.xml><?xml version="1.0" encoding="utf-8"?>
<worksheet xmlns="http://schemas.openxmlformats.org/spreadsheetml/2006/main">
  <sheetPr codeName="Hoja13">
    <tabColor rgb="FFF39C12"/>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20" t="inlineStr">
        <is>
          <t>PLAN DE FORMACIÓN Y CONCIENCIACIÓN</t>
        </is>
      </c>
    </row>
    <row r="3">
      <c r="A3" s="202" t="inlineStr">
        <is>
          <t>📋 Plantilla para: PLAN DE FORMACIÓN Y CONCIENCIACIÓN</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21.xml><?xml version="1.0" encoding="utf-8"?>
<worksheet xmlns="http://schemas.openxmlformats.org/spreadsheetml/2006/main">
  <sheetPr codeName="Hoja14">
    <tabColor rgb="FF1ABC9C"/>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21" t="inlineStr">
        <is>
          <t>ACUERDO CONFIDENCIALIDAD - PROVEEDORES</t>
        </is>
      </c>
    </row>
    <row r="3">
      <c r="A3" s="202" t="inlineStr">
        <is>
          <t>📋 Plantilla para: ACUERDO CONFIDENCIALIDAD - PROVEEDORES</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22.xml><?xml version="1.0" encoding="utf-8"?>
<worksheet xmlns="http://schemas.openxmlformats.org/spreadsheetml/2006/main">
  <sheetPr codeName="Hoja15">
    <tabColor rgb="FF16A085"/>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22" t="inlineStr">
        <is>
          <t>ACUERDO CONFIDENCIALIDAD - EMPLEADOS</t>
        </is>
      </c>
    </row>
    <row r="3">
      <c r="A3" s="202" t="inlineStr">
        <is>
          <t>📋 Plantilla para: ACUERDO CONFIDENCIALIDAD - EMPLEADOS</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23.xml><?xml version="1.0" encoding="utf-8"?>
<worksheet xmlns="http://schemas.openxmlformats.org/spreadsheetml/2006/main">
  <sheetPr codeName="Hoja16">
    <tabColor rgb="FF9B59B6"/>
    <outlinePr summaryBelow="1" summaryRight="1"/>
    <pageSetUpPr/>
  </sheetPr>
  <dimension ref="A1:F5"/>
  <sheetViews>
    <sheetView showGridLines="0" workbookViewId="0">
      <selection activeCell="A1" sqref="A1:F1"/>
    </sheetView>
  </sheetViews>
  <sheetFormatPr baseColWidth="10" defaultColWidth="9.140625" defaultRowHeight="15"/>
  <sheetData>
    <row r="1" ht="24.95" customHeight="1" s="146">
      <c r="A1" s="223" t="inlineStr">
        <is>
          <t>COMITÉ DE SEGURIDAD DE LA INFORMACIÓN</t>
        </is>
      </c>
    </row>
    <row r="3">
      <c r="A3" s="202" t="inlineStr">
        <is>
          <t>📋 Plantilla para: COMITÉ DE SEGURIDAD DE LA INFORMACIÓN</t>
        </is>
      </c>
    </row>
    <row r="5">
      <c r="A5" s="204" t="inlineStr">
        <is>
          <t>Esta hoja debe personalizarse según las necesidades de la organización.</t>
        </is>
      </c>
    </row>
  </sheetData>
  <mergeCells count="3">
    <mergeCell ref="A3:F3"/>
    <mergeCell ref="A1:F1"/>
    <mergeCell ref="A5:F5"/>
  </mergeCells>
  <pageMargins left="0.75" right="0.75" top="1" bottom="1" header="0.5" footer="0.5"/>
</worksheet>
</file>

<file path=xl/worksheets/sheet24.xml><?xml version="1.0" encoding="utf-8"?>
<worksheet xmlns="http://schemas.openxmlformats.org/spreadsheetml/2006/main">
  <sheetPr codeName="Hoja17">
    <tabColor rgb="FF2980B9"/>
    <outlinePr summaryBelow="1" summaryRight="1"/>
    <pageSetUpPr/>
  </sheetPr>
  <dimension ref="A1:H3"/>
  <sheetViews>
    <sheetView showGridLines="0" workbookViewId="0">
      <selection activeCell="A1" sqref="A1:H1"/>
    </sheetView>
  </sheetViews>
  <sheetFormatPr baseColWidth="10" defaultColWidth="9.140625" defaultRowHeight="15"/>
  <sheetData>
    <row r="1" ht="24.95" customHeight="1" s="146">
      <c r="A1" s="224" t="inlineStr">
        <is>
          <t>CONFIGURATION MANAGEMENT DATABASE</t>
        </is>
      </c>
    </row>
    <row r="3">
      <c r="A3" s="76" t="inlineStr">
        <is>
          <t>CI ID</t>
        </is>
      </c>
      <c r="B3" s="76" t="inlineStr">
        <is>
          <t>Nombre CI</t>
        </is>
      </c>
      <c r="C3" s="76" t="inlineStr">
        <is>
          <t>Tipo</t>
        </is>
      </c>
      <c r="D3" s="76" t="inlineStr">
        <is>
          <t>Propietario</t>
        </is>
      </c>
      <c r="E3" s="76" t="inlineStr">
        <is>
          <t>Estado</t>
        </is>
      </c>
      <c r="F3" s="76" t="inlineStr">
        <is>
          <t>Versión</t>
        </is>
      </c>
      <c r="G3" s="76" t="inlineStr">
        <is>
          <t>Ubicación</t>
        </is>
      </c>
      <c r="H3" s="76" t="inlineStr">
        <is>
          <t>Dependencias</t>
        </is>
      </c>
    </row>
  </sheetData>
  <mergeCells count="1">
    <mergeCell ref="A1:H1"/>
  </mergeCells>
  <dataValidations count="2">
    <dataValidation sqref="C4:C1000" showDropDown="0" showInputMessage="0" showErrorMessage="0" allowBlank="0" type="list">
      <formula1>"Hardware,Software,Servicio,Red,Aplicación"</formula1>
    </dataValidation>
    <dataValidation sqref="E4:E1000" showDropDown="0" showInputMessage="0" showErrorMessage="0" allowBlank="0" type="list">
      <formula1>"Activo,Inactivo,En Mantenimiento,Obsoleto"</formula1>
    </dataValidation>
  </dataValidations>
  <pageMargins left="0.75" right="0.75" top="1" bottom="1" header="0.5" footer="0.5"/>
</worksheet>
</file>

<file path=xl/worksheets/sheet25.xml><?xml version="1.0" encoding="utf-8"?>
<worksheet xmlns="http://schemas.openxmlformats.org/spreadsheetml/2006/main">
  <sheetPr codeName="Hoja18">
    <tabColor rgb="FF34495E"/>
    <outlinePr summaryBelow="1" summaryRight="1"/>
    <pageSetUpPr/>
  </sheetPr>
  <dimension ref="A1:F1"/>
  <sheetViews>
    <sheetView showGridLines="0" workbookViewId="0">
      <selection activeCell="A1" sqref="A1:F1"/>
    </sheetView>
  </sheetViews>
  <sheetFormatPr baseColWidth="10" defaultColWidth="9.140625" defaultRowHeight="15"/>
  <sheetData>
    <row r="1" ht="24.95" customHeight="1" s="146">
      <c r="A1" s="225" t="inlineStr">
        <is>
          <t>PROCEDIMIENTO DE HARDENING</t>
        </is>
      </c>
    </row>
  </sheetData>
  <mergeCells count="1">
    <mergeCell ref="A1:F1"/>
  </mergeCells>
  <pageMargins left="0.75" right="0.75" top="1" bottom="1" header="0.5" footer="0.5"/>
</worksheet>
</file>

<file path=xl/worksheets/sheet26.xml><?xml version="1.0" encoding="utf-8"?>
<worksheet xmlns="http://schemas.openxmlformats.org/spreadsheetml/2006/main">
  <sheetPr codeName="Hoja19">
    <tabColor rgb="FF34495E"/>
    <outlinePr summaryBelow="1" summaryRight="1"/>
    <pageSetUpPr/>
  </sheetPr>
  <dimension ref="A1:F1"/>
  <sheetViews>
    <sheetView showGridLines="0" workbookViewId="0">
      <selection activeCell="A1" sqref="A1:F1"/>
    </sheetView>
  </sheetViews>
  <sheetFormatPr baseColWidth="10" defaultColWidth="9.140625" defaultRowHeight="15"/>
  <sheetData>
    <row r="1" ht="24.95" customHeight="1" s="146">
      <c r="A1" s="225" t="inlineStr">
        <is>
          <t>PLAN DIRECTOR DE CIBERSEGURIDAD</t>
        </is>
      </c>
    </row>
  </sheetData>
  <mergeCells count="1">
    <mergeCell ref="A1:F1"/>
  </mergeCells>
  <pageMargins left="0.75" right="0.75" top="1" bottom="1" header="0.5" footer="0.5"/>
</worksheet>
</file>

<file path=xl/worksheets/sheet27.xml><?xml version="1.0" encoding="utf-8"?>
<worksheet xmlns="http://schemas.openxmlformats.org/spreadsheetml/2006/main">
  <sheetPr codeName="Hoja20">
    <tabColor rgb="FF34495E"/>
    <outlinePr summaryBelow="1" summaryRight="1"/>
    <pageSetUpPr/>
  </sheetPr>
  <dimension ref="A1:F1"/>
  <sheetViews>
    <sheetView showGridLines="0" workbookViewId="0">
      <selection activeCell="A1" sqref="A1:F1"/>
    </sheetView>
  </sheetViews>
  <sheetFormatPr baseColWidth="10" defaultColWidth="9.140625" defaultRowHeight="15"/>
  <sheetData>
    <row r="1" ht="24.95" customHeight="1" s="146">
      <c r="A1" s="225" t="inlineStr">
        <is>
          <t>PLAN DE PRUEBAS DE RECUPERACIÓN</t>
        </is>
      </c>
    </row>
  </sheetData>
  <mergeCells count="1">
    <mergeCell ref="A1:F1"/>
  </mergeCells>
  <pageMargins left="0.75" right="0.75" top="1" bottom="1" header="0.5" footer="0.5"/>
</worksheet>
</file>

<file path=xl/worksheets/sheet28.xml><?xml version="1.0" encoding="utf-8"?>
<worksheet xmlns="http://schemas.openxmlformats.org/spreadsheetml/2006/main">
  <sheetPr codeName="Hoja21">
    <tabColor rgb="FF34495E"/>
    <outlinePr summaryBelow="1" summaryRight="1"/>
    <pageSetUpPr/>
  </sheetPr>
  <dimension ref="A1:F1"/>
  <sheetViews>
    <sheetView showGridLines="0" workbookViewId="0">
      <selection activeCell="A1" sqref="A1:F1"/>
    </sheetView>
  </sheetViews>
  <sheetFormatPr baseColWidth="10" defaultColWidth="9.140625" defaultRowHeight="15"/>
  <sheetData>
    <row r="1" ht="24.95" customHeight="1" s="146">
      <c r="A1" s="225" t="inlineStr">
        <is>
          <t>INFORMES DE RECUPERACIÓN</t>
        </is>
      </c>
    </row>
  </sheetData>
  <mergeCells count="1">
    <mergeCell ref="A1:F1"/>
  </mergeCells>
  <pageMargins left="0.75" right="0.75" top="1" bottom="1" header="0.5" footer="0.5"/>
</worksheet>
</file>

<file path=xl/worksheets/sheet29.xml><?xml version="1.0" encoding="utf-8"?>
<worksheet xmlns="http://schemas.openxmlformats.org/spreadsheetml/2006/main">
  <sheetPr codeName="Hoja22">
    <tabColor rgb="FF34495E"/>
    <outlinePr summaryBelow="1" summaryRight="1"/>
    <pageSetUpPr/>
  </sheetPr>
  <dimension ref="A1:F1"/>
  <sheetViews>
    <sheetView showGridLines="0" workbookViewId="0">
      <selection activeCell="A1" sqref="A1:F1"/>
    </sheetView>
  </sheetViews>
  <sheetFormatPr baseColWidth="10" defaultColWidth="9.140625" defaultRowHeight="15"/>
  <sheetData>
    <row r="1" ht="24.95" customHeight="1" s="146">
      <c r="A1" s="225" t="inlineStr">
        <is>
          <t>MANTENIMIENTO DEL PLAN DRP</t>
        </is>
      </c>
    </row>
  </sheetData>
  <mergeCells count="1">
    <mergeCell ref="A1:F1"/>
  </mergeCells>
  <pageMargins left="0.75" right="0.75" top="1" bottom="1" header="0.5" footer="0.5"/>
</worksheet>
</file>

<file path=xl/worksheets/sheet30.xml><?xml version="1.0" encoding="utf-8"?>
<worksheet xmlns="http://schemas.openxmlformats.org/spreadsheetml/2006/main">
  <sheetPr codeName="Hoja23">
    <tabColor rgb="FF5B9BD5"/>
    <outlinePr summaryBelow="1" summaryRight="1"/>
    <pageSetUpPr fitToPage="1"/>
  </sheetPr>
  <dimension ref="A1:H15"/>
  <sheetViews>
    <sheetView showGridLines="0" workbookViewId="0">
      <selection activeCell="A1" sqref="A1:H1"/>
    </sheetView>
  </sheetViews>
  <sheetFormatPr baseColWidth="10" defaultColWidth="9.140625" defaultRowHeight="15"/>
  <cols>
    <col width="15" customWidth="1" style="146" min="1" max="4"/>
    <col width="5" customWidth="1" style="146" min="5" max="5"/>
    <col width="15" customWidth="1" style="146" min="6" max="8"/>
  </cols>
  <sheetData>
    <row r="1" ht="30" customHeight="1" s="146">
      <c r="A1" s="227" t="inlineStr">
        <is>
          <t>DASHBOARD DE MÉTRICAS - SGSI</t>
        </is>
      </c>
    </row>
    <row r="3" ht="15.75" customHeight="1" s="146">
      <c r="A3" s="226" t="inlineStr">
        <is>
          <t>📈 INDICADORES CLAVE (KPIs)</t>
        </is>
      </c>
    </row>
    <row r="5">
      <c r="B5" s="7" t="n">
        <v>5</v>
      </c>
      <c r="D5" s="7" t="inlineStr">
        <is>
          <t>Riesgos Identificados</t>
        </is>
      </c>
      <c r="F5" s="7" t="inlineStr">
        <is>
          <t>Riesgos Críticos</t>
        </is>
      </c>
      <c r="H5" s="7" t="inlineStr">
        <is>
          <t>Nivel de Cumplimiento</t>
        </is>
      </c>
    </row>
    <row r="6" ht="35.1" customHeight="1" s="146">
      <c r="B6" s="8" t="n">
        <v>50</v>
      </c>
      <c r="D6" s="9" t="inlineStr">
        <is>
          <t>0</t>
        </is>
      </c>
      <c r="F6" s="10" t="inlineStr">
        <is>
          <t>0</t>
        </is>
      </c>
      <c r="H6" s="11" t="inlineStr">
        <is>
          <t>0%</t>
        </is>
      </c>
    </row>
    <row r="7">
      <c r="B7" s="93" t="n">
        <v>0</v>
      </c>
    </row>
    <row r="8">
      <c r="B8" t="n">
        <v>0</v>
      </c>
    </row>
    <row r="9" ht="15.75" customHeight="1" s="146">
      <c r="A9" s="226" t="inlineStr">
        <is>
          <t>⚠️ DISTRIBUCIÓN DE RIESGOS</t>
        </is>
      </c>
      <c r="F9" s="226" t="inlineStr">
        <is>
          <t>🛡️ ESTADO DE TRATAMIENTOS</t>
        </is>
      </c>
    </row>
    <row r="10">
      <c r="B10" t="n">
        <v>0</v>
      </c>
    </row>
    <row r="11">
      <c r="A11" s="12" t="inlineStr">
        <is>
          <t>Nivel</t>
        </is>
      </c>
      <c r="B11" s="92" t="n">
        <v>45967</v>
      </c>
      <c r="C11" s="12" t="inlineStr">
        <is>
          <t>Porcentaje</t>
        </is>
      </c>
      <c r="D11" s="12" t="inlineStr">
        <is>
          <t>Estado</t>
        </is>
      </c>
      <c r="F11" s="12" t="inlineStr">
        <is>
          <t>Estado</t>
        </is>
      </c>
      <c r="G11" s="12" t="inlineStr">
        <is>
          <t>Cantidad</t>
        </is>
      </c>
      <c r="H11" s="12" t="inlineStr">
        <is>
          <t>Progreso</t>
        </is>
      </c>
    </row>
    <row r="12">
      <c r="A12" s="13" t="inlineStr">
        <is>
          <t>Crítico</t>
        </is>
      </c>
      <c r="B12" s="14" t="inlineStr">
        <is>
          <t>0</t>
        </is>
      </c>
      <c r="C12" s="14" t="inlineStr">
        <is>
          <t>0%</t>
        </is>
      </c>
      <c r="D12" s="14" t="inlineStr">
        <is>
          <t>■ Alto</t>
        </is>
      </c>
      <c r="F12" s="15" t="inlineStr">
        <is>
          <t>Implementado</t>
        </is>
      </c>
      <c r="G12" s="14" t="inlineStr">
        <is>
          <t>0</t>
        </is>
      </c>
      <c r="H12" s="14" t="inlineStr">
        <is>
          <t>0%</t>
        </is>
      </c>
    </row>
    <row r="13">
      <c r="A13" s="16" t="inlineStr">
        <is>
          <t>Alto</t>
        </is>
      </c>
      <c r="B13" s="14" t="inlineStr">
        <is>
          <t>0</t>
        </is>
      </c>
      <c r="C13" s="14" t="inlineStr">
        <is>
          <t>0%</t>
        </is>
      </c>
      <c r="D13" s="14" t="inlineStr">
        <is>
          <t>■ Alto</t>
        </is>
      </c>
      <c r="F13" s="17" t="inlineStr">
        <is>
          <t>En Progreso</t>
        </is>
      </c>
      <c r="G13" s="14" t="inlineStr">
        <is>
          <t>0</t>
        </is>
      </c>
      <c r="H13" s="14" t="inlineStr">
        <is>
          <t>0%</t>
        </is>
      </c>
    </row>
    <row r="14">
      <c r="A14" s="17" t="inlineStr">
        <is>
          <t>Medio</t>
        </is>
      </c>
      <c r="B14" s="14" t="inlineStr">
        <is>
          <t>0</t>
        </is>
      </c>
      <c r="C14" s="14" t="inlineStr">
        <is>
          <t>0%</t>
        </is>
      </c>
      <c r="D14" s="14" t="inlineStr">
        <is>
          <t>■ Medio</t>
        </is>
      </c>
      <c r="F14" s="16" t="inlineStr">
        <is>
          <t>Pendiente</t>
        </is>
      </c>
      <c r="G14" s="14" t="inlineStr">
        <is>
          <t>0</t>
        </is>
      </c>
      <c r="H14" s="14" t="inlineStr">
        <is>
          <t>0%</t>
        </is>
      </c>
    </row>
    <row r="15">
      <c r="A15" s="15" t="inlineStr">
        <is>
          <t>Bajo</t>
        </is>
      </c>
      <c r="B15" s="14" t="inlineStr">
        <is>
          <t>0</t>
        </is>
      </c>
      <c r="C15" s="14" t="inlineStr">
        <is>
          <t>0%</t>
        </is>
      </c>
      <c r="D15" s="14" t="inlineStr">
        <is>
          <t>■ Bajo</t>
        </is>
      </c>
      <c r="F15" s="18" t="inlineStr">
        <is>
          <t>Cancelado</t>
        </is>
      </c>
      <c r="G15" s="14" t="inlineStr">
        <is>
          <t>0</t>
        </is>
      </c>
      <c r="H15" s="14" t="inlineStr">
        <is>
          <t>0%</t>
        </is>
      </c>
    </row>
  </sheetData>
  <mergeCells count="4">
    <mergeCell ref="A3:H3"/>
    <mergeCell ref="A9:D9"/>
    <mergeCell ref="F9:H9"/>
    <mergeCell ref="A1:H1"/>
  </mergeCells>
  <printOptions gridLines="1"/>
  <pageMargins left="0.5" right="0.5" top="0.5" bottom="0.5" header="0.2992125984251969" footer="0.2992125984251969"/>
  <pageSetup orientation="portrait" scale="80" fitToHeight="0"/>
  <headerFooter>
    <oddHeader>&amp;L&amp;"Segoe UI,Bold"&amp;14 Dashboard&amp;R&amp;"Segoe UI"&amp;10 Fecha: &amp;D</oddHeader>
    <oddFooter>&amp;L&amp;"Segoe UI"&amp;9 SGSI - ISO 27001:2022&amp;R&amp;"Segoe UI"&amp;9 Página &amp;P de &amp;N</oddFooter>
    <evenHeader/>
    <evenFooter/>
    <firstHeader/>
    <firstFooter/>
  </headerFooter>
</worksheet>
</file>

<file path=xl/worksheets/sheet31.xml><?xml version="1.0" encoding="utf-8"?>
<worksheet xmlns="http://schemas.openxmlformats.org/spreadsheetml/2006/main">
  <sheetPr codeName="Hoja24">
    <tabColor rgb="FFFF6600"/>
    <outlinePr summaryBelow="1" summaryRight="1"/>
    <pageSetUpPr fitToPage="1"/>
  </sheetPr>
  <dimension ref="A1:AE31"/>
  <sheetViews>
    <sheetView showGridLines="0" tabSelected="1" topLeftCell="M1" workbookViewId="0">
      <selection activeCell="V19" sqref="V19"/>
    </sheetView>
  </sheetViews>
  <sheetFormatPr baseColWidth="10" defaultColWidth="9.140625" defaultRowHeight="15"/>
  <cols>
    <col width="12" customWidth="1" style="146" min="1" max="1"/>
    <col width="25" customWidth="1" style="146" min="2" max="2"/>
    <col width="35" customWidth="1" style="146" min="3" max="3"/>
    <col width="20" customWidth="1" style="146" min="4" max="6"/>
    <col width="15" customWidth="1" style="146" min="7" max="7"/>
    <col width="10" customWidth="1" style="146" min="8" max="8"/>
    <col width="8" customWidth="1" style="146" min="9" max="11"/>
    <col width="10" customWidth="1" style="146" min="12" max="12"/>
    <col width="12" customWidth="1" style="146" min="13" max="14"/>
    <col width="25" customWidth="1" style="146" min="15" max="15"/>
    <col width="10" customWidth="1" style="146" min="16" max="18"/>
    <col width="12" customWidth="1" style="146" min="19" max="20"/>
    <col width="15" customWidth="1" style="146" min="21" max="22"/>
    <col width="12" customWidth="1" style="146" min="23" max="23"/>
    <col width="20" customWidth="1" style="146" min="24" max="24"/>
    <col width="15" customWidth="1" style="146" min="25" max="25"/>
    <col width="20" customWidth="1" style="146" min="26" max="26"/>
    <col width="30" customWidth="1" style="146" min="27" max="27"/>
  </cols>
  <sheetData>
    <row r="1" ht="24.95" customHeight="1" s="146">
      <c r="A1" s="241" t="inlineStr">
        <is>
          <t>MATRIZ DE RIESGOS - ISO 27001:2022</t>
        </is>
      </c>
      <c r="Z1" s="97" t="inlineStr">
        <is>
          <t>Técnica MITRE</t>
        </is>
      </c>
      <c r="AA1" s="107" t="inlineStr">
        <is>
          <t>🤖 Sugerencia Auto Técnica</t>
        </is>
      </c>
      <c r="AC1" s="228" t="inlineStr">
        <is>
          <t>LEYENDA DE NIVELES</t>
        </is>
      </c>
    </row>
    <row r="2">
      <c r="A2" t="inlineStr">
        <is>
          <t>RIS-2025-001</t>
        </is>
      </c>
      <c r="B2" t="inlineStr">
        <is>
          <t>Desastre natural</t>
        </is>
      </c>
      <c r="C2" t="inlineStr">
        <is>
          <t>Riesgo de desastre natural en sistemas críticos</t>
        </is>
      </c>
      <c r="D2" t="inlineStr">
        <is>
          <t>ACT-2025-035</t>
        </is>
      </c>
      <c r="E2" t="inlineStr">
        <is>
          <t>Externo</t>
        </is>
      </c>
      <c r="F2" t="n">
        <v>3</v>
      </c>
      <c r="G2" t="n">
        <v>5</v>
      </c>
      <c r="H2" t="n">
        <v>15</v>
      </c>
      <c r="I2" t="inlineStr">
        <is>
          <t>Crítico</t>
        </is>
      </c>
      <c r="J2" t="inlineStr">
        <is>
          <t>A.8.1 - Dispositivos de usuario final</t>
        </is>
      </c>
      <c r="K2" t="inlineStr">
        <is>
          <t>Laura Martínez</t>
        </is>
      </c>
      <c r="L2" t="inlineStr">
        <is>
          <t>31/07/2025</t>
        </is>
      </c>
      <c r="M2" t="n">
        <v>1</v>
      </c>
      <c r="N2" t="n">
        <v>3</v>
      </c>
      <c r="O2" t="n">
        <v>3</v>
      </c>
      <c r="P2" t="inlineStr">
        <is>
          <t>Bajo</t>
        </is>
      </c>
      <c r="Z2" s="99" t="n"/>
      <c r="AA2" s="108">
        <f>IF(
OR(ISNUMBER(SEARCH("MITM",A2)),ISNUMBER(SEARCH("INTERCEP",A2))),"→ T0830: MITM",
IF(OR(ISNUMBER(SEARCH("MODIFICAR",A2)),ISNUMBER(SEARCH("PROGRAMA",A2))),"→ T0889: Modify Program",
IF(ISNUMBER(SEARCH("FIRMWARE",A2)),"→ T0839: Module Firmware",
IF(ISNUMBER(SEARCH("ALARMA",A2)),"→ T0878: Alarm Suppression",
IF(OR(ISNUMBER(SEARCH("CREDENCIAL",A2)),ISNUMBER(SEARCH("PASSWORD",A2))),"→ T0891: Hardcoded Credentials",
IF(OR(ISNUMBER(SEARCH("PHISHING",A2)),ISNUMBER(SEARCH("CORREO",A2))),"→ T0865: Spearphishing",
IF(OR(ISNUMBER(SEARCH("DISPONIBILIDAD",A2)),ISNUMBER(SEARCH("CAÍDO",A2))),"→ T0826: Loss Availability",
IF(OR(ISNUMBER(SEARCH("CONTROL",A2)),ISNUMBER(SEARCH("DENEGACIÓN",A2))),"→ T0813: Denial of Control",
IF(OR(ISNUMBER(SEARCH("ACCESO REMOTO",A2)),ISNUMBER(SEARCH("VPN",A2))),"→ T0822: Remote Services",
IF(ISNUMBER(SEARCH("EXPLOIT",A2)),"→ T0819: Exploit Public App",
"⚠️ Analizar manualmente"))))))))))</f>
        <v/>
      </c>
    </row>
    <row r="3" ht="39.95" customHeight="1" s="146">
      <c r="A3" s="82" t="inlineStr">
        <is>
          <t>RIS-2025-002</t>
        </is>
      </c>
      <c r="B3" s="82" t="inlineStr">
        <is>
          <t>Fuga de información</t>
        </is>
      </c>
      <c r="C3" s="82" t="inlineStr">
        <is>
          <t>Riesgo de fuga de información en sistemas críticos</t>
        </is>
      </c>
      <c r="D3" s="82" t="inlineStr">
        <is>
          <t>ACT-2025-010</t>
        </is>
      </c>
      <c r="E3" s="82" t="inlineStr">
        <is>
          <t>Externo</t>
        </is>
      </c>
      <c r="F3" s="82" t="n">
        <v>3</v>
      </c>
      <c r="G3" s="82" t="n">
        <v>5</v>
      </c>
      <c r="H3" s="82" t="n">
        <v>15</v>
      </c>
      <c r="I3" s="19" t="inlineStr">
        <is>
          <t>Crítico</t>
        </is>
      </c>
      <c r="J3" s="19" t="inlineStr">
        <is>
          <t>A.5.2 - Roles y responsabilidades</t>
        </is>
      </c>
      <c r="K3" s="19" t="inlineStr">
        <is>
          <t>Carla Soto</t>
        </is>
      </c>
      <c r="L3" s="19" t="inlineStr">
        <is>
          <t>01/07/2025</t>
        </is>
      </c>
      <c r="M3" s="19" t="n">
        <v>1</v>
      </c>
      <c r="N3" s="19" t="n">
        <v>3</v>
      </c>
      <c r="O3" s="19" t="n">
        <v>3</v>
      </c>
      <c r="P3" s="19" t="inlineStr">
        <is>
          <t>Bajo</t>
        </is>
      </c>
      <c r="Q3" s="19" t="inlineStr">
        <is>
          <t>Probabilidad Residual</t>
        </is>
      </c>
      <c r="R3" s="19" t="inlineStr">
        <is>
          <t>Impacto Residual</t>
        </is>
      </c>
      <c r="S3" s="19" t="inlineStr">
        <is>
          <t>Nivel Riesgo Residual</t>
        </is>
      </c>
      <c r="T3" s="19" t="inlineStr">
        <is>
          <t>Valoración Residual</t>
        </is>
      </c>
      <c r="U3" s="19" t="inlineStr">
        <is>
          <t>Tratamiento</t>
        </is>
      </c>
      <c r="V3" s="19" t="inlineStr">
        <is>
          <t>Propietario</t>
        </is>
      </c>
      <c r="W3" s="19" t="inlineStr">
        <is>
          <t>Estado</t>
        </is>
      </c>
      <c r="X3" s="95" t="inlineStr">
        <is>
          <t>Técnica MITRE</t>
        </is>
      </c>
      <c r="Y3" s="96" t="inlineStr">
        <is>
          <t>Código MITRE</t>
        </is>
      </c>
      <c r="Z3" s="99" t="n"/>
      <c r="AA3" s="108">
        <f>IF(
OR(ISNUMBER(SEARCH("MITM",A3)),ISNUMBER(SEARCH("INTERCEP",A3))),"→ T0830: MITM",
IF(OR(ISNUMBER(SEARCH("MODIFICAR",A3)),ISNUMBER(SEARCH("PROGRAMA",A3))),"→ T0889: Modify Program",
IF(ISNUMBER(SEARCH("FIRMWARE",A3)),"→ T0839: Module Firmware",
IF(ISNUMBER(SEARCH("ALARMA",A3)),"→ T0878: Alarm Suppression",
IF(OR(ISNUMBER(SEARCH("CREDENCIAL",A3)),ISNUMBER(SEARCH("PASSWORD",A3))),"→ T0891: Hardcoded Credentials",
IF(OR(ISNUMBER(SEARCH("PHISHING",A3)),ISNUMBER(SEARCH("CORREO",A3))),"→ T0865: Spearphishing",
IF(OR(ISNUMBER(SEARCH("DISPONIBILIDAD",A3)),ISNUMBER(SEARCH("CAÍDO",A3))),"→ T0826: Loss Availability",
IF(OR(ISNUMBER(SEARCH("CONTROL",A3)),ISNUMBER(SEARCH("DENEGACIÓN",A3))),"→ T0813: Denial of Control",
IF(OR(ISNUMBER(SEARCH("ACCESO REMOTO",A3)),ISNUMBER(SEARCH("VPN",A3))),"→ T0822: Remote Services",
IF(ISNUMBER(SEARCH("EXPLOIT",A3)),"→ T0819: Exploit Public App",
"⚠️ Analizar manualmente"))))))))))</f>
        <v/>
      </c>
      <c r="AC3" s="280" t="inlineStr">
        <is>
          <t>Crítico (15-25):</t>
        </is>
      </c>
      <c r="AD3" s="244" t="n"/>
      <c r="AE3" s="245" t="n"/>
    </row>
    <row r="4" ht="30" customHeight="1" s="146">
      <c r="A4" s="20" t="inlineStr">
        <is>
          <t>RIS-2025-003</t>
        </is>
      </c>
      <c r="B4" s="20" t="inlineStr">
        <is>
          <t>Falla de energía</t>
        </is>
      </c>
      <c r="C4" s="20" t="inlineStr">
        <is>
          <t>Riesgo de falla de energía en sistemas críticos</t>
        </is>
      </c>
      <c r="D4" s="20" t="inlineStr">
        <is>
          <t>ACT-2025-012</t>
        </is>
      </c>
      <c r="E4" s="20" t="inlineStr">
        <is>
          <t>Tecnológico</t>
        </is>
      </c>
      <c r="F4" s="20" t="n">
        <v>5</v>
      </c>
      <c r="G4" s="20" t="n">
        <v>4</v>
      </c>
      <c r="H4" s="20" t="n">
        <v>20</v>
      </c>
      <c r="I4" s="20" t="inlineStr">
        <is>
          <t>Crítico</t>
        </is>
      </c>
      <c r="J4" s="20" t="inlineStr">
        <is>
          <t>A.8.1 - Dispositivos de usuario final</t>
        </is>
      </c>
      <c r="K4" s="20" t="inlineStr">
        <is>
          <t>Juan Pérez</t>
        </is>
      </c>
      <c r="L4" s="20" t="inlineStr">
        <is>
          <t>19/07/2025</t>
        </is>
      </c>
      <c r="M4" s="20" t="n">
        <v>3</v>
      </c>
      <c r="N4" s="21" t="n">
        <v>3</v>
      </c>
      <c r="O4" s="20" t="n">
        <v>9</v>
      </c>
      <c r="P4" s="20" t="inlineStr">
        <is>
          <t>Medio</t>
        </is>
      </c>
      <c r="Q4" s="20" t="inlineStr">
        <is>
          <t>2</t>
        </is>
      </c>
      <c r="R4" s="20" t="inlineStr">
        <is>
          <t>2</t>
        </is>
      </c>
      <c r="S4" s="20" t="inlineStr">
        <is>
          <t>4</t>
        </is>
      </c>
      <c r="T4" s="22" t="inlineStr">
        <is>
          <t>Medio</t>
        </is>
      </c>
      <c r="U4" s="20" t="inlineStr">
        <is>
          <t>Mitigar</t>
        </is>
      </c>
      <c r="V4" s="20" t="inlineStr">
        <is>
          <t>CISO</t>
        </is>
      </c>
      <c r="W4" s="20" t="inlineStr">
        <is>
          <t>Activo</t>
        </is>
      </c>
      <c r="Z4" s="99" t="n"/>
      <c r="AA4" s="108">
        <f>IF(
OR(ISNUMBER(SEARCH("MITM",A4)),ISNUMBER(SEARCH("INTERCEP",A4))),"→ T0830: MITM",
IF(OR(ISNUMBER(SEARCH("MODIFICAR",A4)),ISNUMBER(SEARCH("PROGRAMA",A4))),"→ T0889: Modify Program",
IF(ISNUMBER(SEARCH("FIRMWARE",A4)),"→ T0839: Module Firmware",
IF(ISNUMBER(SEARCH("ALARMA",A4)),"→ T0878: Alarm Suppression",
IF(OR(ISNUMBER(SEARCH("CREDENCIAL",A4)),ISNUMBER(SEARCH("PASSWORD",A4))),"→ T0891: Hardcoded Credentials",
IF(OR(ISNUMBER(SEARCH("PHISHING",A4)),ISNUMBER(SEARCH("CORREO",A4))),"→ T0865: Spearphishing",
IF(OR(ISNUMBER(SEARCH("DISPONIBILIDAD",A4)),ISNUMBER(SEARCH("CAÍDO",A4))),"→ T0826: Loss Availability",
IF(OR(ISNUMBER(SEARCH("CONTROL",A4)),ISNUMBER(SEARCH("DENEGACIÓN",A4))),"→ T0813: Denial of Control",
IF(OR(ISNUMBER(SEARCH("ACCESO REMOTO",A4)),ISNUMBER(SEARCH("VPN",A4))),"→ T0822: Remote Services",
IF(ISNUMBER(SEARCH("EXPLOIT",A4)),"→ T0819: Exploit Public App",
"⚠️ Analizar manualmente"))))))))))</f>
        <v/>
      </c>
      <c r="AC4" s="281" t="inlineStr">
        <is>
          <t>Alto (10-14):</t>
        </is>
      </c>
      <c r="AD4" s="244" t="n"/>
      <c r="AE4" s="245" t="n"/>
    </row>
    <row r="5">
      <c r="A5" t="inlineStr">
        <is>
          <t>RIS-2025-004</t>
        </is>
      </c>
      <c r="B5" t="inlineStr">
        <is>
          <t>Pérdida de datos</t>
        </is>
      </c>
      <c r="C5" t="inlineStr">
        <is>
          <t>Riesgo de pérdida de datos en sistemas críticos</t>
        </is>
      </c>
      <c r="D5" t="inlineStr">
        <is>
          <t>ACT-2025-042</t>
        </is>
      </c>
      <c r="E5" t="inlineStr">
        <is>
          <t>Externo</t>
        </is>
      </c>
      <c r="F5" t="n">
        <v>3</v>
      </c>
      <c r="G5" t="n">
        <v>5</v>
      </c>
      <c r="H5" t="n">
        <v>15</v>
      </c>
      <c r="I5" t="inlineStr">
        <is>
          <t>Crítico</t>
        </is>
      </c>
      <c r="J5" t="inlineStr">
        <is>
          <t>A.8.5 - Autenticación segura</t>
        </is>
      </c>
      <c r="K5" t="inlineStr">
        <is>
          <t>Laura Martínez</t>
        </is>
      </c>
      <c r="L5" t="inlineStr">
        <is>
          <t>28/10/2025</t>
        </is>
      </c>
      <c r="M5" t="n">
        <v>2</v>
      </c>
      <c r="N5" t="n">
        <v>4</v>
      </c>
      <c r="O5" t="n">
        <v>8</v>
      </c>
      <c r="P5" t="inlineStr">
        <is>
          <t>Medio</t>
        </is>
      </c>
      <c r="Z5" s="99" t="n"/>
      <c r="AA5" s="108">
        <f>IF(
OR(ISNUMBER(SEARCH("MITM",A5)),ISNUMBER(SEARCH("INTERCEP",A5))),"→ T0830: MITM",
IF(OR(ISNUMBER(SEARCH("MODIFICAR",A5)),ISNUMBER(SEARCH("PROGRAMA",A5))),"→ T0889: Modify Program",
IF(ISNUMBER(SEARCH("FIRMWARE",A5)),"→ T0839: Module Firmware",
IF(ISNUMBER(SEARCH("ALARMA",A5)),"→ T0878: Alarm Suppression",
IF(OR(ISNUMBER(SEARCH("CREDENCIAL",A5)),ISNUMBER(SEARCH("PASSWORD",A5))),"→ T0891: Hardcoded Credentials",
IF(OR(ISNUMBER(SEARCH("PHISHING",A5)),ISNUMBER(SEARCH("CORREO",A5))),"→ T0865: Spearphishing",
IF(OR(ISNUMBER(SEARCH("DISPONIBILIDAD",A5)),ISNUMBER(SEARCH("CAÍDO",A5))),"→ T0826: Loss Availability",
IF(OR(ISNUMBER(SEARCH("CONTROL",A5)),ISNUMBER(SEARCH("DENEGACIÓN",A5))),"→ T0813: Denial of Control",
IF(OR(ISNUMBER(SEARCH("ACCESO REMOTO",A5)),ISNUMBER(SEARCH("VPN",A5))),"→ T0822: Remote Services",
IF(ISNUMBER(SEARCH("EXPLOIT",A5)),"→ T0819: Exploit Public App",
"⚠️ Analizar manualmente"))))))))))</f>
        <v/>
      </c>
      <c r="AC5" s="282" t="inlineStr">
        <is>
          <t>Medio (5-9):</t>
        </is>
      </c>
      <c r="AD5" s="244" t="n"/>
      <c r="AE5" s="245" t="n"/>
    </row>
    <row r="6">
      <c r="A6" t="inlineStr">
        <is>
          <t>RIS-2025-005</t>
        </is>
      </c>
      <c r="B6" t="inlineStr">
        <is>
          <t>Falla de hardware</t>
        </is>
      </c>
      <c r="C6" t="inlineStr">
        <is>
          <t>Riesgo de falla de hardware en sistemas críticos</t>
        </is>
      </c>
      <c r="D6" t="inlineStr">
        <is>
          <t>ACT-2025-047</t>
        </is>
      </c>
      <c r="E6" t="inlineStr">
        <is>
          <t>Humano</t>
        </is>
      </c>
      <c r="F6" t="n">
        <v>4</v>
      </c>
      <c r="G6" t="n">
        <v>3</v>
      </c>
      <c r="H6" t="n">
        <v>12</v>
      </c>
      <c r="I6" t="inlineStr">
        <is>
          <t>Alto</t>
        </is>
      </c>
      <c r="J6" t="inlineStr">
        <is>
          <t>A.5.10 - Uso aceptable de la información</t>
        </is>
      </c>
      <c r="K6" t="inlineStr">
        <is>
          <t>María López</t>
        </is>
      </c>
      <c r="L6" t="inlineStr">
        <is>
          <t>02/07/2025</t>
        </is>
      </c>
      <c r="M6" t="n">
        <v>2</v>
      </c>
      <c r="N6" t="n">
        <v>2</v>
      </c>
      <c r="O6" t="n">
        <v>4</v>
      </c>
      <c r="P6" t="inlineStr">
        <is>
          <t>Bajo</t>
        </is>
      </c>
      <c r="Z6" s="99" t="n"/>
      <c r="AA6" s="108">
        <f>IF(
OR(ISNUMBER(SEARCH("MITM",A6)),ISNUMBER(SEARCH("INTERCEP",A6))),"→ T0830: MITM",
IF(OR(ISNUMBER(SEARCH("MODIFICAR",A6)),ISNUMBER(SEARCH("PROGRAMA",A6))),"→ T0889: Modify Program",
IF(ISNUMBER(SEARCH("FIRMWARE",A6)),"→ T0839: Module Firmware",
IF(ISNUMBER(SEARCH("ALARMA",A6)),"→ T0878: Alarm Suppression",
IF(OR(ISNUMBER(SEARCH("CREDENCIAL",A6)),ISNUMBER(SEARCH("PASSWORD",A6))),"→ T0891: Hardcoded Credentials",
IF(OR(ISNUMBER(SEARCH("PHISHING",A6)),ISNUMBER(SEARCH("CORREO",A6))),"→ T0865: Spearphishing",
IF(OR(ISNUMBER(SEARCH("DISPONIBILIDAD",A6)),ISNUMBER(SEARCH("CAÍDO",A6))),"→ T0826: Loss Availability",
IF(OR(ISNUMBER(SEARCH("CONTROL",A6)),ISNUMBER(SEARCH("DENEGACIÓN",A6))),"→ T0813: Denial of Control",
IF(OR(ISNUMBER(SEARCH("ACCESO REMOTO",A6)),ISNUMBER(SEARCH("VPN",A6))),"→ T0822: Remote Services",
IF(ISNUMBER(SEARCH("EXPLOIT",A6)),"→ T0819: Exploit Public App",
"⚠️ Analizar manualmente"))))))))))</f>
        <v/>
      </c>
      <c r="AC6" s="283" t="inlineStr">
        <is>
          <t>Bajo (1-4):</t>
        </is>
      </c>
      <c r="AD6" s="244" t="n"/>
      <c r="AE6" s="245" t="n"/>
    </row>
    <row r="7">
      <c r="A7" t="inlineStr">
        <is>
          <t>RIS-2025-006</t>
        </is>
      </c>
      <c r="B7" t="inlineStr">
        <is>
          <t>Ataque DDoS</t>
        </is>
      </c>
      <c r="C7" t="inlineStr">
        <is>
          <t>Riesgo de ataque ddos en sistemas críticos</t>
        </is>
      </c>
      <c r="D7" t="inlineStr">
        <is>
          <t>ACT-2025-011</t>
        </is>
      </c>
      <c r="E7" t="inlineStr">
        <is>
          <t>Externo</t>
        </is>
      </c>
      <c r="F7" t="n">
        <v>2</v>
      </c>
      <c r="G7" t="n">
        <v>4</v>
      </c>
      <c r="H7" t="n">
        <v>8</v>
      </c>
      <c r="I7" t="inlineStr">
        <is>
          <t>Medio</t>
        </is>
      </c>
      <c r="J7" t="inlineStr">
        <is>
          <t>A.8.5 - Autenticación segura</t>
        </is>
      </c>
      <c r="K7" t="inlineStr">
        <is>
          <t>Ana Silva</t>
        </is>
      </c>
      <c r="L7" t="inlineStr">
        <is>
          <t>16/10/2025</t>
        </is>
      </c>
      <c r="M7" t="n">
        <v>1</v>
      </c>
      <c r="N7" t="n">
        <v>2</v>
      </c>
      <c r="O7" t="n">
        <v>2</v>
      </c>
      <c r="P7" t="inlineStr">
        <is>
          <t>Bajo</t>
        </is>
      </c>
    </row>
    <row r="8">
      <c r="A8" t="inlineStr">
        <is>
          <t>RIS-2025-007</t>
        </is>
      </c>
      <c r="B8" t="inlineStr">
        <is>
          <t>Falla de energía</t>
        </is>
      </c>
      <c r="C8" t="inlineStr">
        <is>
          <t>Riesgo de falla de energía en sistemas críticos</t>
        </is>
      </c>
      <c r="D8" t="inlineStr">
        <is>
          <t>ACT-2025-033</t>
        </is>
      </c>
      <c r="E8" t="inlineStr">
        <is>
          <t>Externo</t>
        </is>
      </c>
      <c r="F8" t="n">
        <v>4</v>
      </c>
      <c r="G8" t="n">
        <v>3</v>
      </c>
      <c r="H8" t="n">
        <v>12</v>
      </c>
      <c r="I8" t="inlineStr">
        <is>
          <t>Alto</t>
        </is>
      </c>
      <c r="J8" t="inlineStr">
        <is>
          <t>A.8.2 - Derechos de acceso privilegiados</t>
        </is>
      </c>
      <c r="K8" t="inlineStr">
        <is>
          <t>Diego Fernández</t>
        </is>
      </c>
      <c r="L8" t="inlineStr">
        <is>
          <t>19/07/2025</t>
        </is>
      </c>
      <c r="M8" t="n">
        <v>3</v>
      </c>
      <c r="N8" t="n">
        <v>1</v>
      </c>
      <c r="O8" t="n">
        <v>3</v>
      </c>
      <c r="P8" t="inlineStr">
        <is>
          <t>Bajo</t>
        </is>
      </c>
    </row>
    <row r="9">
      <c r="A9" t="inlineStr">
        <is>
          <t>RIS-2025-008</t>
        </is>
      </c>
      <c r="B9" t="inlineStr">
        <is>
          <t>Fuga de información</t>
        </is>
      </c>
      <c r="C9" t="inlineStr">
        <is>
          <t>Riesgo de fuga de información en sistemas críticos</t>
        </is>
      </c>
      <c r="D9" t="inlineStr">
        <is>
          <t>ACT-2025-043</t>
        </is>
      </c>
      <c r="E9" t="inlineStr">
        <is>
          <t>Externo</t>
        </is>
      </c>
      <c r="F9" t="n">
        <v>2</v>
      </c>
      <c r="G9" t="n">
        <v>2</v>
      </c>
      <c r="H9" t="n">
        <v>4</v>
      </c>
      <c r="I9" t="inlineStr">
        <is>
          <t>Bajo</t>
        </is>
      </c>
      <c r="J9" t="inlineStr">
        <is>
          <t>A.8.10 - Borrado de información</t>
        </is>
      </c>
      <c r="K9" t="inlineStr">
        <is>
          <t>Carla Soto</t>
        </is>
      </c>
      <c r="L9" t="inlineStr">
        <is>
          <t>16/08/2025</t>
        </is>
      </c>
      <c r="M9" t="n">
        <v>1</v>
      </c>
      <c r="N9" t="n">
        <v>1</v>
      </c>
      <c r="O9" t="n">
        <v>1</v>
      </c>
      <c r="P9" t="inlineStr">
        <is>
          <t>Bajo</t>
        </is>
      </c>
    </row>
    <row r="10">
      <c r="A10" t="inlineStr">
        <is>
          <t>RIS-2025-009</t>
        </is>
      </c>
      <c r="B10" t="inlineStr">
        <is>
          <t>Error humano</t>
        </is>
      </c>
      <c r="C10" t="inlineStr">
        <is>
          <t>Riesgo de error humano en sistemas críticos</t>
        </is>
      </c>
      <c r="D10" t="inlineStr">
        <is>
          <t>ACT-2025-014</t>
        </is>
      </c>
      <c r="E10" t="inlineStr">
        <is>
          <t>Operacional</t>
        </is>
      </c>
      <c r="F10" t="n">
        <v>5</v>
      </c>
      <c r="G10" t="n">
        <v>2</v>
      </c>
      <c r="H10" t="n">
        <v>10</v>
      </c>
      <c r="I10" t="inlineStr">
        <is>
          <t>Alto</t>
        </is>
      </c>
      <c r="J10" t="inlineStr">
        <is>
          <t>A.8.16 - Actividades de monitoreo</t>
        </is>
      </c>
      <c r="K10" t="inlineStr">
        <is>
          <t>Carlos Rojas</t>
        </is>
      </c>
      <c r="L10" t="inlineStr">
        <is>
          <t>11/08/2025</t>
        </is>
      </c>
      <c r="M10" t="n">
        <v>3</v>
      </c>
      <c r="N10" t="n">
        <v>1</v>
      </c>
      <c r="O10" t="n">
        <v>3</v>
      </c>
      <c r="P10" t="inlineStr">
        <is>
          <t>Bajo</t>
        </is>
      </c>
    </row>
    <row r="11">
      <c r="A11" t="inlineStr">
        <is>
          <t>RIS-2025-010</t>
        </is>
      </c>
      <c r="B11" t="inlineStr">
        <is>
          <t>Falla de energía</t>
        </is>
      </c>
      <c r="C11" t="inlineStr">
        <is>
          <t>Riesgo de falla de energía en sistemas críticos</t>
        </is>
      </c>
      <c r="D11" t="inlineStr">
        <is>
          <t>ACT-2025-026</t>
        </is>
      </c>
      <c r="E11" t="inlineStr">
        <is>
          <t>Externo</t>
        </is>
      </c>
      <c r="F11" t="n">
        <v>4</v>
      </c>
      <c r="G11" t="n">
        <v>2</v>
      </c>
      <c r="H11" t="n">
        <v>8</v>
      </c>
      <c r="I11" t="inlineStr">
        <is>
          <t>Medio</t>
        </is>
      </c>
      <c r="J11" t="inlineStr">
        <is>
          <t>A.8.16 - Actividades de monitoreo</t>
        </is>
      </c>
      <c r="K11" t="inlineStr">
        <is>
          <t>Carla Soto</t>
        </is>
      </c>
      <c r="L11" t="inlineStr">
        <is>
          <t>02/10/2025</t>
        </is>
      </c>
      <c r="M11" t="n">
        <v>3</v>
      </c>
      <c r="N11" t="n">
        <v>1</v>
      </c>
      <c r="O11" t="n">
        <v>3</v>
      </c>
      <c r="P11" t="inlineStr">
        <is>
          <t>Bajo</t>
        </is>
      </c>
    </row>
    <row r="12">
      <c r="A12" t="inlineStr">
        <is>
          <t>RIS-2025-011</t>
        </is>
      </c>
      <c r="B12" t="inlineStr">
        <is>
          <t>Falla de hardware</t>
        </is>
      </c>
      <c r="C12" t="inlineStr">
        <is>
          <t>Riesgo de falla de hardware en sistemas críticos</t>
        </is>
      </c>
      <c r="D12" t="inlineStr">
        <is>
          <t>ACT-2025-021</t>
        </is>
      </c>
      <c r="E12" t="inlineStr">
        <is>
          <t>Operacional</t>
        </is>
      </c>
      <c r="F12" t="n">
        <v>4</v>
      </c>
      <c r="G12" t="n">
        <v>4</v>
      </c>
      <c r="H12" t="n">
        <v>16</v>
      </c>
      <c r="I12" t="inlineStr">
        <is>
          <t>Crítico</t>
        </is>
      </c>
      <c r="J12" t="inlineStr">
        <is>
          <t>A.8.16 - Actividades de monitoreo</t>
        </is>
      </c>
      <c r="K12" t="inlineStr">
        <is>
          <t>Ana Silva</t>
        </is>
      </c>
      <c r="L12" t="inlineStr">
        <is>
          <t>01/07/2025</t>
        </is>
      </c>
      <c r="M12" t="n">
        <v>2</v>
      </c>
      <c r="N12" t="n">
        <v>3</v>
      </c>
      <c r="O12" t="n">
        <v>6</v>
      </c>
      <c r="P12" t="inlineStr">
        <is>
          <t>Medio</t>
        </is>
      </c>
    </row>
    <row r="13">
      <c r="A13" t="inlineStr">
        <is>
          <t>RIS-2025-012</t>
        </is>
      </c>
      <c r="B13" t="inlineStr">
        <is>
          <t>Falla de hardware</t>
        </is>
      </c>
      <c r="C13" t="inlineStr">
        <is>
          <t>Riesgo de falla de hardware en sistemas críticos</t>
        </is>
      </c>
      <c r="D13" t="inlineStr">
        <is>
          <t>ACT-2025-002</t>
        </is>
      </c>
      <c r="E13" t="inlineStr">
        <is>
          <t>Humano</t>
        </is>
      </c>
      <c r="F13" t="n">
        <v>2</v>
      </c>
      <c r="G13" t="n">
        <v>4</v>
      </c>
      <c r="H13" t="n">
        <v>8</v>
      </c>
      <c r="I13" t="inlineStr">
        <is>
          <t>Medio</t>
        </is>
      </c>
      <c r="J13" t="inlineStr">
        <is>
          <t>A.5.2 - Roles y responsabilidades</t>
        </is>
      </c>
      <c r="K13" t="inlineStr">
        <is>
          <t>Pedro González</t>
        </is>
      </c>
      <c r="L13" t="inlineStr">
        <is>
          <t>18/10/2025</t>
        </is>
      </c>
      <c r="M13" t="n">
        <v>1</v>
      </c>
      <c r="N13" t="n">
        <v>3</v>
      </c>
      <c r="O13" t="n">
        <v>3</v>
      </c>
      <c r="P13" t="inlineStr">
        <is>
          <t>Bajo</t>
        </is>
      </c>
    </row>
    <row r="14">
      <c r="A14" t="inlineStr">
        <is>
          <t>RIS-2025-013</t>
        </is>
      </c>
      <c r="B14" t="inlineStr">
        <is>
          <t>Acceso no autorizado</t>
        </is>
      </c>
      <c r="C14" t="inlineStr">
        <is>
          <t>Riesgo de acceso no autorizado en sistemas críticos</t>
        </is>
      </c>
      <c r="D14" t="inlineStr">
        <is>
          <t>ACT-2025-027</t>
        </is>
      </c>
      <c r="E14" t="inlineStr">
        <is>
          <t>Tecnológico</t>
        </is>
      </c>
      <c r="F14" t="n">
        <v>4</v>
      </c>
      <c r="G14" t="n">
        <v>2</v>
      </c>
      <c r="H14" t="n">
        <v>8</v>
      </c>
      <c r="I14" t="inlineStr">
        <is>
          <t>Medio</t>
        </is>
      </c>
      <c r="J14" t="inlineStr">
        <is>
          <t>A.5.1 - Políticas de seguridad</t>
        </is>
      </c>
      <c r="K14" t="inlineStr">
        <is>
          <t>Juan Pérez</t>
        </is>
      </c>
      <c r="L14" t="inlineStr">
        <is>
          <t>12/10/2025</t>
        </is>
      </c>
      <c r="M14" t="n">
        <v>2</v>
      </c>
      <c r="N14" t="n">
        <v>1</v>
      </c>
      <c r="O14" t="n">
        <v>2</v>
      </c>
      <c r="P14" t="inlineStr">
        <is>
          <t>Bajo</t>
        </is>
      </c>
    </row>
    <row r="15">
      <c r="A15" t="inlineStr">
        <is>
          <t>RIS-2025-014</t>
        </is>
      </c>
      <c r="B15" t="inlineStr">
        <is>
          <t>Desastre natural</t>
        </is>
      </c>
      <c r="C15" t="inlineStr">
        <is>
          <t>Riesgo de desastre natural en sistemas críticos</t>
        </is>
      </c>
      <c r="D15" t="inlineStr">
        <is>
          <t>ACT-2025-016</t>
        </is>
      </c>
      <c r="E15" t="inlineStr">
        <is>
          <t>Operacional</t>
        </is>
      </c>
      <c r="F15" t="n">
        <v>3</v>
      </c>
      <c r="G15" t="n">
        <v>4</v>
      </c>
      <c r="H15" t="n">
        <v>12</v>
      </c>
      <c r="I15" t="inlineStr">
        <is>
          <t>Alto</t>
        </is>
      </c>
      <c r="J15" t="inlineStr">
        <is>
          <t>A.5.2 - Roles y responsabilidades</t>
        </is>
      </c>
      <c r="K15" t="inlineStr">
        <is>
          <t>Juan Pérez</t>
        </is>
      </c>
      <c r="L15" t="inlineStr">
        <is>
          <t>21/05/2025</t>
        </is>
      </c>
      <c r="M15" t="n">
        <v>2</v>
      </c>
      <c r="N15" t="n">
        <v>2</v>
      </c>
      <c r="O15" t="n">
        <v>4</v>
      </c>
      <c r="P15" t="inlineStr">
        <is>
          <t>Bajo</t>
        </is>
      </c>
    </row>
    <row r="16">
      <c r="A16" t="inlineStr">
        <is>
          <t>RIS-2025-015</t>
        </is>
      </c>
      <c r="B16" t="inlineStr">
        <is>
          <t>Falla de energía</t>
        </is>
      </c>
      <c r="C16" t="inlineStr">
        <is>
          <t>Riesgo de falla de energía en sistemas críticos</t>
        </is>
      </c>
      <c r="D16" t="inlineStr">
        <is>
          <t>ACT-2025-027</t>
        </is>
      </c>
      <c r="E16" t="inlineStr">
        <is>
          <t>Humano</t>
        </is>
      </c>
      <c r="F16" t="n">
        <v>4</v>
      </c>
      <c r="G16" t="n">
        <v>5</v>
      </c>
      <c r="H16" t="n">
        <v>20</v>
      </c>
      <c r="I16" t="inlineStr">
        <is>
          <t>Crítico</t>
        </is>
      </c>
      <c r="J16" t="inlineStr">
        <is>
          <t>A.8.10 - Borrado de información</t>
        </is>
      </c>
      <c r="K16" t="inlineStr">
        <is>
          <t>Ana Silva</t>
        </is>
      </c>
      <c r="L16" t="inlineStr">
        <is>
          <t>06/10/2025</t>
        </is>
      </c>
      <c r="M16" t="n">
        <v>2</v>
      </c>
      <c r="N16" t="n">
        <v>4</v>
      </c>
      <c r="O16" t="n">
        <v>8</v>
      </c>
      <c r="P16" t="inlineStr">
        <is>
          <t>Medio</t>
        </is>
      </c>
    </row>
    <row r="17">
      <c r="A17" t="inlineStr">
        <is>
          <t>RIS-2025-016</t>
        </is>
      </c>
      <c r="B17" t="inlineStr">
        <is>
          <t>Acceso no autorizado</t>
        </is>
      </c>
      <c r="C17" t="inlineStr">
        <is>
          <t>Riesgo de acceso no autorizado en sistemas críticos</t>
        </is>
      </c>
      <c r="D17" t="inlineStr">
        <is>
          <t>ACT-2025-048</t>
        </is>
      </c>
      <c r="E17" t="inlineStr">
        <is>
          <t>Operacional</t>
        </is>
      </c>
      <c r="F17" t="n">
        <v>2</v>
      </c>
      <c r="G17" t="n">
        <v>3</v>
      </c>
      <c r="H17" t="n">
        <v>6</v>
      </c>
      <c r="I17" t="inlineStr">
        <is>
          <t>Medio</t>
        </is>
      </c>
      <c r="J17" t="inlineStr">
        <is>
          <t>A.5.7 - Inteligencia de amenazas</t>
        </is>
      </c>
      <c r="K17" t="inlineStr">
        <is>
          <t>Ana Silva</t>
        </is>
      </c>
      <c r="L17" t="inlineStr">
        <is>
          <t>19/05/2025</t>
        </is>
      </c>
      <c r="M17" t="n">
        <v>1</v>
      </c>
      <c r="N17" t="n">
        <v>2</v>
      </c>
      <c r="O17" t="n">
        <v>2</v>
      </c>
      <c r="P17" t="inlineStr">
        <is>
          <t>Bajo</t>
        </is>
      </c>
    </row>
    <row r="18">
      <c r="A18" t="inlineStr">
        <is>
          <t>RIS-2025-017</t>
        </is>
      </c>
      <c r="B18" t="inlineStr">
        <is>
          <t>Desastre natural</t>
        </is>
      </c>
      <c r="C18" t="inlineStr">
        <is>
          <t>Riesgo de desastre natural en sistemas críticos</t>
        </is>
      </c>
      <c r="D18" t="inlineStr">
        <is>
          <t>ACT-2025-003</t>
        </is>
      </c>
      <c r="E18" t="inlineStr">
        <is>
          <t>Externo</t>
        </is>
      </c>
      <c r="F18" t="n">
        <v>5</v>
      </c>
      <c r="G18" t="n">
        <v>5</v>
      </c>
      <c r="H18" t="n">
        <v>25</v>
      </c>
      <c r="I18" t="inlineStr">
        <is>
          <t>Crítico</t>
        </is>
      </c>
      <c r="J18" t="inlineStr">
        <is>
          <t>A.8.1 - Dispositivos de usuario final</t>
        </is>
      </c>
      <c r="K18" t="inlineStr">
        <is>
          <t>Carlos Rojas</t>
        </is>
      </c>
      <c r="L18" t="inlineStr">
        <is>
          <t>31/05/2025</t>
        </is>
      </c>
      <c r="M18" t="n">
        <v>4</v>
      </c>
      <c r="N18" t="n">
        <v>3</v>
      </c>
      <c r="O18" t="n">
        <v>12</v>
      </c>
      <c r="P18" t="inlineStr">
        <is>
          <t>Alto</t>
        </is>
      </c>
    </row>
    <row r="19">
      <c r="A19" t="inlineStr">
        <is>
          <t>RIS-2025-018</t>
        </is>
      </c>
      <c r="B19" t="inlineStr">
        <is>
          <t>Ataque DDoS</t>
        </is>
      </c>
      <c r="C19" t="inlineStr">
        <is>
          <t>Riesgo de ataque ddos en sistemas críticos</t>
        </is>
      </c>
      <c r="D19" t="inlineStr">
        <is>
          <t>ACT-2025-036</t>
        </is>
      </c>
      <c r="E19" t="inlineStr">
        <is>
          <t>Operacional</t>
        </is>
      </c>
      <c r="F19" t="n">
        <v>5</v>
      </c>
      <c r="G19" t="n">
        <v>3</v>
      </c>
      <c r="H19" t="n">
        <v>15</v>
      </c>
      <c r="I19" t="inlineStr">
        <is>
          <t>Crítico</t>
        </is>
      </c>
      <c r="J19" t="inlineStr">
        <is>
          <t>A.5.2 - Roles y responsabilidades</t>
        </is>
      </c>
      <c r="K19" t="inlineStr">
        <is>
          <t>Pedro González</t>
        </is>
      </c>
      <c r="L19" t="inlineStr">
        <is>
          <t>30/08/2025</t>
        </is>
      </c>
      <c r="M19" t="n">
        <v>4</v>
      </c>
      <c r="N19" t="n">
        <v>2</v>
      </c>
      <c r="O19" t="n">
        <v>8</v>
      </c>
      <c r="P19" t="inlineStr">
        <is>
          <t>Medio</t>
        </is>
      </c>
    </row>
    <row r="20">
      <c r="A20" t="inlineStr">
        <is>
          <t>RIS-2025-019</t>
        </is>
      </c>
      <c r="B20" t="inlineStr">
        <is>
          <t>Ataque DDoS</t>
        </is>
      </c>
      <c r="C20" t="inlineStr">
        <is>
          <t>Riesgo de ataque ddos en sistemas críticos</t>
        </is>
      </c>
      <c r="D20" t="inlineStr">
        <is>
          <t>ACT-2025-026</t>
        </is>
      </c>
      <c r="E20" t="inlineStr">
        <is>
          <t>Tecnológico</t>
        </is>
      </c>
      <c r="F20" t="n">
        <v>4</v>
      </c>
      <c r="G20" t="n">
        <v>5</v>
      </c>
      <c r="H20" t="n">
        <v>20</v>
      </c>
      <c r="I20" t="inlineStr">
        <is>
          <t>Crítico</t>
        </is>
      </c>
      <c r="J20" t="inlineStr">
        <is>
          <t>A.8.10 - Borrado de información</t>
        </is>
      </c>
      <c r="K20" t="inlineStr">
        <is>
          <t>María López</t>
        </is>
      </c>
      <c r="L20" t="inlineStr">
        <is>
          <t>19/09/2025</t>
        </is>
      </c>
      <c r="M20" t="n">
        <v>2</v>
      </c>
      <c r="N20" t="n">
        <v>3</v>
      </c>
      <c r="O20" t="n">
        <v>6</v>
      </c>
      <c r="P20" t="inlineStr">
        <is>
          <t>Medio</t>
        </is>
      </c>
    </row>
    <row r="21">
      <c r="A21" t="inlineStr">
        <is>
          <t>RIS-2025-020</t>
        </is>
      </c>
      <c r="B21" t="inlineStr">
        <is>
          <t>Falla de hardware</t>
        </is>
      </c>
      <c r="C21" t="inlineStr">
        <is>
          <t>Riesgo de falla de hardware en sistemas críticos</t>
        </is>
      </c>
      <c r="D21" t="inlineStr">
        <is>
          <t>ACT-2025-015</t>
        </is>
      </c>
      <c r="E21" t="inlineStr">
        <is>
          <t>Externo</t>
        </is>
      </c>
      <c r="F21" t="n">
        <v>5</v>
      </c>
      <c r="G21" t="n">
        <v>5</v>
      </c>
      <c r="H21" t="n">
        <v>25</v>
      </c>
      <c r="I21" t="inlineStr">
        <is>
          <t>Crítico</t>
        </is>
      </c>
      <c r="J21" t="inlineStr">
        <is>
          <t>A.5.2 - Roles y responsabilidades</t>
        </is>
      </c>
      <c r="K21" t="inlineStr">
        <is>
          <t>Carlos Rojas</t>
        </is>
      </c>
      <c r="L21" t="inlineStr">
        <is>
          <t>10/10/2025</t>
        </is>
      </c>
      <c r="M21" t="n">
        <v>4</v>
      </c>
      <c r="N21" t="n">
        <v>4</v>
      </c>
      <c r="O21" t="n">
        <v>16</v>
      </c>
      <c r="P21" t="inlineStr">
        <is>
          <t>Crítico</t>
        </is>
      </c>
    </row>
    <row r="22">
      <c r="A22" t="inlineStr">
        <is>
          <t>RIS-2025-021</t>
        </is>
      </c>
      <c r="B22" t="inlineStr">
        <is>
          <t>Falla de hardware</t>
        </is>
      </c>
      <c r="C22" t="inlineStr">
        <is>
          <t>Riesgo de falla de hardware en sistemas críticos</t>
        </is>
      </c>
      <c r="D22" t="inlineStr">
        <is>
          <t>ACT-2025-045</t>
        </is>
      </c>
      <c r="E22" t="inlineStr">
        <is>
          <t>Tecnológico</t>
        </is>
      </c>
      <c r="F22" t="n">
        <v>5</v>
      </c>
      <c r="G22" t="n">
        <v>5</v>
      </c>
      <c r="H22" t="n">
        <v>25</v>
      </c>
      <c r="I22" t="inlineStr">
        <is>
          <t>Crítico</t>
        </is>
      </c>
      <c r="J22" t="inlineStr">
        <is>
          <t>A.5.7 - Inteligencia de amenazas</t>
        </is>
      </c>
      <c r="K22" t="inlineStr">
        <is>
          <t>Diego Fernández</t>
        </is>
      </c>
      <c r="L22" t="inlineStr">
        <is>
          <t>31/08/2025</t>
        </is>
      </c>
      <c r="M22" t="n">
        <v>3</v>
      </c>
      <c r="N22" t="n">
        <v>3</v>
      </c>
      <c r="O22" t="n">
        <v>9</v>
      </c>
      <c r="P22" t="inlineStr">
        <is>
          <t>Medio</t>
        </is>
      </c>
    </row>
    <row r="23">
      <c r="A23" t="inlineStr">
        <is>
          <t>RIS-2025-022</t>
        </is>
      </c>
      <c r="B23" t="inlineStr">
        <is>
          <t>Error humano</t>
        </is>
      </c>
      <c r="C23" t="inlineStr">
        <is>
          <t>Riesgo de error humano en sistemas críticos</t>
        </is>
      </c>
      <c r="D23" t="inlineStr">
        <is>
          <t>ACT-2025-020</t>
        </is>
      </c>
      <c r="E23" t="inlineStr">
        <is>
          <t>Tecnológico</t>
        </is>
      </c>
      <c r="F23" t="n">
        <v>3</v>
      </c>
      <c r="G23" t="n">
        <v>5</v>
      </c>
      <c r="H23" t="n">
        <v>15</v>
      </c>
      <c r="I23" t="inlineStr">
        <is>
          <t>Crítico</t>
        </is>
      </c>
      <c r="J23" t="inlineStr">
        <is>
          <t>A.8.1 - Dispositivos de usuario final</t>
        </is>
      </c>
      <c r="K23" t="inlineStr">
        <is>
          <t>Juan Pérez</t>
        </is>
      </c>
      <c r="L23" t="inlineStr">
        <is>
          <t>20/06/2025</t>
        </is>
      </c>
      <c r="M23" t="n">
        <v>2</v>
      </c>
      <c r="N23" t="n">
        <v>3</v>
      </c>
      <c r="O23" t="n">
        <v>6</v>
      </c>
      <c r="P23" t="inlineStr">
        <is>
          <t>Medio</t>
        </is>
      </c>
    </row>
    <row r="24">
      <c r="A24" t="inlineStr">
        <is>
          <t>RIS-2025-023</t>
        </is>
      </c>
      <c r="B24" t="inlineStr">
        <is>
          <t>Falla de energía</t>
        </is>
      </c>
      <c r="C24" t="inlineStr">
        <is>
          <t>Riesgo de falla de energía en sistemas críticos</t>
        </is>
      </c>
      <c r="D24" t="inlineStr">
        <is>
          <t>ACT-2025-021</t>
        </is>
      </c>
      <c r="E24" t="inlineStr">
        <is>
          <t>Tecnológico</t>
        </is>
      </c>
      <c r="F24" t="n">
        <v>2</v>
      </c>
      <c r="G24" t="n">
        <v>2</v>
      </c>
      <c r="H24" t="n">
        <v>4</v>
      </c>
      <c r="I24" t="inlineStr">
        <is>
          <t>Bajo</t>
        </is>
      </c>
      <c r="J24" t="inlineStr">
        <is>
          <t>A.5.7 - Inteligencia de amenazas</t>
        </is>
      </c>
      <c r="K24" t="inlineStr">
        <is>
          <t>Ana Silva</t>
        </is>
      </c>
      <c r="L24" t="inlineStr">
        <is>
          <t>22/08/2025</t>
        </is>
      </c>
      <c r="M24" t="n">
        <v>1</v>
      </c>
      <c r="N24" t="n">
        <v>1</v>
      </c>
      <c r="O24" t="n">
        <v>1</v>
      </c>
      <c r="P24" t="inlineStr">
        <is>
          <t>Bajo</t>
        </is>
      </c>
    </row>
    <row r="25">
      <c r="A25" t="inlineStr">
        <is>
          <t>RIS-2025-024</t>
        </is>
      </c>
      <c r="B25" t="inlineStr">
        <is>
          <t>Ataque DDoS</t>
        </is>
      </c>
      <c r="C25" t="inlineStr">
        <is>
          <t>Riesgo de ataque ddos en sistemas críticos</t>
        </is>
      </c>
      <c r="D25" t="inlineStr">
        <is>
          <t>ACT-2025-013</t>
        </is>
      </c>
      <c r="E25" t="inlineStr">
        <is>
          <t>Tecnológico</t>
        </is>
      </c>
      <c r="F25" t="n">
        <v>3</v>
      </c>
      <c r="G25" t="n">
        <v>3</v>
      </c>
      <c r="H25" t="n">
        <v>9</v>
      </c>
      <c r="I25" t="inlineStr">
        <is>
          <t>Medio</t>
        </is>
      </c>
      <c r="J25" t="inlineStr">
        <is>
          <t>A.8.10 - Borrado de información</t>
        </is>
      </c>
      <c r="K25" t="inlineStr">
        <is>
          <t>Juan Pérez</t>
        </is>
      </c>
      <c r="L25" t="inlineStr">
        <is>
          <t>21/06/2025</t>
        </is>
      </c>
      <c r="M25" t="n">
        <v>1</v>
      </c>
      <c r="N25" t="n">
        <v>2</v>
      </c>
      <c r="O25" t="n">
        <v>2</v>
      </c>
      <c r="P25" t="inlineStr">
        <is>
          <t>Bajo</t>
        </is>
      </c>
    </row>
    <row r="26">
      <c r="A26" t="inlineStr">
        <is>
          <t>RIS-2025-025</t>
        </is>
      </c>
      <c r="B26" t="inlineStr">
        <is>
          <t>Error humano</t>
        </is>
      </c>
      <c r="C26" t="inlineStr">
        <is>
          <t>Riesgo de error humano en sistemas críticos</t>
        </is>
      </c>
      <c r="D26" t="inlineStr">
        <is>
          <t>ACT-2025-025</t>
        </is>
      </c>
      <c r="E26" t="inlineStr">
        <is>
          <t>Externo</t>
        </is>
      </c>
      <c r="F26" t="n">
        <v>5</v>
      </c>
      <c r="G26" t="n">
        <v>3</v>
      </c>
      <c r="H26" t="n">
        <v>15</v>
      </c>
      <c r="I26" t="inlineStr">
        <is>
          <t>Crítico</t>
        </is>
      </c>
      <c r="J26" t="inlineStr">
        <is>
          <t>A.5.7 - Inteligencia de amenazas</t>
        </is>
      </c>
      <c r="K26" t="inlineStr">
        <is>
          <t>Ana Silva</t>
        </is>
      </c>
      <c r="L26" t="inlineStr">
        <is>
          <t>23/06/2025</t>
        </is>
      </c>
      <c r="M26" t="n">
        <v>4</v>
      </c>
      <c r="N26" t="n">
        <v>2</v>
      </c>
      <c r="O26" t="n">
        <v>8</v>
      </c>
      <c r="P26" t="inlineStr">
        <is>
          <t>Medio</t>
        </is>
      </c>
    </row>
    <row r="27">
      <c r="A27" t="inlineStr">
        <is>
          <t>RIS-2025-026</t>
        </is>
      </c>
      <c r="B27" t="inlineStr">
        <is>
          <t>Fuga de información</t>
        </is>
      </c>
      <c r="C27" t="inlineStr">
        <is>
          <t>Riesgo de fuga de información en sistemas críticos</t>
        </is>
      </c>
      <c r="D27" t="inlineStr">
        <is>
          <t>ACT-2025-013</t>
        </is>
      </c>
      <c r="E27" t="inlineStr">
        <is>
          <t>Externo</t>
        </is>
      </c>
      <c r="F27" t="n">
        <v>2</v>
      </c>
      <c r="G27" t="n">
        <v>5</v>
      </c>
      <c r="H27" t="n">
        <v>10</v>
      </c>
      <c r="I27" t="inlineStr">
        <is>
          <t>Alto</t>
        </is>
      </c>
      <c r="J27" t="inlineStr">
        <is>
          <t>A.8.2 - Derechos de acceso privilegiados</t>
        </is>
      </c>
      <c r="K27" t="inlineStr">
        <is>
          <t>Juan Pérez</t>
        </is>
      </c>
      <c r="L27" t="inlineStr">
        <is>
          <t>15/08/2025</t>
        </is>
      </c>
      <c r="M27" t="n">
        <v>1</v>
      </c>
      <c r="N27" t="n">
        <v>4</v>
      </c>
      <c r="O27" t="n">
        <v>4</v>
      </c>
      <c r="P27" t="inlineStr">
        <is>
          <t>Bajo</t>
        </is>
      </c>
    </row>
    <row r="28">
      <c r="A28" t="inlineStr">
        <is>
          <t>RIS-2025-027</t>
        </is>
      </c>
      <c r="B28" t="inlineStr">
        <is>
          <t>Pérdida de datos</t>
        </is>
      </c>
      <c r="C28" t="inlineStr">
        <is>
          <t>Riesgo de pérdida de datos en sistemas críticos</t>
        </is>
      </c>
      <c r="D28" t="inlineStr">
        <is>
          <t>ACT-2025-042</t>
        </is>
      </c>
      <c r="E28" t="inlineStr">
        <is>
          <t>Tecnológico</t>
        </is>
      </c>
      <c r="F28" t="n">
        <v>5</v>
      </c>
      <c r="G28" t="n">
        <v>4</v>
      </c>
      <c r="H28" t="n">
        <v>20</v>
      </c>
      <c r="I28" t="inlineStr">
        <is>
          <t>Crítico</t>
        </is>
      </c>
      <c r="J28" t="inlineStr">
        <is>
          <t>A.8.2 - Derechos de acceso privilegiados</t>
        </is>
      </c>
      <c r="K28" t="inlineStr">
        <is>
          <t>Diego Fernández</t>
        </is>
      </c>
      <c r="L28" t="inlineStr">
        <is>
          <t>07/09/2025</t>
        </is>
      </c>
      <c r="M28" t="n">
        <v>3</v>
      </c>
      <c r="N28" t="n">
        <v>2</v>
      </c>
      <c r="O28" t="n">
        <v>6</v>
      </c>
      <c r="P28" t="inlineStr">
        <is>
          <t>Medio</t>
        </is>
      </c>
    </row>
    <row r="29">
      <c r="A29" t="inlineStr">
        <is>
          <t>RIS-2025-028</t>
        </is>
      </c>
      <c r="B29" t="inlineStr">
        <is>
          <t>Falla de energía</t>
        </is>
      </c>
      <c r="C29" t="inlineStr">
        <is>
          <t>Riesgo de falla de energía en sistemas críticos</t>
        </is>
      </c>
      <c r="D29" t="inlineStr">
        <is>
          <t>ACT-2025-006</t>
        </is>
      </c>
      <c r="E29" t="inlineStr">
        <is>
          <t>Tecnológico</t>
        </is>
      </c>
      <c r="F29" t="n">
        <v>3</v>
      </c>
      <c r="G29" t="n">
        <v>4</v>
      </c>
      <c r="H29" t="n">
        <v>12</v>
      </c>
      <c r="I29" t="inlineStr">
        <is>
          <t>Alto</t>
        </is>
      </c>
      <c r="J29" t="inlineStr">
        <is>
          <t>A.8.5 - Autenticación segura</t>
        </is>
      </c>
      <c r="K29" t="inlineStr">
        <is>
          <t>María López</t>
        </is>
      </c>
      <c r="L29" t="inlineStr">
        <is>
          <t>22/08/2025</t>
        </is>
      </c>
      <c r="M29" t="n">
        <v>1</v>
      </c>
      <c r="N29" t="n">
        <v>3</v>
      </c>
      <c r="O29" t="n">
        <v>3</v>
      </c>
      <c r="P29" t="inlineStr">
        <is>
          <t>Bajo</t>
        </is>
      </c>
    </row>
    <row r="30">
      <c r="A30" t="inlineStr">
        <is>
          <t>RIS-2025-029</t>
        </is>
      </c>
      <c r="B30" t="inlineStr">
        <is>
          <t>Acceso no autorizado</t>
        </is>
      </c>
      <c r="C30" t="inlineStr">
        <is>
          <t>Riesgo de acceso no autorizado en sistemas críticos</t>
        </is>
      </c>
      <c r="D30" t="inlineStr">
        <is>
          <t>ACT-2025-014</t>
        </is>
      </c>
      <c r="E30" t="inlineStr">
        <is>
          <t>Operacional</t>
        </is>
      </c>
      <c r="F30" t="n">
        <v>5</v>
      </c>
      <c r="G30" t="n">
        <v>5</v>
      </c>
      <c r="H30" t="n">
        <v>25</v>
      </c>
      <c r="I30" t="inlineStr">
        <is>
          <t>Crítico</t>
        </is>
      </c>
      <c r="J30" t="inlineStr">
        <is>
          <t>A.5.1 - Políticas de seguridad</t>
        </is>
      </c>
      <c r="K30" t="inlineStr">
        <is>
          <t>Juan Pérez</t>
        </is>
      </c>
      <c r="L30" t="inlineStr">
        <is>
          <t>07/07/2025</t>
        </is>
      </c>
      <c r="M30" t="n">
        <v>4</v>
      </c>
      <c r="N30" t="n">
        <v>4</v>
      </c>
      <c r="O30" t="n">
        <v>16</v>
      </c>
      <c r="P30" t="inlineStr">
        <is>
          <t>Crítico</t>
        </is>
      </c>
    </row>
    <row r="31">
      <c r="A31" t="inlineStr">
        <is>
          <t>RIS-2025-030</t>
        </is>
      </c>
      <c r="B31" t="inlineStr">
        <is>
          <t>Pérdida de datos</t>
        </is>
      </c>
      <c r="C31" t="inlineStr">
        <is>
          <t>Riesgo de pérdida de datos en sistemas críticos</t>
        </is>
      </c>
      <c r="D31" t="inlineStr">
        <is>
          <t>ACT-2025-018</t>
        </is>
      </c>
      <c r="E31" t="inlineStr">
        <is>
          <t>Tecnológico</t>
        </is>
      </c>
      <c r="F31" t="n">
        <v>3</v>
      </c>
      <c r="G31" t="n">
        <v>2</v>
      </c>
      <c r="H31" t="n">
        <v>6</v>
      </c>
      <c r="I31" t="inlineStr">
        <is>
          <t>Medio</t>
        </is>
      </c>
      <c r="J31" t="inlineStr">
        <is>
          <t>A.8.16 - Actividades de monitoreo</t>
        </is>
      </c>
      <c r="K31" t="inlineStr">
        <is>
          <t>Juan Pérez</t>
        </is>
      </c>
      <c r="L31" t="inlineStr">
        <is>
          <t>12/08/2025</t>
        </is>
      </c>
      <c r="M31" t="n">
        <v>1</v>
      </c>
      <c r="N31" t="n">
        <v>1</v>
      </c>
      <c r="O31" t="n">
        <v>1</v>
      </c>
      <c r="P31" t="inlineStr">
        <is>
          <t>Bajo</t>
        </is>
      </c>
    </row>
  </sheetData>
  <mergeCells count="6">
    <mergeCell ref="AC1:AE1"/>
    <mergeCell ref="A1:W1"/>
    <mergeCell ref="AC5:AE5"/>
    <mergeCell ref="AC3:AE3"/>
    <mergeCell ref="AC4:AE4"/>
    <mergeCell ref="AC6:AE6"/>
  </mergeCells>
  <dataValidations count="4">
    <dataValidation sqref="E4:E386 N4:N386 Q4:Q386 T4:T386" showDropDown="0" showInputMessage="0" showErrorMessage="0" allowBlank="0" type="list">
      <formula1>"Muy Alta,Alta,Media,Baja,Muy Baja"</formula1>
    </dataValidation>
    <dataValidation sqref="F4:F386 I4:K386 R4:R386" showDropDown="0" showInputMessage="0" showErrorMessage="0" allowBlank="0" type="list">
      <formula1>"Muy Alto,Alto,Medio,Bajo,Muy Bajo"</formula1>
    </dataValidation>
    <dataValidation sqref="G4:G386 M4:M386 S4:S386" showDropDown="0" showInputMessage="0" showErrorMessage="0" allowBlank="0" type="list">
      <formula1>"Crítico,Alto,Medio,Bajo"</formula1>
    </dataValidation>
    <dataValidation sqref="H4:H386 W4:W386" showDropDown="0" showInputMessage="0" showErrorMessage="0" allowBlank="0" type="list">
      <formula1>"Abierto,En Proceso,Completado,Cerrado,Cancelado"</formula1>
    </dataValidation>
  </dataValidations>
  <printOptions gridLines="1"/>
  <pageMargins left="0.5" right="0.5" top="0.5" bottom="0.5" header="0.2992125984251969" footer="0.2992125984251969"/>
  <pageSetup orientation="landscape" scale="27" fitToHeight="0"/>
  <headerFooter>
    <oddHeader>&amp;L&amp;"Segoe UI,Bold"&amp;14 Matriz_Riesgos&amp;R&amp;"Segoe UI"&amp;10 Fecha: &amp;D</oddHeader>
    <oddFooter>&amp;L&amp;"Segoe UI"&amp;9 SGSI - ISO 27001:2022&amp;R&amp;"Segoe UI"&amp;9 Página &amp;P de &amp;N</oddFooter>
    <evenHeader/>
    <evenFooter/>
    <firstHeader/>
    <firstFooter/>
  </headerFooter>
  <legacyDrawing xmlns:r="http://schemas.openxmlformats.org/officeDocument/2006/relationships" r:id="anysvml"/>
</worksheet>
</file>

<file path=xl/worksheets/sheet32.xml><?xml version="1.0" encoding="utf-8"?>
<worksheet xmlns="http://schemas.openxmlformats.org/spreadsheetml/2006/main">
  <sheetPr codeName="Hoja25">
    <tabColor rgb="FFC00000"/>
    <outlinePr summaryBelow="1" summaryRight="1"/>
    <pageSetUpPr fitToPage="1"/>
  </sheetPr>
  <dimension ref="A1:L23"/>
  <sheetViews>
    <sheetView showGridLines="0" workbookViewId="0">
      <selection activeCell="A1" sqref="A1:F1"/>
    </sheetView>
  </sheetViews>
  <sheetFormatPr baseColWidth="10" defaultColWidth="9.140625" defaultRowHeight="15"/>
  <cols>
    <col width="15" customWidth="1" style="146" min="1" max="2"/>
    <col width="30" customWidth="1" style="146" min="3" max="3"/>
    <col width="20" customWidth="1" style="146" min="4" max="4"/>
    <col width="12" customWidth="1" style="146" min="5" max="7"/>
    <col width="15" customWidth="1" style="146" min="8" max="8"/>
    <col width="12" customWidth="1" style="146" min="9" max="12"/>
  </cols>
  <sheetData>
    <row r="1" ht="24.95" customHeight="1" s="146">
      <c r="A1" s="242" t="inlineStr">
        <is>
          <t>ANÁLISIS DETALLADO DE RIESGOS</t>
        </is>
      </c>
    </row>
    <row r="3" ht="15.75" customHeight="1" s="146">
      <c r="A3" s="248" t="inlineStr">
        <is>
          <t>🔥 MAPA DE CALOR DE RIESGOS</t>
        </is>
      </c>
    </row>
    <row r="5">
      <c r="A5" s="247" t="inlineStr">
        <is>
          <t>PROBABILIDAD / IMPACTO</t>
        </is>
      </c>
      <c r="C5" s="26" t="inlineStr">
        <is>
          <t>Muy Bajo (1)</t>
        </is>
      </c>
      <c r="D5" s="26" t="inlineStr">
        <is>
          <t>Bajo (2)</t>
        </is>
      </c>
      <c r="E5" s="26" t="inlineStr">
        <is>
          <t>Medio (3)</t>
        </is>
      </c>
      <c r="F5" s="26" t="inlineStr">
        <is>
          <t>Alto (4)</t>
        </is>
      </c>
      <c r="G5" s="26" t="inlineStr">
        <is>
          <t>Muy Alto (5)</t>
        </is>
      </c>
    </row>
    <row r="6" ht="15.75" customHeight="1" s="146">
      <c r="A6" s="284" t="inlineStr">
        <is>
          <t>Muy Alta (5)</t>
        </is>
      </c>
      <c r="B6" s="245" t="n"/>
      <c r="C6" s="28" t="inlineStr">
        <is>
          <t>5</t>
        </is>
      </c>
      <c r="D6" s="29" t="inlineStr">
        <is>
          <t>10</t>
        </is>
      </c>
      <c r="E6" s="30" t="inlineStr">
        <is>
          <t>15</t>
        </is>
      </c>
      <c r="F6" s="30" t="inlineStr">
        <is>
          <t>20</t>
        </is>
      </c>
      <c r="G6" s="31" t="inlineStr">
        <is>
          <t>25</t>
        </is>
      </c>
      <c r="I6" s="252" t="inlineStr">
        <is>
          <t>LEYENDA</t>
        </is>
      </c>
    </row>
    <row r="7" ht="15.75" customHeight="1" s="146">
      <c r="A7" s="284" t="inlineStr">
        <is>
          <t>Alta (4)</t>
        </is>
      </c>
      <c r="B7" s="245" t="n"/>
      <c r="C7" s="32" t="inlineStr">
        <is>
          <t>4</t>
        </is>
      </c>
      <c r="D7" s="28" t="inlineStr">
        <is>
          <t>8</t>
        </is>
      </c>
      <c r="E7" s="29" t="inlineStr">
        <is>
          <t>12</t>
        </is>
      </c>
      <c r="F7" s="30" t="inlineStr">
        <is>
          <t>16</t>
        </is>
      </c>
      <c r="G7" s="30" t="inlineStr">
        <is>
          <t>20</t>
        </is>
      </c>
      <c r="I7" s="285" t="inlineStr">
        <is>
          <t>Crítico</t>
        </is>
      </c>
      <c r="J7" s="244" t="n"/>
      <c r="K7" s="245" t="n"/>
    </row>
    <row r="8" ht="15.75" customHeight="1" s="146">
      <c r="A8" s="284" t="inlineStr">
        <is>
          <t>Media (3)</t>
        </is>
      </c>
      <c r="B8" s="245" t="n"/>
      <c r="C8" s="32" t="inlineStr">
        <is>
          <t>3</t>
        </is>
      </c>
      <c r="D8" s="28" t="inlineStr">
        <is>
          <t>6</t>
        </is>
      </c>
      <c r="E8" s="29" t="inlineStr">
        <is>
          <t>9</t>
        </is>
      </c>
      <c r="F8" s="29" t="inlineStr">
        <is>
          <t>12</t>
        </is>
      </c>
      <c r="G8" s="30" t="inlineStr">
        <is>
          <t>15</t>
        </is>
      </c>
      <c r="I8" s="280" t="inlineStr">
        <is>
          <t>Alto</t>
        </is>
      </c>
      <c r="J8" s="244" t="n"/>
      <c r="K8" s="245" t="n"/>
    </row>
    <row r="9" ht="15.75" customHeight="1" s="146">
      <c r="A9" s="284" t="inlineStr">
        <is>
          <t>Baja (2)</t>
        </is>
      </c>
      <c r="B9" s="245" t="n"/>
      <c r="C9" s="32" t="inlineStr">
        <is>
          <t>2</t>
        </is>
      </c>
      <c r="D9" s="34" t="inlineStr">
        <is>
          <t>4</t>
        </is>
      </c>
      <c r="E9" s="28" t="inlineStr">
        <is>
          <t>6</t>
        </is>
      </c>
      <c r="F9" s="28" t="inlineStr">
        <is>
          <t>8</t>
        </is>
      </c>
      <c r="G9" s="29" t="inlineStr">
        <is>
          <t>10</t>
        </is>
      </c>
      <c r="I9" s="286" t="inlineStr">
        <is>
          <t>Medio-Alto</t>
        </is>
      </c>
      <c r="J9" s="244" t="n"/>
      <c r="K9" s="245" t="n"/>
    </row>
    <row r="10" ht="15.75" customHeight="1" s="146">
      <c r="A10" s="284" t="inlineStr">
        <is>
          <t>Muy Baja (1)</t>
        </is>
      </c>
      <c r="B10" s="245" t="n"/>
      <c r="C10" s="32" t="inlineStr">
        <is>
          <t>1</t>
        </is>
      </c>
      <c r="D10" s="34" t="inlineStr">
        <is>
          <t>2</t>
        </is>
      </c>
      <c r="E10" s="34" t="inlineStr">
        <is>
          <t>3</t>
        </is>
      </c>
      <c r="F10" s="28" t="inlineStr">
        <is>
          <t>4</t>
        </is>
      </c>
      <c r="G10" s="28" t="inlineStr">
        <is>
          <t>5</t>
        </is>
      </c>
      <c r="I10" s="287" t="inlineStr">
        <is>
          <t>Medio</t>
        </is>
      </c>
      <c r="J10" s="244" t="n"/>
      <c r="K10" s="245" t="n"/>
    </row>
    <row r="11">
      <c r="I11" s="288" t="inlineStr">
        <is>
          <t>Bajo</t>
        </is>
      </c>
      <c r="J11" s="244" t="n"/>
      <c r="K11" s="245" t="n"/>
    </row>
    <row r="13" ht="15.75" customHeight="1" s="146">
      <c r="A13" s="248" t="inlineStr">
        <is>
          <t>📈 RESUMEN ESTADÍSTICO</t>
        </is>
      </c>
    </row>
    <row r="15">
      <c r="A15" s="27" t="inlineStr">
        <is>
          <t>Categoría</t>
        </is>
      </c>
      <c r="B15" s="27" t="inlineStr">
        <is>
          <t>Total</t>
        </is>
      </c>
      <c r="C15" s="27" t="inlineStr">
        <is>
          <t>Críticos</t>
        </is>
      </c>
      <c r="D15" s="27" t="inlineStr">
        <is>
          <t>Altos</t>
        </is>
      </c>
      <c r="E15" s="27" t="inlineStr">
        <is>
          <t>Medios</t>
        </is>
      </c>
      <c r="F15" s="27" t="inlineStr">
        <is>
          <t>Bajos</t>
        </is>
      </c>
      <c r="G15" s="27" t="inlineStr">
        <is>
          <t>% Críticos</t>
        </is>
      </c>
      <c r="H15" s="27" t="inlineStr">
        <is>
          <t>% Altos</t>
        </is>
      </c>
      <c r="I15" s="27" t="inlineStr">
        <is>
          <t>Promedio</t>
        </is>
      </c>
    </row>
    <row r="16">
      <c r="A16" s="1" t="inlineStr">
        <is>
          <t>Seguridad de Acceso</t>
        </is>
      </c>
      <c r="B16" s="6" t="inlineStr">
        <is>
          <t>0</t>
        </is>
      </c>
      <c r="C16" s="6" t="inlineStr">
        <is>
          <t>0</t>
        </is>
      </c>
      <c r="D16" s="6" t="inlineStr">
        <is>
          <t>0</t>
        </is>
      </c>
      <c r="E16" s="6" t="inlineStr">
        <is>
          <t>0</t>
        </is>
      </c>
      <c r="F16" s="6" t="inlineStr">
        <is>
          <t>0</t>
        </is>
      </c>
      <c r="G16" s="6" t="inlineStr">
        <is>
          <t>0%</t>
        </is>
      </c>
      <c r="H16" s="6" t="inlineStr">
        <is>
          <t>0%</t>
        </is>
      </c>
      <c r="I16" s="6" t="inlineStr">
        <is>
          <t>0</t>
        </is>
      </c>
    </row>
    <row r="17">
      <c r="A17" s="1" t="inlineStr">
        <is>
          <t>Protección de Datos</t>
        </is>
      </c>
      <c r="B17" s="6" t="inlineStr">
        <is>
          <t>0</t>
        </is>
      </c>
      <c r="C17" s="6" t="inlineStr">
        <is>
          <t>0</t>
        </is>
      </c>
      <c r="D17" s="6" t="inlineStr">
        <is>
          <t>0</t>
        </is>
      </c>
      <c r="E17" s="6" t="inlineStr">
        <is>
          <t>0</t>
        </is>
      </c>
      <c r="F17" s="6" t="inlineStr">
        <is>
          <t>0</t>
        </is>
      </c>
      <c r="G17" s="6" t="inlineStr">
        <is>
          <t>0%</t>
        </is>
      </c>
      <c r="H17" s="6" t="inlineStr">
        <is>
          <t>0%</t>
        </is>
      </c>
      <c r="I17" s="6" t="inlineStr">
        <is>
          <t>0</t>
        </is>
      </c>
    </row>
    <row r="18">
      <c r="A18" s="1" t="inlineStr">
        <is>
          <t>Continuidad de Negocio</t>
        </is>
      </c>
      <c r="B18" s="6" t="inlineStr">
        <is>
          <t>0</t>
        </is>
      </c>
      <c r="C18" s="6" t="inlineStr">
        <is>
          <t>0</t>
        </is>
      </c>
      <c r="D18" s="6" t="inlineStr">
        <is>
          <t>0</t>
        </is>
      </c>
      <c r="E18" s="6" t="inlineStr">
        <is>
          <t>0</t>
        </is>
      </c>
      <c r="F18" s="6" t="inlineStr">
        <is>
          <t>0</t>
        </is>
      </c>
      <c r="G18" s="6" t="inlineStr">
        <is>
          <t>0%</t>
        </is>
      </c>
      <c r="H18" s="6" t="inlineStr">
        <is>
          <t>0%</t>
        </is>
      </c>
      <c r="I18" s="6" t="inlineStr">
        <is>
          <t>0</t>
        </is>
      </c>
    </row>
    <row r="21" ht="15.75" customHeight="1" s="146">
      <c r="A21" s="250" t="inlineStr">
        <is>
          <t>⚠️ TOP 10 RIESGOS CRÍTICOS</t>
        </is>
      </c>
    </row>
    <row r="23">
      <c r="A23" s="35" t="inlineStr">
        <is>
          <t>#</t>
        </is>
      </c>
      <c r="B23" s="35" t="inlineStr">
        <is>
          <t>ID Riesgo</t>
        </is>
      </c>
      <c r="C23" s="35" t="inlineStr">
        <is>
          <t>Nombre</t>
        </is>
      </c>
      <c r="D23" s="35" t="inlineStr">
        <is>
          <t>Activo</t>
        </is>
      </c>
      <c r="E23" s="35" t="inlineStr">
        <is>
          <t>Nivel</t>
        </is>
      </c>
      <c r="F23" s="35" t="inlineStr">
        <is>
          <t>Probabilidad</t>
        </is>
      </c>
      <c r="G23" s="35" t="inlineStr">
        <is>
          <t>Impacto</t>
        </is>
      </c>
      <c r="H23" s="35" t="inlineStr">
        <is>
          <t>Propietario</t>
        </is>
      </c>
      <c r="I23" s="35" t="inlineStr">
        <is>
          <t>Estado</t>
        </is>
      </c>
    </row>
  </sheetData>
  <mergeCells count="16">
    <mergeCell ref="I11:K11"/>
    <mergeCell ref="A21:L21"/>
    <mergeCell ref="I10:K10"/>
    <mergeCell ref="A7:B7"/>
    <mergeCell ref="A1:L1"/>
    <mergeCell ref="I9:K9"/>
    <mergeCell ref="A10:B10"/>
    <mergeCell ref="A5:B5"/>
    <mergeCell ref="A13:L13"/>
    <mergeCell ref="I8:K8"/>
    <mergeCell ref="A9:B9"/>
    <mergeCell ref="A3:L3"/>
    <mergeCell ref="A8:B8"/>
    <mergeCell ref="A6:B6"/>
    <mergeCell ref="I7:K7"/>
    <mergeCell ref="I6:K6"/>
  </mergeCells>
  <printOptions gridLines="1"/>
  <pageMargins left="0.5" right="0.5" top="0.5" bottom="0.5" header="0.2992125984251969" footer="0.2992125984251969"/>
  <pageSetup orientation="landscape" scale="70" fitToHeight="0"/>
  <headerFooter>
    <oddHeader>&amp;L&amp;"Segoe UI,Bold"&amp;14 Analisis_Riesgos&amp;R&amp;"Segoe UI"&amp;10 Fecha: &amp;D</oddHeader>
    <oddFooter>&amp;L&amp;"Segoe UI"&amp;9 SGSI - ISO 27001:2022&amp;R&amp;"Segoe UI"&amp;9 Página &amp;P de &amp;N</oddFooter>
    <evenHeader/>
    <evenFooter/>
    <firstHeader/>
    <firstFooter/>
  </headerFooter>
</worksheet>
</file>

<file path=xl/worksheets/sheet33.xml><?xml version="1.0" encoding="utf-8"?>
<worksheet xmlns="http://schemas.openxmlformats.org/spreadsheetml/2006/main">
  <sheetPr codeName="Hoja26">
    <tabColor rgb="FF009900"/>
    <outlinePr summaryBelow="1" summaryRight="1"/>
    <pageSetUpPr fitToPage="1"/>
  </sheetPr>
  <dimension ref="A1:Q50"/>
  <sheetViews>
    <sheetView showGridLines="0" workbookViewId="0">
      <selection activeCell="A1" sqref="A1:F1"/>
    </sheetView>
  </sheetViews>
  <sheetFormatPr baseColWidth="10" defaultColWidth="9.140625" defaultRowHeight="15"/>
  <cols>
    <col width="15" customWidth="1" style="146" min="1" max="1"/>
    <col width="12" customWidth="1" style="146" min="2" max="2"/>
    <col width="25" customWidth="1" style="146" min="3" max="3"/>
    <col width="12" customWidth="1" style="146" min="4" max="4"/>
    <col width="15" customWidth="1" style="146" min="5" max="5"/>
    <col width="35" customWidth="1" style="146" min="6" max="6"/>
    <col width="15" customWidth="1" style="146" min="7" max="8"/>
    <col width="12" customWidth="1" style="146" min="9" max="11"/>
    <col width="10" customWidth="1" style="146" min="12" max="12"/>
    <col width="12" customWidth="1" style="146" min="13" max="15"/>
    <col width="30" customWidth="1" style="146" min="16" max="16"/>
    <col width="20" customWidth="1" style="146" min="17" max="17"/>
  </cols>
  <sheetData>
    <row r="1" ht="24.95" customHeight="1" s="146">
      <c r="A1" s="256" t="inlineStr">
        <is>
          <t>PLAN DE TRATAMIENTO DE RIESGOS</t>
        </is>
      </c>
    </row>
    <row r="2">
      <c r="A2" t="inlineStr">
        <is>
          <t>TRT-2025-001</t>
        </is>
      </c>
      <c r="B2" t="inlineStr">
        <is>
          <t>RIS-2025-017</t>
        </is>
      </c>
      <c r="C2" t="inlineStr">
        <is>
          <t>Mitigar</t>
        </is>
      </c>
      <c r="D2" t="inlineStr">
        <is>
          <t>Implementar controles para mitigar el riesgo identificado</t>
        </is>
      </c>
      <c r="E2" t="inlineStr">
        <is>
          <t>A.8.5 - Autenticación segura</t>
        </is>
      </c>
      <c r="F2" t="inlineStr">
        <is>
          <t>Laura Martínez</t>
        </is>
      </c>
      <c r="G2" t="inlineStr">
        <is>
          <t>29/09/2025</t>
        </is>
      </c>
      <c r="H2" t="inlineStr">
        <is>
          <t>16/11/2025</t>
        </is>
      </c>
      <c r="I2" t="inlineStr">
        <is>
          <t>Planificado</t>
        </is>
      </c>
      <c r="J2" t="n">
        <v>0</v>
      </c>
      <c r="K2" t="n">
        <v>6944</v>
      </c>
      <c r="L2" t="inlineStr">
        <is>
          <t>Baja</t>
        </is>
      </c>
      <c r="M2" t="inlineStr">
        <is>
          <t>Tratamiento en seguimiento continuo</t>
        </is>
      </c>
    </row>
    <row r="3" ht="35.1" customHeight="1" s="146">
      <c r="A3" s="83" t="inlineStr">
        <is>
          <t>TRT-2025-002</t>
        </is>
      </c>
      <c r="B3" s="83" t="inlineStr">
        <is>
          <t>RIS-2025-016</t>
        </is>
      </c>
      <c r="C3" s="83" t="inlineStr">
        <is>
          <t>Aceptar</t>
        </is>
      </c>
      <c r="D3" s="83" t="inlineStr">
        <is>
          <t>Implementar controles para mitigar el riesgo identificado</t>
        </is>
      </c>
      <c r="E3" s="83" t="inlineStr">
        <is>
          <t>A.8.3 - Restricción de acceso a la información</t>
        </is>
      </c>
      <c r="F3" s="83" t="inlineStr">
        <is>
          <t>María López</t>
        </is>
      </c>
      <c r="G3" s="83" t="inlineStr">
        <is>
          <t>20/09/2025</t>
        </is>
      </c>
      <c r="H3" s="36" t="inlineStr">
        <is>
          <t>31/01/2026</t>
        </is>
      </c>
      <c r="I3" s="36" t="inlineStr">
        <is>
          <t>Cerrado</t>
        </is>
      </c>
      <c r="J3" s="36" t="n">
        <v>100</v>
      </c>
      <c r="K3" s="36" t="n">
        <v>30231</v>
      </c>
      <c r="L3" s="36" t="inlineStr">
        <is>
          <t>Baja</t>
        </is>
      </c>
      <c r="M3" s="36" t="inlineStr">
        <is>
          <t>Tratamiento en seguimiento continuo</t>
        </is>
      </c>
      <c r="N3" s="36" t="inlineStr">
        <is>
          <t>Costo Real</t>
        </is>
      </c>
      <c r="O3" s="36" t="inlineStr">
        <is>
          <t>Nivel Esperado</t>
        </is>
      </c>
      <c r="P3" s="36" t="inlineStr">
        <is>
          <t>Observaciones</t>
        </is>
      </c>
      <c r="Q3" s="95" t="inlineStr">
        <is>
          <t>Mitigación MITRE</t>
        </is>
      </c>
    </row>
    <row r="4" ht="30" customHeight="1" s="146">
      <c r="A4" s="20" t="inlineStr">
        <is>
          <t>TRT-2025-003</t>
        </is>
      </c>
      <c r="B4" s="20" t="inlineStr">
        <is>
          <t>RIS-2025-008</t>
        </is>
      </c>
      <c r="C4" s="20" t="inlineStr">
        <is>
          <t>Aceptar</t>
        </is>
      </c>
      <c r="D4" s="21" t="inlineStr">
        <is>
          <t>Implementar controles para mitigar el riesgo identificado</t>
        </is>
      </c>
      <c r="E4" s="20" t="inlineStr">
        <is>
          <t>A.5.1 - Políticas de seguridad</t>
        </is>
      </c>
      <c r="F4" s="20" t="inlineStr">
        <is>
          <t>María López</t>
        </is>
      </c>
      <c r="G4" s="20" t="inlineStr">
        <is>
          <t>02/10/2025</t>
        </is>
      </c>
      <c r="H4" s="20" t="inlineStr">
        <is>
          <t>12/02/2026</t>
        </is>
      </c>
      <c r="I4" s="20" t="inlineStr">
        <is>
          <t>En Proceso</t>
        </is>
      </c>
      <c r="J4" s="20" t="n">
        <v>21</v>
      </c>
      <c r="K4" s="22" t="n">
        <v>21827</v>
      </c>
      <c r="L4" s="37" t="inlineStr">
        <is>
          <t>Baja</t>
        </is>
      </c>
      <c r="M4" s="20" t="inlineStr">
        <is>
          <t>Tratamiento en seguimiento continuo</t>
        </is>
      </c>
      <c r="N4" s="20" t="inlineStr">
        <is>
          <t>2250€</t>
        </is>
      </c>
      <c r="O4" s="22" t="inlineStr">
        <is>
          <t>Medio</t>
        </is>
      </c>
      <c r="P4" s="20" t="inlineStr">
        <is>
          <t>En fase de pruebas</t>
        </is>
      </c>
    </row>
    <row r="5">
      <c r="A5" t="inlineStr">
        <is>
          <t>TRT-2025-004</t>
        </is>
      </c>
      <c r="B5" t="inlineStr">
        <is>
          <t>RIS-2025-004</t>
        </is>
      </c>
      <c r="C5" t="inlineStr">
        <is>
          <t>Transferir</t>
        </is>
      </c>
      <c r="D5" t="inlineStr">
        <is>
          <t>Implementar controles para mitigar el riesgo identificado</t>
        </is>
      </c>
      <c r="E5" t="inlineStr">
        <is>
          <t>A.5.10 - Uso aceptable de la información</t>
        </is>
      </c>
      <c r="F5" t="inlineStr">
        <is>
          <t>Carlos Rojas</t>
        </is>
      </c>
      <c r="G5" t="inlineStr">
        <is>
          <t>03/10/2025</t>
        </is>
      </c>
      <c r="H5" t="inlineStr">
        <is>
          <t>23/02/2026</t>
        </is>
      </c>
      <c r="I5" t="inlineStr">
        <is>
          <t>En Proceso</t>
        </is>
      </c>
      <c r="J5" t="n">
        <v>35</v>
      </c>
      <c r="K5" t="n">
        <v>3206</v>
      </c>
      <c r="L5" t="inlineStr">
        <is>
          <t>Media</t>
        </is>
      </c>
      <c r="M5" t="inlineStr">
        <is>
          <t>Tratamiento en seguimiento continuo</t>
        </is>
      </c>
    </row>
    <row r="6">
      <c r="A6" t="inlineStr">
        <is>
          <t>TRT-2025-005</t>
        </is>
      </c>
      <c r="B6" t="inlineStr">
        <is>
          <t>RIS-2025-003</t>
        </is>
      </c>
      <c r="C6" t="inlineStr">
        <is>
          <t>Mitigar</t>
        </is>
      </c>
      <c r="D6" t="inlineStr">
        <is>
          <t>Implementar controles para mitigar el riesgo identificado</t>
        </is>
      </c>
      <c r="E6" t="inlineStr">
        <is>
          <t>A.8.2 - Derechos de acceso privilegiados</t>
        </is>
      </c>
      <c r="F6" t="inlineStr">
        <is>
          <t>Pedro González</t>
        </is>
      </c>
      <c r="G6" t="inlineStr">
        <is>
          <t>20/08/2025</t>
        </is>
      </c>
      <c r="H6" t="inlineStr">
        <is>
          <t>05/11/2025</t>
        </is>
      </c>
      <c r="I6" t="inlineStr">
        <is>
          <t>Planificado</t>
        </is>
      </c>
      <c r="J6" t="n">
        <v>0</v>
      </c>
      <c r="K6" t="n">
        <v>20354</v>
      </c>
      <c r="L6" t="inlineStr">
        <is>
          <t>Baja</t>
        </is>
      </c>
      <c r="M6" t="inlineStr">
        <is>
          <t>Tratamiento en seguimiento continuo</t>
        </is>
      </c>
    </row>
    <row r="7">
      <c r="A7" t="inlineStr">
        <is>
          <t>TRT-2025-006</t>
        </is>
      </c>
      <c r="B7" t="inlineStr">
        <is>
          <t>RIS-2025-013</t>
        </is>
      </c>
      <c r="C7" t="inlineStr">
        <is>
          <t>Evitar</t>
        </is>
      </c>
      <c r="D7" t="inlineStr">
        <is>
          <t>Implementar controles para mitigar el riesgo identificado</t>
        </is>
      </c>
      <c r="E7" t="inlineStr">
        <is>
          <t>A.5.1 - Políticas de seguridad</t>
        </is>
      </c>
      <c r="F7" t="inlineStr">
        <is>
          <t>Pedro González</t>
        </is>
      </c>
      <c r="G7" t="inlineStr">
        <is>
          <t>08/09/2025</t>
        </is>
      </c>
      <c r="H7" t="inlineStr">
        <is>
          <t>02/01/2026</t>
        </is>
      </c>
      <c r="I7" t="inlineStr">
        <is>
          <t>Verificado</t>
        </is>
      </c>
      <c r="J7" t="n">
        <v>100</v>
      </c>
      <c r="K7" t="n">
        <v>49708</v>
      </c>
      <c r="L7" t="inlineStr">
        <is>
          <t>Baja</t>
        </is>
      </c>
      <c r="M7" t="inlineStr">
        <is>
          <t>Tratamiento en seguimiento continuo</t>
        </is>
      </c>
    </row>
    <row r="8">
      <c r="A8" t="inlineStr">
        <is>
          <t>TRT-2025-007</t>
        </is>
      </c>
      <c r="B8" t="inlineStr">
        <is>
          <t>RIS-2025-018</t>
        </is>
      </c>
      <c r="C8" t="inlineStr">
        <is>
          <t>Transferir</t>
        </is>
      </c>
      <c r="D8" t="inlineStr">
        <is>
          <t>Implementar controles para mitigar el riesgo identificado</t>
        </is>
      </c>
      <c r="E8" t="inlineStr">
        <is>
          <t>A.8.10 - Borrado de información</t>
        </is>
      </c>
      <c r="F8" t="inlineStr">
        <is>
          <t>Ana Silva</t>
        </is>
      </c>
      <c r="G8" t="inlineStr">
        <is>
          <t>13/09/2025</t>
        </is>
      </c>
      <c r="H8" t="inlineStr">
        <is>
          <t>29/12/2025</t>
        </is>
      </c>
      <c r="I8" t="inlineStr">
        <is>
          <t>Cerrado</t>
        </is>
      </c>
      <c r="J8" t="n">
        <v>100</v>
      </c>
      <c r="K8" t="n">
        <v>12278</v>
      </c>
      <c r="L8" t="inlineStr">
        <is>
          <t>Baja</t>
        </is>
      </c>
      <c r="M8" t="inlineStr">
        <is>
          <t>Tratamiento en seguimiento continuo</t>
        </is>
      </c>
    </row>
    <row r="9">
      <c r="A9" t="inlineStr">
        <is>
          <t>TRT-2025-008</t>
        </is>
      </c>
      <c r="B9" t="inlineStr">
        <is>
          <t>RIS-2025-028</t>
        </is>
      </c>
      <c r="C9" t="inlineStr">
        <is>
          <t>Aceptar</t>
        </is>
      </c>
      <c r="D9" t="inlineStr">
        <is>
          <t>Implementar controles para mitigar el riesgo identificado</t>
        </is>
      </c>
      <c r="E9" t="inlineStr">
        <is>
          <t>A.8.5 - Autenticación segura</t>
        </is>
      </c>
      <c r="F9" t="inlineStr">
        <is>
          <t>Laura Martínez</t>
        </is>
      </c>
      <c r="G9" t="inlineStr">
        <is>
          <t>07/11/2025</t>
        </is>
      </c>
      <c r="H9" t="inlineStr">
        <is>
          <t>19/01/2026</t>
        </is>
      </c>
      <c r="I9" t="inlineStr">
        <is>
          <t>Implementado</t>
        </is>
      </c>
      <c r="J9" t="n">
        <v>82</v>
      </c>
      <c r="K9" t="n">
        <v>33489</v>
      </c>
      <c r="L9" t="inlineStr">
        <is>
          <t>Alta</t>
        </is>
      </c>
      <c r="M9" t="inlineStr">
        <is>
          <t>Tratamiento en seguimiento continuo</t>
        </is>
      </c>
    </row>
    <row r="10">
      <c r="A10" t="inlineStr">
        <is>
          <t>TRT-2025-009</t>
        </is>
      </c>
      <c r="B10" t="inlineStr">
        <is>
          <t>RIS-2025-007</t>
        </is>
      </c>
      <c r="C10" t="inlineStr">
        <is>
          <t>Mitigar</t>
        </is>
      </c>
      <c r="D10" t="inlineStr">
        <is>
          <t>Implementar controles para mitigar el riesgo identificado</t>
        </is>
      </c>
      <c r="E10" t="inlineStr">
        <is>
          <t>A.5.10 - Uso aceptable de la información</t>
        </is>
      </c>
      <c r="F10" t="inlineStr">
        <is>
          <t>Carlos Rojas</t>
        </is>
      </c>
      <c r="G10" t="inlineStr">
        <is>
          <t>30/09/2025</t>
        </is>
      </c>
      <c r="H10" t="inlineStr">
        <is>
          <t>15/11/2025</t>
        </is>
      </c>
      <c r="I10" t="inlineStr">
        <is>
          <t>Verificado</t>
        </is>
      </c>
      <c r="J10" t="n">
        <v>100</v>
      </c>
      <c r="K10" t="n">
        <v>46877</v>
      </c>
      <c r="L10" t="inlineStr">
        <is>
          <t>Alta</t>
        </is>
      </c>
      <c r="M10" t="inlineStr">
        <is>
          <t>Tratamiento en seguimiento continuo</t>
        </is>
      </c>
    </row>
    <row r="11">
      <c r="A11" t="inlineStr">
        <is>
          <t>TRT-2025-010</t>
        </is>
      </c>
      <c r="B11" t="inlineStr">
        <is>
          <t>RIS-2025-004</t>
        </is>
      </c>
      <c r="C11" t="inlineStr">
        <is>
          <t>Transferir</t>
        </is>
      </c>
      <c r="D11" t="inlineStr">
        <is>
          <t>Implementar controles para mitigar el riesgo identificado</t>
        </is>
      </c>
      <c r="E11" t="inlineStr">
        <is>
          <t>A.8.10 - Borrado de información</t>
        </is>
      </c>
      <c r="F11" t="inlineStr">
        <is>
          <t>Juan Pérez</t>
        </is>
      </c>
      <c r="G11" t="inlineStr">
        <is>
          <t>11/11/2025</t>
        </is>
      </c>
      <c r="H11" t="inlineStr">
        <is>
          <t>08/01/2026</t>
        </is>
      </c>
      <c r="I11" t="inlineStr">
        <is>
          <t>Implementado</t>
        </is>
      </c>
      <c r="J11" t="n">
        <v>86</v>
      </c>
      <c r="K11" t="n">
        <v>43411</v>
      </c>
      <c r="L11" t="inlineStr">
        <is>
          <t>Media</t>
        </is>
      </c>
      <c r="M11" t="inlineStr">
        <is>
          <t>Tratamiento en seguimiento continuo</t>
        </is>
      </c>
    </row>
    <row r="12">
      <c r="A12" t="inlineStr">
        <is>
          <t>TRT-2025-011</t>
        </is>
      </c>
      <c r="B12" t="inlineStr">
        <is>
          <t>RIS-2025-024</t>
        </is>
      </c>
      <c r="C12" t="inlineStr">
        <is>
          <t>Transferir</t>
        </is>
      </c>
      <c r="D12" t="inlineStr">
        <is>
          <t>Implementar controles para mitigar el riesgo identificado</t>
        </is>
      </c>
      <c r="E12" t="inlineStr">
        <is>
          <t>A.8.5 - Autenticación segura</t>
        </is>
      </c>
      <c r="F12" t="inlineStr">
        <is>
          <t>Ana Silva</t>
        </is>
      </c>
      <c r="G12" t="inlineStr">
        <is>
          <t>09/09/2025</t>
        </is>
      </c>
      <c r="H12" t="inlineStr">
        <is>
          <t>19/12/2025</t>
        </is>
      </c>
      <c r="I12" t="inlineStr">
        <is>
          <t>Implementado</t>
        </is>
      </c>
      <c r="J12" t="n">
        <v>92</v>
      </c>
      <c r="K12" t="n">
        <v>20002</v>
      </c>
      <c r="L12" t="inlineStr">
        <is>
          <t>Alta</t>
        </is>
      </c>
      <c r="M12" t="inlineStr">
        <is>
          <t>Tratamiento en seguimiento continuo</t>
        </is>
      </c>
    </row>
    <row r="13">
      <c r="A13" t="inlineStr">
        <is>
          <t>TRT-2025-012</t>
        </is>
      </c>
      <c r="B13" t="inlineStr">
        <is>
          <t>RIS-2025-001</t>
        </is>
      </c>
      <c r="C13" t="inlineStr">
        <is>
          <t>Evitar</t>
        </is>
      </c>
      <c r="D13" t="inlineStr">
        <is>
          <t>Implementar controles para mitigar el riesgo identificado</t>
        </is>
      </c>
      <c r="E13" t="inlineStr">
        <is>
          <t>A.8.2 - Derechos de acceso privilegiados</t>
        </is>
      </c>
      <c r="F13" t="inlineStr">
        <is>
          <t>María López</t>
        </is>
      </c>
      <c r="G13" t="inlineStr">
        <is>
          <t>14/10/2025</t>
        </is>
      </c>
      <c r="H13" t="inlineStr">
        <is>
          <t>21/01/2026</t>
        </is>
      </c>
      <c r="I13" t="inlineStr">
        <is>
          <t>En Proceso</t>
        </is>
      </c>
      <c r="J13" t="n">
        <v>64</v>
      </c>
      <c r="K13" t="n">
        <v>15596</v>
      </c>
      <c r="L13" t="inlineStr">
        <is>
          <t>Baja</t>
        </is>
      </c>
      <c r="M13" t="inlineStr">
        <is>
          <t>Tratamiento en seguimiento continuo</t>
        </is>
      </c>
    </row>
    <row r="14">
      <c r="A14" t="inlineStr">
        <is>
          <t>TRT-2025-013</t>
        </is>
      </c>
      <c r="B14" t="inlineStr">
        <is>
          <t>RIS-2025-002</t>
        </is>
      </c>
      <c r="C14" t="inlineStr">
        <is>
          <t>Transferir</t>
        </is>
      </c>
      <c r="D14" t="inlineStr">
        <is>
          <t>Implementar controles para mitigar el riesgo identificado</t>
        </is>
      </c>
      <c r="E14" t="inlineStr">
        <is>
          <t>A.5.2 - Roles y responsabilidades</t>
        </is>
      </c>
      <c r="F14" t="inlineStr">
        <is>
          <t>María López</t>
        </is>
      </c>
      <c r="G14" t="inlineStr">
        <is>
          <t>08/11/2025</t>
        </is>
      </c>
      <c r="H14" t="inlineStr">
        <is>
          <t>19/04/2026</t>
        </is>
      </c>
      <c r="I14" t="inlineStr">
        <is>
          <t>Planificado</t>
        </is>
      </c>
      <c r="J14" t="n">
        <v>0</v>
      </c>
      <c r="K14" t="n">
        <v>39645</v>
      </c>
      <c r="L14" t="inlineStr">
        <is>
          <t>Media</t>
        </is>
      </c>
      <c r="M14" t="inlineStr">
        <is>
          <t>Tratamiento en seguimiento continuo</t>
        </is>
      </c>
    </row>
    <row r="15">
      <c r="A15" t="inlineStr">
        <is>
          <t>TRT-2025-014</t>
        </is>
      </c>
      <c r="B15" t="inlineStr">
        <is>
          <t>RIS-2025-010</t>
        </is>
      </c>
      <c r="C15" t="inlineStr">
        <is>
          <t>Mitigar</t>
        </is>
      </c>
      <c r="D15" t="inlineStr">
        <is>
          <t>Implementar controles para mitigar el riesgo identificado</t>
        </is>
      </c>
      <c r="E15" t="inlineStr">
        <is>
          <t>A.8.5 - Autenticación segura</t>
        </is>
      </c>
      <c r="F15" t="inlineStr">
        <is>
          <t>Carlos Rojas</t>
        </is>
      </c>
      <c r="G15" t="inlineStr">
        <is>
          <t>11/10/2025</t>
        </is>
      </c>
      <c r="H15" t="inlineStr">
        <is>
          <t>15/01/2026</t>
        </is>
      </c>
      <c r="I15" t="inlineStr">
        <is>
          <t>En Proceso</t>
        </is>
      </c>
      <c r="J15" t="n">
        <v>66</v>
      </c>
      <c r="K15" t="n">
        <v>27649</v>
      </c>
      <c r="L15" t="inlineStr">
        <is>
          <t>Alta</t>
        </is>
      </c>
      <c r="M15" t="inlineStr">
        <is>
          <t>Tratamiento en seguimiento continuo</t>
        </is>
      </c>
    </row>
    <row r="16">
      <c r="A16" t="inlineStr">
        <is>
          <t>TRT-2025-015</t>
        </is>
      </c>
      <c r="B16" t="inlineStr">
        <is>
          <t>RIS-2025-030</t>
        </is>
      </c>
      <c r="C16" t="inlineStr">
        <is>
          <t>Mitigar</t>
        </is>
      </c>
      <c r="D16" t="inlineStr">
        <is>
          <t>Implementar controles para mitigar el riesgo identificado</t>
        </is>
      </c>
      <c r="E16" t="inlineStr">
        <is>
          <t>A.5.10 - Uso aceptable de la información</t>
        </is>
      </c>
      <c r="F16" t="inlineStr">
        <is>
          <t>María López</t>
        </is>
      </c>
      <c r="G16" t="inlineStr">
        <is>
          <t>27/08/2025</t>
        </is>
      </c>
      <c r="H16" t="inlineStr">
        <is>
          <t>04/01/2026</t>
        </is>
      </c>
      <c r="I16" t="inlineStr">
        <is>
          <t>En Proceso</t>
        </is>
      </c>
      <c r="J16" t="n">
        <v>24</v>
      </c>
      <c r="K16" t="n">
        <v>48876</v>
      </c>
      <c r="L16" t="inlineStr">
        <is>
          <t>Media</t>
        </is>
      </c>
      <c r="M16" t="inlineStr">
        <is>
          <t>Tratamiento en seguimiento continuo</t>
        </is>
      </c>
    </row>
    <row r="17">
      <c r="A17" t="inlineStr">
        <is>
          <t>TRT-2025-016</t>
        </is>
      </c>
      <c r="B17" t="inlineStr">
        <is>
          <t>RIS-2025-019</t>
        </is>
      </c>
      <c r="C17" t="inlineStr">
        <is>
          <t>Mitigar</t>
        </is>
      </c>
      <c r="D17" t="inlineStr">
        <is>
          <t>Implementar controles para mitigar el riesgo identificado</t>
        </is>
      </c>
      <c r="E17" t="inlineStr">
        <is>
          <t>A.5.2 - Roles y responsabilidades</t>
        </is>
      </c>
      <c r="F17" t="inlineStr">
        <is>
          <t>Ana Silva</t>
        </is>
      </c>
      <c r="G17" t="inlineStr">
        <is>
          <t>19/10/2025</t>
        </is>
      </c>
      <c r="H17" t="inlineStr">
        <is>
          <t>01/01/2026</t>
        </is>
      </c>
      <c r="I17" t="inlineStr">
        <is>
          <t>En Proceso</t>
        </is>
      </c>
      <c r="J17" t="n">
        <v>11</v>
      </c>
      <c r="K17" t="n">
        <v>28097</v>
      </c>
      <c r="L17" t="inlineStr">
        <is>
          <t>Alta</t>
        </is>
      </c>
      <c r="M17" t="inlineStr">
        <is>
          <t>Tratamiento en seguimiento continuo</t>
        </is>
      </c>
    </row>
    <row r="18">
      <c r="A18" t="inlineStr">
        <is>
          <t>TRT-2025-017</t>
        </is>
      </c>
      <c r="B18" t="inlineStr">
        <is>
          <t>RIS-2025-013</t>
        </is>
      </c>
      <c r="C18" t="inlineStr">
        <is>
          <t>Aceptar</t>
        </is>
      </c>
      <c r="D18" t="inlineStr">
        <is>
          <t>Implementar controles para mitigar el riesgo identificado</t>
        </is>
      </c>
      <c r="E18" t="inlineStr">
        <is>
          <t>A.5.10 - Uso aceptable de la información</t>
        </is>
      </c>
      <c r="F18" t="inlineStr">
        <is>
          <t>Juan Pérez</t>
        </is>
      </c>
      <c r="G18" t="inlineStr">
        <is>
          <t>21/08/2025</t>
        </is>
      </c>
      <c r="H18" t="inlineStr">
        <is>
          <t>07/10/2025</t>
        </is>
      </c>
      <c r="I18" t="inlineStr">
        <is>
          <t>Planificado</t>
        </is>
      </c>
      <c r="J18" t="n">
        <v>0</v>
      </c>
      <c r="K18" t="n">
        <v>7330</v>
      </c>
      <c r="L18" t="inlineStr">
        <is>
          <t>Baja</t>
        </is>
      </c>
      <c r="M18" t="inlineStr">
        <is>
          <t>Tratamiento en seguimiento continuo</t>
        </is>
      </c>
    </row>
    <row r="19">
      <c r="A19" t="inlineStr">
        <is>
          <t>TRT-2025-018</t>
        </is>
      </c>
      <c r="B19" t="inlineStr">
        <is>
          <t>RIS-2025-007</t>
        </is>
      </c>
      <c r="C19" t="inlineStr">
        <is>
          <t>Transferir</t>
        </is>
      </c>
      <c r="D19" t="inlineStr">
        <is>
          <t>Implementar controles para mitigar el riesgo identificado</t>
        </is>
      </c>
      <c r="E19" t="inlineStr">
        <is>
          <t>A.8.1 - Dispositivos de usuario final</t>
        </is>
      </c>
      <c r="F19" t="inlineStr">
        <is>
          <t>María López</t>
        </is>
      </c>
      <c r="G19" t="inlineStr">
        <is>
          <t>24/08/2025</t>
        </is>
      </c>
      <c r="H19" t="inlineStr">
        <is>
          <t>04/02/2026</t>
        </is>
      </c>
      <c r="I19" t="inlineStr">
        <is>
          <t>Cerrado</t>
        </is>
      </c>
      <c r="J19" t="n">
        <v>100</v>
      </c>
      <c r="K19" t="n">
        <v>18304</v>
      </c>
      <c r="L19" t="inlineStr">
        <is>
          <t>Baja</t>
        </is>
      </c>
      <c r="M19" t="inlineStr">
        <is>
          <t>Tratamiento en seguimiento continuo</t>
        </is>
      </c>
    </row>
    <row r="20">
      <c r="A20" t="inlineStr">
        <is>
          <t>TRT-2025-019</t>
        </is>
      </c>
      <c r="B20" t="inlineStr">
        <is>
          <t>RIS-2025-023</t>
        </is>
      </c>
      <c r="C20" t="inlineStr">
        <is>
          <t>Evitar</t>
        </is>
      </c>
      <c r="D20" t="inlineStr">
        <is>
          <t>Implementar controles para mitigar el riesgo identificado</t>
        </is>
      </c>
      <c r="E20" t="inlineStr">
        <is>
          <t>A.8.1 - Dispositivos de usuario final</t>
        </is>
      </c>
      <c r="F20" t="inlineStr">
        <is>
          <t>Juan Pérez</t>
        </is>
      </c>
      <c r="G20" t="inlineStr">
        <is>
          <t>26/08/2025</t>
        </is>
      </c>
      <c r="H20" t="inlineStr">
        <is>
          <t>11/02/2026</t>
        </is>
      </c>
      <c r="I20" t="inlineStr">
        <is>
          <t>Implementado</t>
        </is>
      </c>
      <c r="J20" t="n">
        <v>87</v>
      </c>
      <c r="K20" t="n">
        <v>45911</v>
      </c>
      <c r="L20" t="inlineStr">
        <is>
          <t>Media</t>
        </is>
      </c>
      <c r="M20" t="inlineStr">
        <is>
          <t>Tratamiento en seguimiento continuo</t>
        </is>
      </c>
    </row>
    <row r="21">
      <c r="A21" t="inlineStr">
        <is>
          <t>TRT-2025-020</t>
        </is>
      </c>
      <c r="B21" t="inlineStr">
        <is>
          <t>RIS-2025-003</t>
        </is>
      </c>
      <c r="C21" t="inlineStr">
        <is>
          <t>Transferir</t>
        </is>
      </c>
      <c r="D21" t="inlineStr">
        <is>
          <t>Implementar controles para mitigar el riesgo identificado</t>
        </is>
      </c>
      <c r="E21" t="inlineStr">
        <is>
          <t>A.8.5 - Autenticación segura</t>
        </is>
      </c>
      <c r="F21" t="inlineStr">
        <is>
          <t>Juan Pérez</t>
        </is>
      </c>
      <c r="G21" t="inlineStr">
        <is>
          <t>19/09/2025</t>
        </is>
      </c>
      <c r="H21" t="inlineStr">
        <is>
          <t>24/02/2026</t>
        </is>
      </c>
      <c r="I21" t="inlineStr">
        <is>
          <t>Verificado</t>
        </is>
      </c>
      <c r="J21" t="n">
        <v>100</v>
      </c>
      <c r="K21" t="n">
        <v>25314</v>
      </c>
      <c r="L21" t="inlineStr">
        <is>
          <t>Alta</t>
        </is>
      </c>
      <c r="M21" t="inlineStr">
        <is>
          <t>Tratamiento en seguimiento continuo</t>
        </is>
      </c>
    </row>
    <row r="22">
      <c r="A22" t="inlineStr">
        <is>
          <t>TRT-2025-021</t>
        </is>
      </c>
      <c r="B22" t="inlineStr">
        <is>
          <t>RIS-2025-001</t>
        </is>
      </c>
      <c r="C22" t="inlineStr">
        <is>
          <t>Aceptar</t>
        </is>
      </c>
      <c r="D22" t="inlineStr">
        <is>
          <t>Implementar controles para mitigar el riesgo identificado</t>
        </is>
      </c>
      <c r="E22" t="inlineStr">
        <is>
          <t>A.5.10 - Uso aceptable de la información</t>
        </is>
      </c>
      <c r="F22" t="inlineStr">
        <is>
          <t>Diego Fernández</t>
        </is>
      </c>
      <c r="G22" t="inlineStr">
        <is>
          <t>31/08/2025</t>
        </is>
      </c>
      <c r="H22" t="inlineStr">
        <is>
          <t>13/10/2025</t>
        </is>
      </c>
      <c r="I22" t="inlineStr">
        <is>
          <t>En Proceso</t>
        </is>
      </c>
      <c r="J22" t="n">
        <v>19</v>
      </c>
      <c r="K22" t="n">
        <v>13323</v>
      </c>
      <c r="L22" t="inlineStr">
        <is>
          <t>Baja</t>
        </is>
      </c>
      <c r="M22" t="inlineStr">
        <is>
          <t>Tratamiento en seguimiento continuo</t>
        </is>
      </c>
    </row>
    <row r="23">
      <c r="A23" t="inlineStr">
        <is>
          <t>TRT-2025-022</t>
        </is>
      </c>
      <c r="B23" t="inlineStr">
        <is>
          <t>RIS-2025-021</t>
        </is>
      </c>
      <c r="C23" t="inlineStr">
        <is>
          <t>Aceptar</t>
        </is>
      </c>
      <c r="D23" t="inlineStr">
        <is>
          <t>Implementar controles para mitigar el riesgo identificado</t>
        </is>
      </c>
      <c r="E23" t="inlineStr">
        <is>
          <t>A.8.2 - Derechos de acceso privilegiados</t>
        </is>
      </c>
      <c r="F23" t="inlineStr">
        <is>
          <t>Juan Pérez</t>
        </is>
      </c>
      <c r="G23" t="inlineStr">
        <is>
          <t>19/08/2025</t>
        </is>
      </c>
      <c r="H23" t="inlineStr">
        <is>
          <t>20/12/2025</t>
        </is>
      </c>
      <c r="I23" t="inlineStr">
        <is>
          <t>En Proceso</t>
        </is>
      </c>
      <c r="J23" t="n">
        <v>43</v>
      </c>
      <c r="K23" t="n">
        <v>1520</v>
      </c>
      <c r="L23" t="inlineStr">
        <is>
          <t>Alta</t>
        </is>
      </c>
      <c r="M23" t="inlineStr">
        <is>
          <t>Tratamiento en seguimiento continuo</t>
        </is>
      </c>
    </row>
    <row r="24">
      <c r="A24" t="inlineStr">
        <is>
          <t>TRT-2025-023</t>
        </is>
      </c>
      <c r="B24" t="inlineStr">
        <is>
          <t>RIS-2025-005</t>
        </is>
      </c>
      <c r="C24" t="inlineStr">
        <is>
          <t>Mitigar</t>
        </is>
      </c>
      <c r="D24" t="inlineStr">
        <is>
          <t>Implementar controles para mitigar el riesgo identificado</t>
        </is>
      </c>
      <c r="E24" t="inlineStr">
        <is>
          <t>A.8.16 - Actividades de monitoreo</t>
        </is>
      </c>
      <c r="F24" t="inlineStr">
        <is>
          <t>Laura Martínez</t>
        </is>
      </c>
      <c r="G24" t="inlineStr">
        <is>
          <t>18/09/2025</t>
        </is>
      </c>
      <c r="H24" t="inlineStr">
        <is>
          <t>01/12/2025</t>
        </is>
      </c>
      <c r="I24" t="inlineStr">
        <is>
          <t>En Proceso</t>
        </is>
      </c>
      <c r="J24" t="n">
        <v>56</v>
      </c>
      <c r="K24" t="n">
        <v>24525</v>
      </c>
      <c r="L24" t="inlineStr">
        <is>
          <t>Media</t>
        </is>
      </c>
      <c r="M24" t="inlineStr">
        <is>
          <t>Tratamiento en seguimiento continuo</t>
        </is>
      </c>
    </row>
    <row r="25">
      <c r="A25" t="inlineStr">
        <is>
          <t>TRT-2025-024</t>
        </is>
      </c>
      <c r="B25" t="inlineStr">
        <is>
          <t>RIS-2025-016</t>
        </is>
      </c>
      <c r="C25" t="inlineStr">
        <is>
          <t>Evitar</t>
        </is>
      </c>
      <c r="D25" t="inlineStr">
        <is>
          <t>Implementar controles para mitigar el riesgo identificado</t>
        </is>
      </c>
      <c r="E25" t="inlineStr">
        <is>
          <t>A.5.7 - Inteligencia de amenazas</t>
        </is>
      </c>
      <c r="F25" t="inlineStr">
        <is>
          <t>Pedro González</t>
        </is>
      </c>
      <c r="G25" t="inlineStr">
        <is>
          <t>24/10/2025</t>
        </is>
      </c>
      <c r="H25" t="inlineStr">
        <is>
          <t>29/03/2026</t>
        </is>
      </c>
      <c r="I25" t="inlineStr">
        <is>
          <t>Planificado</t>
        </is>
      </c>
      <c r="J25" t="n">
        <v>0</v>
      </c>
      <c r="K25" t="n">
        <v>1736</v>
      </c>
      <c r="L25" t="inlineStr">
        <is>
          <t>Media</t>
        </is>
      </c>
      <c r="M25" t="inlineStr">
        <is>
          <t>Tratamiento en seguimiento continuo</t>
        </is>
      </c>
    </row>
    <row r="26">
      <c r="A26" t="inlineStr">
        <is>
          <t>TRT-2025-025</t>
        </is>
      </c>
      <c r="B26" t="inlineStr">
        <is>
          <t>RIS-2025-029</t>
        </is>
      </c>
      <c r="C26" t="inlineStr">
        <is>
          <t>Mitigar</t>
        </is>
      </c>
      <c r="D26" t="inlineStr">
        <is>
          <t>Implementar controles para mitigar el riesgo identificado</t>
        </is>
      </c>
      <c r="E26" t="inlineStr">
        <is>
          <t>A.8.3 - Restricción de acceso a la información</t>
        </is>
      </c>
      <c r="F26" t="inlineStr">
        <is>
          <t>Ana Silva</t>
        </is>
      </c>
      <c r="G26" t="inlineStr">
        <is>
          <t>02/11/2025</t>
        </is>
      </c>
      <c r="H26" t="inlineStr">
        <is>
          <t>12/01/2026</t>
        </is>
      </c>
      <c r="I26" t="inlineStr">
        <is>
          <t>Cerrado</t>
        </is>
      </c>
      <c r="J26" t="n">
        <v>100</v>
      </c>
      <c r="K26" t="n">
        <v>35874</v>
      </c>
      <c r="L26" t="inlineStr">
        <is>
          <t>Media</t>
        </is>
      </c>
      <c r="M26" t="inlineStr">
        <is>
          <t>Tratamiento en seguimiento continuo</t>
        </is>
      </c>
    </row>
    <row r="40" ht="15.75" customHeight="1" s="146">
      <c r="A40" s="257" t="inlineStr">
        <is>
          <t>📊 RESUMEN DEL PLAN DE TRATAMIENTO</t>
        </is>
      </c>
    </row>
    <row r="42" ht="18.75" customHeight="1" s="146">
      <c r="A42" s="38" t="inlineStr">
        <is>
          <t>Total Tratamientos:</t>
        </is>
      </c>
      <c r="B42" s="39" t="inlineStr">
        <is>
          <t>0</t>
        </is>
      </c>
      <c r="D42" s="38" t="inlineStr">
        <is>
          <t>Implementados:</t>
        </is>
      </c>
      <c r="E42" s="40" t="inlineStr">
        <is>
          <t>0</t>
        </is>
      </c>
      <c r="G42" s="38" t="inlineStr">
        <is>
          <t>En Progreso:</t>
        </is>
      </c>
      <c r="H42" s="41" t="inlineStr">
        <is>
          <t>0</t>
        </is>
      </c>
      <c r="J42" s="38" t="inlineStr">
        <is>
          <t>Pendientes:</t>
        </is>
      </c>
      <c r="K42" s="42" t="inlineStr">
        <is>
          <t>0</t>
        </is>
      </c>
      <c r="M42" s="38" t="inlineStr">
        <is>
          <t>Cancelados:</t>
        </is>
      </c>
      <c r="N42" s="43" t="inlineStr">
        <is>
          <t>0</t>
        </is>
      </c>
    </row>
    <row r="44" ht="18.75" customHeight="1" s="146">
      <c r="A44" s="38" t="inlineStr">
        <is>
          <t>Presupuesto Total:</t>
        </is>
      </c>
      <c r="B44" s="44" t="inlineStr">
        <is>
          <t>0 €</t>
        </is>
      </c>
      <c r="D44" s="38" t="inlineStr">
        <is>
          <t>Gastado:</t>
        </is>
      </c>
      <c r="E44" s="42" t="inlineStr">
        <is>
          <t>0 €</t>
        </is>
      </c>
      <c r="G44" s="38" t="inlineStr">
        <is>
          <t>Disponible:</t>
        </is>
      </c>
      <c r="H44" s="40" t="inlineStr">
        <is>
          <t>0 €</t>
        </is>
      </c>
      <c r="J44" s="38" t="inlineStr">
        <is>
          <t>Progreso General:</t>
        </is>
      </c>
      <c r="K44" s="39" t="inlineStr">
        <is>
          <t>0%</t>
        </is>
      </c>
    </row>
    <row r="47">
      <c r="A47" s="255" t="inlineStr">
        <is>
          <t>ESTADOS DE TRATAMIENTO</t>
        </is>
      </c>
      <c r="F47" s="255" t="inlineStr">
        <is>
          <t>OPCIONES DE TRATAMIENTO</t>
        </is>
      </c>
    </row>
    <row r="49">
      <c r="A49" s="25" t="inlineStr">
        <is>
          <t>Implementado</t>
        </is>
      </c>
      <c r="B49" s="24" t="inlineStr">
        <is>
          <t>En Progreso</t>
        </is>
      </c>
      <c r="C49" s="23" t="inlineStr">
        <is>
          <t>Pendiente</t>
        </is>
      </c>
      <c r="D49" s="33" t="inlineStr">
        <is>
          <t>Cancelado</t>
        </is>
      </c>
      <c r="F49" s="45" t="inlineStr">
        <is>
          <t>Mitigar</t>
        </is>
      </c>
      <c r="G49" s="33" t="inlineStr">
        <is>
          <t>Evitar</t>
        </is>
      </c>
      <c r="H49" s="24" t="inlineStr">
        <is>
          <t>Transferir</t>
        </is>
      </c>
      <c r="I49" s="25" t="inlineStr">
        <is>
          <t>Aceptar</t>
        </is>
      </c>
    </row>
    <row r="50">
      <c r="A50" s="89" t="inlineStr">
        <is>
          <t>TRT-2025-049</t>
        </is>
      </c>
      <c r="B50" s="84" t="n"/>
      <c r="C50" s="84" t="n"/>
      <c r="D50" s="84" t="n"/>
      <c r="E50" s="84" t="n"/>
      <c r="F50" s="84" t="n"/>
      <c r="G50" s="84" t="n"/>
      <c r="H50" s="90" t="inlineStr">
        <is>
          <t>Planificado</t>
        </is>
      </c>
      <c r="I50" s="85" t="n">
        <v>45967</v>
      </c>
      <c r="J50" s="84" t="n"/>
      <c r="K50" s="91" t="n">
        <v>0</v>
      </c>
      <c r="L50" s="84" t="n"/>
    </row>
  </sheetData>
  <mergeCells count="4">
    <mergeCell ref="F47:I47"/>
    <mergeCell ref="A47:D47"/>
    <mergeCell ref="A1:P1"/>
    <mergeCell ref="A40:P40"/>
  </mergeCells>
  <dataValidations count="2">
    <dataValidation sqref="E4:E1000 K4:K1000" showDropDown="0" showInputMessage="0" showErrorMessage="0" allowBlank="0" type="list">
      <formula1>"Planificado,En Proceso,Implementado,Completado"</formula1>
    </dataValidation>
    <dataValidation sqref="O4:O1000" showDropDown="0" showInputMessage="0" showErrorMessage="0" allowBlank="0" type="list">
      <formula1>"Crítico,Alto,Medio,Bajo"</formula1>
    </dataValidation>
  </dataValidations>
  <printOptions gridLines="1"/>
  <pageMargins left="0.5" right="0.5" top="0.5" bottom="0.5" header="0.2992125984251969" footer="0.2992125984251969"/>
  <pageSetup orientation="landscape" scale="45" fitToHeight="0"/>
  <headerFooter>
    <oddHeader>&amp;L&amp;"Segoe UI,Bold"&amp;14 Plan_Tratamiento&amp;R&amp;"Segoe UI"&amp;10 Fecha: &amp;D</oddHeader>
    <oddFooter>&amp;L&amp;"Segoe UI"&amp;9 SGSI - ISO 27001:2022&amp;R&amp;"Segoe UI"&amp;9 Página &amp;P de &amp;N</oddFooter>
    <evenHeader/>
    <evenFooter/>
    <firstHeader/>
    <firstFooter/>
  </headerFooter>
</worksheet>
</file>

<file path=xl/worksheets/sheet34.xml><?xml version="1.0" encoding="utf-8"?>
<worksheet xmlns="http://schemas.openxmlformats.org/spreadsheetml/2006/main">
  <sheetPr codeName="Hoja27">
    <tabColor rgb="FF7030A0"/>
    <outlinePr summaryBelow="1" summaryRight="1"/>
    <pageSetUpPr/>
  </sheetPr>
  <dimension ref="A1:E12"/>
  <sheetViews>
    <sheetView showGridLines="0" workbookViewId="0">
      <selection activeCell="A1" sqref="A1:E1"/>
    </sheetView>
  </sheetViews>
  <sheetFormatPr baseColWidth="10" defaultColWidth="9.140625" defaultRowHeight="15"/>
  <cols>
    <col width="8" customWidth="1" style="146" min="1" max="1"/>
    <col width="20" customWidth="1" style="146" min="2" max="2"/>
    <col width="35" customWidth="1" style="146" min="3" max="3"/>
    <col width="40" customWidth="1" style="146" min="4" max="4"/>
    <col width="12" customWidth="1" style="146" min="5" max="5"/>
  </cols>
  <sheetData>
    <row r="1" ht="24.95" customHeight="1" s="146">
      <c r="A1" s="205" t="inlineStr">
        <is>
          <t>CONFIGURACIÓN: CATEGORÍAS DE ACTIVOS</t>
        </is>
      </c>
    </row>
    <row r="2">
      <c r="A2" t="inlineStr">
        <is>
          <t>CAT-001</t>
        </is>
      </c>
      <c r="B2" t="inlineStr">
        <is>
          <t>Hardware</t>
        </is>
      </c>
      <c r="C2" t="inlineStr">
        <is>
          <t>Categoría de hardware</t>
        </is>
      </c>
    </row>
    <row r="3">
      <c r="A3" s="258" t="inlineStr">
        <is>
          <t>CAT-002</t>
        </is>
      </c>
    </row>
    <row r="4">
      <c r="A4" t="inlineStr">
        <is>
          <t>CAT-003</t>
        </is>
      </c>
      <c r="B4" t="inlineStr">
        <is>
          <t>Datos</t>
        </is>
      </c>
      <c r="C4" t="inlineStr">
        <is>
          <t>Categoría de datos</t>
        </is>
      </c>
    </row>
    <row r="5">
      <c r="A5" s="46" t="inlineStr">
        <is>
          <t>CAT-004</t>
        </is>
      </c>
      <c r="B5" s="46" t="inlineStr">
        <is>
          <t>Personal</t>
        </is>
      </c>
      <c r="C5" s="46" t="inlineStr">
        <is>
          <t>Categoría de personal</t>
        </is>
      </c>
      <c r="D5" s="46" t="inlineStr">
        <is>
          <t>Subcategorías</t>
        </is>
      </c>
      <c r="E5" s="46" t="inlineStr">
        <is>
          <t>Estado</t>
        </is>
      </c>
    </row>
    <row r="6">
      <c r="A6" s="20" t="inlineStr">
        <is>
          <t>CAT-005</t>
        </is>
      </c>
      <c r="B6" s="47" t="inlineStr">
        <is>
          <t>Servicios</t>
        </is>
      </c>
      <c r="C6" s="47" t="inlineStr">
        <is>
          <t>Categoría de servicios</t>
        </is>
      </c>
      <c r="D6" s="47" t="inlineStr">
        <is>
          <t>Servidores, PCs, Portátiles, Móviles</t>
        </is>
      </c>
      <c r="E6" s="20" t="inlineStr">
        <is>
          <t>Activo</t>
        </is>
      </c>
    </row>
    <row r="7">
      <c r="A7" s="20" t="inlineStr">
        <is>
          <t>CAT-006</t>
        </is>
      </c>
      <c r="B7" s="47" t="inlineStr">
        <is>
          <t>Instalaciones</t>
        </is>
      </c>
      <c r="C7" s="47" t="inlineStr">
        <is>
          <t>Categoría de instalaciones</t>
        </is>
      </c>
      <c r="D7" s="47" t="inlineStr">
        <is>
          <t>Aplicaciones, SO, Herramientas</t>
        </is>
      </c>
      <c r="E7" s="20" t="inlineStr">
        <is>
          <t>Activo</t>
        </is>
      </c>
    </row>
    <row r="8">
      <c r="A8" s="20" t="inlineStr">
        <is>
          <t>CAT-007</t>
        </is>
      </c>
      <c r="B8" s="47" t="inlineStr">
        <is>
          <t>Equipamiento</t>
        </is>
      </c>
      <c r="C8" s="47" t="inlineStr">
        <is>
          <t>Categoría de equipamiento</t>
        </is>
      </c>
      <c r="D8" s="47" t="inlineStr">
        <is>
          <t>BBDD, Documentos, Registros</t>
        </is>
      </c>
      <c r="E8" s="20" t="inlineStr">
        <is>
          <t>Activo</t>
        </is>
      </c>
    </row>
    <row r="9">
      <c r="A9" s="20" t="inlineStr">
        <is>
          <t>CAT-008</t>
        </is>
      </c>
      <c r="B9" s="47" t="inlineStr">
        <is>
          <t>Documentación</t>
        </is>
      </c>
      <c r="C9" s="47" t="inlineStr">
        <is>
          <t>Categoría de documentación</t>
        </is>
      </c>
      <c r="D9" s="47" t="inlineStr">
        <is>
          <t>Routers, Switches, Firewalls</t>
        </is>
      </c>
      <c r="E9" s="20" t="inlineStr">
        <is>
          <t>Activo</t>
        </is>
      </c>
    </row>
    <row r="10">
      <c r="A10" s="20" t="inlineStr">
        <is>
          <t>5</t>
        </is>
      </c>
      <c r="B10" s="47" t="inlineStr">
        <is>
          <t>Servicios</t>
        </is>
      </c>
      <c r="C10" s="47" t="inlineStr">
        <is>
          <t>Servicios IT y externos</t>
        </is>
      </c>
      <c r="D10" s="47" t="inlineStr">
        <is>
          <t>Cloud, Email, Backup</t>
        </is>
      </c>
      <c r="E10" s="20" t="inlineStr">
        <is>
          <t>Activo</t>
        </is>
      </c>
    </row>
    <row r="11">
      <c r="A11" s="20" t="inlineStr">
        <is>
          <t>6</t>
        </is>
      </c>
      <c r="B11" s="47" t="inlineStr">
        <is>
          <t>Personal</t>
        </is>
      </c>
      <c r="C11" s="47" t="inlineStr">
        <is>
          <t>Recursos humanos</t>
        </is>
      </c>
      <c r="D11" s="47" t="inlineStr">
        <is>
          <t>Empleados, Consultores</t>
        </is>
      </c>
      <c r="E11" s="20" t="inlineStr">
        <is>
          <t>Activo</t>
        </is>
      </c>
    </row>
    <row r="12">
      <c r="A12" s="20" t="inlineStr">
        <is>
          <t>7</t>
        </is>
      </c>
      <c r="B12" s="47" t="inlineStr">
        <is>
          <t>Instalaciones</t>
        </is>
      </c>
      <c r="C12" s="47" t="inlineStr">
        <is>
          <t>Ubicaciones físicas</t>
        </is>
      </c>
      <c r="D12" s="47" t="inlineStr">
        <is>
          <t>CPD, Oficinas, Almacenes</t>
        </is>
      </c>
      <c r="E12" s="20" t="inlineStr">
        <is>
          <t>Activo</t>
        </is>
      </c>
    </row>
  </sheetData>
  <mergeCells count="2">
    <mergeCell ref="A1:E1"/>
    <mergeCell ref="A3:E3"/>
  </mergeCells>
  <pageMargins left="0.75" right="0.75" top="1" bottom="1" header="0.5" footer="0.5"/>
</worksheet>
</file>

<file path=xl/worksheets/sheet35.xml><?xml version="1.0" encoding="utf-8"?>
<worksheet xmlns="http://schemas.openxmlformats.org/spreadsheetml/2006/main">
  <sheetPr codeName="Hoja28">
    <tabColor rgb="FF7030A0"/>
    <outlinePr summaryBelow="1" summaryRight="1"/>
    <pageSetUpPr/>
  </sheetPr>
  <dimension ref="A1:E13"/>
  <sheetViews>
    <sheetView showGridLines="0" workbookViewId="0">
      <selection activeCell="A1" sqref="A1:E1"/>
    </sheetView>
  </sheetViews>
  <sheetFormatPr baseColWidth="10" defaultColWidth="9.140625" defaultRowHeight="15"/>
  <cols>
    <col width="8" customWidth="1" style="146" min="1" max="1"/>
    <col width="18" customWidth="1" style="146" min="2" max="2"/>
    <col width="35" customWidth="1" style="146" min="3" max="3"/>
    <col width="25" customWidth="1" style="146" min="4" max="4"/>
    <col width="12" customWidth="1" style="146" min="5" max="5"/>
  </cols>
  <sheetData>
    <row r="1" ht="24.95" customHeight="1" s="146">
      <c r="A1" s="205" t="inlineStr">
        <is>
          <t>CONFIGURACIÓN: ÁREAS DE LA ORGANIZACIÓN</t>
        </is>
      </c>
    </row>
    <row r="2">
      <c r="A2" t="inlineStr">
        <is>
          <t>AREA-001</t>
        </is>
      </c>
      <c r="B2" t="inlineStr">
        <is>
          <t>TI</t>
        </is>
      </c>
      <c r="C2" t="inlineStr">
        <is>
          <t>Área de TI</t>
        </is>
      </c>
    </row>
    <row r="3">
      <c r="A3" s="258" t="inlineStr">
        <is>
          <t>AREA-002</t>
        </is>
      </c>
    </row>
    <row r="4">
      <c r="A4" t="inlineStr">
        <is>
          <t>AREA-003</t>
        </is>
      </c>
      <c r="B4" t="inlineStr">
        <is>
          <t>RRHH</t>
        </is>
      </c>
      <c r="C4" t="inlineStr">
        <is>
          <t>Área de RRHH</t>
        </is>
      </c>
    </row>
    <row r="5">
      <c r="A5" s="46" t="inlineStr">
        <is>
          <t>AREA-004</t>
        </is>
      </c>
      <c r="B5" s="46" t="inlineStr">
        <is>
          <t>Operaciones</t>
        </is>
      </c>
      <c r="C5" s="46" t="inlineStr">
        <is>
          <t>Área de Operaciones</t>
        </is>
      </c>
      <c r="D5" s="46" t="inlineStr">
        <is>
          <t>Responsable</t>
        </is>
      </c>
      <c r="E5" s="46" t="inlineStr">
        <is>
          <t>Estado</t>
        </is>
      </c>
    </row>
    <row r="6">
      <c r="A6" s="6" t="inlineStr">
        <is>
          <t>AREA-005</t>
        </is>
      </c>
      <c r="B6" s="1" t="inlineStr">
        <is>
          <t>Comercial</t>
        </is>
      </c>
      <c r="C6" s="1" t="inlineStr">
        <is>
          <t>Área de Comercial</t>
        </is>
      </c>
      <c r="D6" s="1" t="inlineStr">
        <is>
          <t>CIO</t>
        </is>
      </c>
      <c r="E6" s="6" t="inlineStr">
        <is>
          <t>Activo</t>
        </is>
      </c>
    </row>
    <row r="7">
      <c r="A7" s="6" t="inlineStr">
        <is>
          <t>AREA-006</t>
        </is>
      </c>
      <c r="B7" s="1" t="inlineStr">
        <is>
          <t>Legal</t>
        </is>
      </c>
      <c r="C7" s="1" t="inlineStr">
        <is>
          <t>Área de Legal</t>
        </is>
      </c>
      <c r="D7" s="1" t="inlineStr">
        <is>
          <t>Director RRHH</t>
        </is>
      </c>
      <c r="E7" s="6" t="inlineStr">
        <is>
          <t>Activo</t>
        </is>
      </c>
    </row>
    <row r="8">
      <c r="A8" s="6" t="inlineStr">
        <is>
          <t>AREA-007</t>
        </is>
      </c>
      <c r="B8" s="1" t="inlineStr">
        <is>
          <t>Gerencia</t>
        </is>
      </c>
      <c r="C8" s="1" t="inlineStr">
        <is>
          <t>Área de Gerencia</t>
        </is>
      </c>
      <c r="D8" s="1" t="inlineStr">
        <is>
          <t>CFO</t>
        </is>
      </c>
      <c r="E8" s="6" t="inlineStr">
        <is>
          <t>Activo</t>
        </is>
      </c>
    </row>
    <row r="9">
      <c r="A9" s="6" t="inlineStr">
        <is>
          <t>4</t>
        </is>
      </c>
      <c r="B9" s="1" t="inlineStr">
        <is>
          <t>Operaciones</t>
        </is>
      </c>
      <c r="C9" s="1" t="inlineStr">
        <is>
          <t>Operaciones y Producción</t>
        </is>
      </c>
      <c r="D9" s="1" t="inlineStr">
        <is>
          <t>COO</t>
        </is>
      </c>
      <c r="E9" s="6" t="inlineStr">
        <is>
          <t>Activo</t>
        </is>
      </c>
    </row>
    <row r="10">
      <c r="A10" s="6" t="inlineStr">
        <is>
          <t>5</t>
        </is>
      </c>
      <c r="B10" s="1" t="inlineStr">
        <is>
          <t>Comercial</t>
        </is>
      </c>
      <c r="C10" s="1" t="inlineStr">
        <is>
          <t>Ventas y Marketing</t>
        </is>
      </c>
      <c r="D10" s="1" t="inlineStr">
        <is>
          <t>Director Comercial</t>
        </is>
      </c>
      <c r="E10" s="6" t="inlineStr">
        <is>
          <t>Activo</t>
        </is>
      </c>
    </row>
    <row r="11">
      <c r="A11" s="6" t="inlineStr">
        <is>
          <t>6</t>
        </is>
      </c>
      <c r="B11" s="1" t="inlineStr">
        <is>
          <t>Legal</t>
        </is>
      </c>
      <c r="C11" s="1" t="inlineStr">
        <is>
          <t>Departamento Legal</t>
        </is>
      </c>
      <c r="D11" s="1" t="inlineStr">
        <is>
          <t>Responsable Legal</t>
        </is>
      </c>
      <c r="E11" s="6" t="inlineStr">
        <is>
          <t>Activo</t>
        </is>
      </c>
    </row>
    <row r="12">
      <c r="A12" s="6" t="inlineStr">
        <is>
          <t>7</t>
        </is>
      </c>
      <c r="B12" s="1" t="inlineStr">
        <is>
          <t>Seguridad</t>
        </is>
      </c>
      <c r="C12" s="1" t="inlineStr">
        <is>
          <t>Seguridad de la Información</t>
        </is>
      </c>
      <c r="D12" s="1" t="inlineStr">
        <is>
          <t>CISO</t>
        </is>
      </c>
      <c r="E12" s="6" t="inlineStr">
        <is>
          <t>Activo</t>
        </is>
      </c>
    </row>
    <row r="13">
      <c r="A13" s="6" t="inlineStr">
        <is>
          <t>8</t>
        </is>
      </c>
      <c r="B13" s="1" t="inlineStr">
        <is>
          <t>Dirección</t>
        </is>
      </c>
      <c r="C13" s="1" t="inlineStr">
        <is>
          <t>Dirección General</t>
        </is>
      </c>
      <c r="D13" s="1" t="inlineStr">
        <is>
          <t>CEO</t>
        </is>
      </c>
      <c r="E13" s="6" t="inlineStr">
        <is>
          <t>Activo</t>
        </is>
      </c>
    </row>
  </sheetData>
  <mergeCells count="2">
    <mergeCell ref="A1:E1"/>
    <mergeCell ref="A3:E3"/>
  </mergeCells>
  <pageMargins left="0.75" right="0.75" top="1" bottom="1" header="0.5" footer="0.5"/>
</worksheet>
</file>

<file path=xl/worksheets/sheet36.xml><?xml version="1.0" encoding="utf-8"?>
<worksheet xmlns="http://schemas.openxmlformats.org/spreadsheetml/2006/main">
  <sheetPr codeName="Hoja29">
    <tabColor rgb="FF7030A0"/>
    <outlinePr summaryBelow="1" summaryRight="1"/>
    <pageSetUpPr/>
  </sheetPr>
  <dimension ref="A1:F10"/>
  <sheetViews>
    <sheetView showGridLines="0" workbookViewId="0">
      <selection activeCell="A1" sqref="A1:F1"/>
    </sheetView>
  </sheetViews>
  <sheetFormatPr baseColWidth="10" defaultColWidth="9.140625" defaultRowHeight="15"/>
  <cols>
    <col width="8" customWidth="1" style="146" min="1" max="1"/>
    <col width="15" customWidth="1" style="146" min="2" max="2"/>
    <col width="45" customWidth="1" style="146" min="3" max="3"/>
    <col width="10" customWidth="1" style="146" min="4" max="4"/>
    <col width="12" customWidth="1" style="146" min="5" max="6"/>
  </cols>
  <sheetData>
    <row r="1" ht="24.95" customHeight="1" s="146">
      <c r="A1" s="205" t="inlineStr">
        <is>
          <t>CONFIGURACIÓN: CLASIFICACIÓN DE ACTIVOS</t>
        </is>
      </c>
    </row>
    <row r="3">
      <c r="A3" s="258" t="inlineStr">
        <is>
          <t>🔐 Define los niveles de clasificación según criticidad y sensibilidad</t>
        </is>
      </c>
    </row>
    <row r="5">
      <c r="A5" s="46" t="inlineStr">
        <is>
          <t>ID</t>
        </is>
      </c>
      <c r="B5" s="46" t="inlineStr">
        <is>
          <t>Clase</t>
        </is>
      </c>
      <c r="C5" s="46" t="inlineStr">
        <is>
          <t>Descripción</t>
        </is>
      </c>
      <c r="D5" s="46" t="inlineStr">
        <is>
          <t>Nivel</t>
        </is>
      </c>
      <c r="E5" s="46" t="inlineStr">
        <is>
          <t>Color</t>
        </is>
      </c>
      <c r="F5" s="46" t="inlineStr">
        <is>
          <t>Estado</t>
        </is>
      </c>
    </row>
    <row r="6" ht="30" customHeight="1" s="146">
      <c r="A6" s="20" t="inlineStr">
        <is>
          <t>1</t>
        </is>
      </c>
      <c r="B6" s="47" t="inlineStr">
        <is>
          <t>Crítico</t>
        </is>
      </c>
      <c r="C6" s="47" t="inlineStr">
        <is>
          <t>Esencial para el negocio, interrupción=impacto severo</t>
        </is>
      </c>
      <c r="D6" s="20" t="inlineStr">
        <is>
          <t>5</t>
        </is>
      </c>
      <c r="E6" s="48" t="inlineStr">
        <is>
          <t>Rojo</t>
        </is>
      </c>
      <c r="F6" s="20" t="inlineStr">
        <is>
          <t>Activo</t>
        </is>
      </c>
    </row>
    <row r="7" ht="30" customHeight="1" s="146">
      <c r="A7" s="20" t="inlineStr">
        <is>
          <t>2</t>
        </is>
      </c>
      <c r="B7" s="47" t="inlineStr">
        <is>
          <t>Muy Alto</t>
        </is>
      </c>
      <c r="C7" s="47" t="inlineStr">
        <is>
          <t>Muy importante, interrupción=impacto significativo</t>
        </is>
      </c>
      <c r="D7" s="20" t="inlineStr">
        <is>
          <t>4</t>
        </is>
      </c>
      <c r="E7" s="49" t="inlineStr">
        <is>
          <t>Naranja</t>
        </is>
      </c>
      <c r="F7" s="20" t="inlineStr">
        <is>
          <t>Activo</t>
        </is>
      </c>
    </row>
    <row r="8">
      <c r="A8" s="20" t="inlineStr">
        <is>
          <t>3</t>
        </is>
      </c>
      <c r="B8" s="47" t="inlineStr">
        <is>
          <t>Alto</t>
        </is>
      </c>
      <c r="C8" s="47" t="inlineStr">
        <is>
          <t>Importante para operaciones normales</t>
        </is>
      </c>
      <c r="D8" s="20" t="inlineStr">
        <is>
          <t>3</t>
        </is>
      </c>
      <c r="E8" s="50" t="inlineStr">
        <is>
          <t>Amarillo</t>
        </is>
      </c>
      <c r="F8" s="20" t="inlineStr">
        <is>
          <t>Activo</t>
        </is>
      </c>
    </row>
    <row r="9">
      <c r="A9" s="20" t="inlineStr">
        <is>
          <t>4</t>
        </is>
      </c>
      <c r="B9" s="47" t="inlineStr">
        <is>
          <t>Medio</t>
        </is>
      </c>
      <c r="C9" s="47" t="inlineStr">
        <is>
          <t>Necesario pero no crítico</t>
        </is>
      </c>
      <c r="D9" s="20" t="inlineStr">
        <is>
          <t>2</t>
        </is>
      </c>
      <c r="E9" s="51" t="inlineStr">
        <is>
          <t>Azul</t>
        </is>
      </c>
      <c r="F9" s="20" t="inlineStr">
        <is>
          <t>Activo</t>
        </is>
      </c>
    </row>
    <row r="10">
      <c r="A10" s="20" t="inlineStr">
        <is>
          <t>5</t>
        </is>
      </c>
      <c r="B10" s="47" t="inlineStr">
        <is>
          <t>Bajo</t>
        </is>
      </c>
      <c r="C10" s="47" t="inlineStr">
        <is>
          <t>Impacto mínimo si no disponible</t>
        </is>
      </c>
      <c r="D10" s="20" t="inlineStr">
        <is>
          <t>1</t>
        </is>
      </c>
      <c r="E10" s="52" t="inlineStr">
        <is>
          <t>Verde</t>
        </is>
      </c>
      <c r="F10" s="20" t="inlineStr">
        <is>
          <t>Activo</t>
        </is>
      </c>
    </row>
  </sheetData>
  <mergeCells count="2">
    <mergeCell ref="A3:F3"/>
    <mergeCell ref="A1:F1"/>
  </mergeCells>
  <pageMargins left="0.75" right="0.75" top="1" bottom="1" header="0.5" footer="0.5"/>
</worksheet>
</file>

<file path=xl/worksheets/sheet37.xml><?xml version="1.0" encoding="utf-8"?>
<worksheet xmlns="http://schemas.openxmlformats.org/spreadsheetml/2006/main">
  <sheetPr codeName="Hoja30">
    <tabColor rgb="FF2E75B5"/>
    <outlinePr summaryBelow="1" summaryRight="1"/>
    <pageSetUpPr/>
  </sheetPr>
  <dimension ref="A1:I501"/>
  <sheetViews>
    <sheetView showGridLines="0" workbookViewId="0">
      <selection activeCell="A1" sqref="A1:H1"/>
    </sheetView>
  </sheetViews>
  <sheetFormatPr baseColWidth="10" defaultColWidth="9.140625" defaultRowHeight="15"/>
  <cols>
    <col width="12" customWidth="1" style="146" min="1" max="1"/>
    <col width="25" customWidth="1" style="146" min="2" max="2"/>
    <col width="40" customWidth="1" style="146" min="3" max="3"/>
    <col width="18" customWidth="1" style="146" min="4" max="4"/>
    <col width="12" customWidth="1" style="146" min="5" max="5"/>
    <col width="10" customWidth="1" style="146" min="6" max="6"/>
    <col width="15" customWidth="1" style="146" min="7" max="7"/>
    <col width="20" customWidth="1" style="146" min="8" max="8"/>
    <col width="25" customWidth="1" style="146" min="9" max="9"/>
  </cols>
  <sheetData>
    <row r="1" ht="24.95" customHeight="1" s="146">
      <c r="A1" s="190" t="inlineStr">
        <is>
          <t>CONTROLES ISO 27001:2022 - ANEXO A</t>
        </is>
      </c>
      <c r="I1" s="97" t="inlineStr">
        <is>
          <t>Mitigación MITRE</t>
        </is>
      </c>
    </row>
    <row r="2">
      <c r="I2" s="99" t="n"/>
    </row>
    <row r="3">
      <c r="A3" s="260" t="inlineStr">
        <is>
          <t>📋 93 Controles del Anexo A - ISO/IEC 27001:2022</t>
        </is>
      </c>
      <c r="I3" s="99" t="n"/>
    </row>
    <row r="4">
      <c r="I4" s="99" t="n"/>
    </row>
    <row r="5" ht="30" customHeight="1" s="146">
      <c r="A5" s="53" t="inlineStr">
        <is>
          <t>ID Control</t>
        </is>
      </c>
      <c r="B5" s="53" t="inlineStr">
        <is>
          <t>Nombre</t>
        </is>
      </c>
      <c r="C5" s="53" t="inlineStr">
        <is>
          <t>Descripción</t>
        </is>
      </c>
      <c r="D5" s="53" t="inlineStr">
        <is>
          <t>Categoría</t>
        </is>
      </c>
      <c r="E5" s="53" t="inlineStr">
        <is>
          <t>Implementado</t>
        </is>
      </c>
      <c r="F5" s="53" t="inlineStr">
        <is>
          <t>Nivel</t>
        </is>
      </c>
      <c r="G5" s="53" t="inlineStr">
        <is>
          <t>Responsable</t>
        </is>
      </c>
      <c r="H5" s="53" t="inlineStr">
        <is>
          <t>Evidencia</t>
        </is>
      </c>
      <c r="I5" s="99" t="n"/>
    </row>
    <row r="6" ht="30" customHeight="1" s="146">
      <c r="A6" s="20" t="inlineStr">
        <is>
          <t>A.5.1</t>
        </is>
      </c>
      <c r="B6" s="47" t="inlineStr">
        <is>
          <t>Políticas de seguridad</t>
        </is>
      </c>
      <c r="C6" s="47" t="inlineStr">
        <is>
          <t>Políticas para la seguridad de la información</t>
        </is>
      </c>
      <c r="D6" s="47" t="inlineStr">
        <is>
          <t>Organizacional</t>
        </is>
      </c>
      <c r="E6" s="54" t="inlineStr">
        <is>
          <t>Sí</t>
        </is>
      </c>
      <c r="F6" s="20" t="inlineStr">
        <is>
          <t>Alto</t>
        </is>
      </c>
      <c r="G6" s="47" t="inlineStr">
        <is>
          <t>CISO</t>
        </is>
      </c>
      <c r="H6" s="47" t="inlineStr">
        <is>
          <t>Política SGSI v2.0</t>
        </is>
      </c>
      <c r="I6" s="99" t="n"/>
    </row>
    <row r="7">
      <c r="A7" s="20" t="inlineStr">
        <is>
          <t>A.5.2</t>
        </is>
      </c>
      <c r="B7" s="47" t="inlineStr">
        <is>
          <t>Roles de seguridad</t>
        </is>
      </c>
      <c r="C7" s="47" t="inlineStr">
        <is>
          <t>Asignación de responsabilidades</t>
        </is>
      </c>
      <c r="D7" s="47" t="inlineStr">
        <is>
          <t>Organizacional</t>
        </is>
      </c>
      <c r="E7" s="54" t="inlineStr">
        <is>
          <t>Sí</t>
        </is>
      </c>
      <c r="F7" s="20" t="inlineStr">
        <is>
          <t>Alto</t>
        </is>
      </c>
      <c r="G7" s="47" t="inlineStr">
        <is>
          <t>RRHH</t>
        </is>
      </c>
      <c r="H7" s="47" t="inlineStr">
        <is>
          <t>Matriz RACI</t>
        </is>
      </c>
      <c r="I7" s="99" t="n"/>
    </row>
    <row r="8">
      <c r="A8" s="20" t="inlineStr">
        <is>
          <t>A.5.3</t>
        </is>
      </c>
      <c r="B8" s="47" t="inlineStr">
        <is>
          <t>Segregación de funciones</t>
        </is>
      </c>
      <c r="C8" s="47" t="inlineStr">
        <is>
          <t>Separación de deberes conflictivos</t>
        </is>
      </c>
      <c r="D8" s="47" t="inlineStr">
        <is>
          <t>Organizacional</t>
        </is>
      </c>
      <c r="E8" s="22" t="inlineStr">
        <is>
          <t>Parcial</t>
        </is>
      </c>
      <c r="F8" s="20" t="inlineStr">
        <is>
          <t>Medio</t>
        </is>
      </c>
      <c r="G8" s="47" t="inlineStr">
        <is>
          <t>CISO</t>
        </is>
      </c>
      <c r="H8" s="47" t="inlineStr">
        <is>
          <t>Doc. Roles</t>
        </is>
      </c>
      <c r="I8" s="99" t="n"/>
    </row>
    <row r="9">
      <c r="A9" s="20" t="inlineStr">
        <is>
          <t>A.5.7</t>
        </is>
      </c>
      <c r="B9" s="47" t="inlineStr">
        <is>
          <t>Inteligencia de amenazas</t>
        </is>
      </c>
      <c r="C9" s="47" t="inlineStr">
        <is>
          <t>Información sobre amenazas</t>
        </is>
      </c>
      <c r="D9" s="47" t="inlineStr">
        <is>
          <t>Organizacional</t>
        </is>
      </c>
      <c r="E9" s="55" t="inlineStr">
        <is>
          <t>No</t>
        </is>
      </c>
      <c r="F9" s="20" t="inlineStr">
        <is>
          <t>Bajo</t>
        </is>
      </c>
      <c r="G9" s="47" t="inlineStr">
        <is>
          <t>TI</t>
        </is>
      </c>
      <c r="H9" s="47" t="inlineStr">
        <is>
          <t>N/A</t>
        </is>
      </c>
      <c r="I9" s="99" t="n"/>
    </row>
    <row r="10">
      <c r="A10" s="20" t="inlineStr">
        <is>
          <t>A.5.10</t>
        </is>
      </c>
      <c r="B10" s="47" t="inlineStr">
        <is>
          <t>Uso aceptable</t>
        </is>
      </c>
      <c r="C10" s="47" t="inlineStr">
        <is>
          <t>Políticas de uso aceptable de información</t>
        </is>
      </c>
      <c r="D10" s="47" t="inlineStr">
        <is>
          <t>Organizacional</t>
        </is>
      </c>
      <c r="E10" s="54" t="inlineStr">
        <is>
          <t>Sí</t>
        </is>
      </c>
      <c r="F10" s="20" t="inlineStr">
        <is>
          <t>Alto</t>
        </is>
      </c>
      <c r="G10" s="47" t="inlineStr">
        <is>
          <t>CISO</t>
        </is>
      </c>
      <c r="H10" s="47" t="inlineStr">
        <is>
          <t>Política AUP</t>
        </is>
      </c>
      <c r="I10" s="99" t="n"/>
    </row>
    <row r="11">
      <c r="I11" s="99" t="n"/>
    </row>
    <row r="12">
      <c r="I12" s="99" t="n"/>
    </row>
    <row r="13">
      <c r="I13" s="99" t="n"/>
    </row>
    <row r="14">
      <c r="I14" s="99" t="n"/>
    </row>
    <row r="15">
      <c r="I15" s="99" t="n"/>
    </row>
    <row r="16">
      <c r="I16" s="99" t="n"/>
    </row>
    <row r="17">
      <c r="I17" s="99" t="n"/>
    </row>
    <row r="18">
      <c r="I18" s="99" t="n"/>
    </row>
    <row r="19">
      <c r="I19" s="99" t="n"/>
    </row>
    <row r="20">
      <c r="I20" s="99" t="n"/>
    </row>
    <row r="21">
      <c r="I21" s="99" t="n"/>
    </row>
    <row r="22">
      <c r="I22" s="99" t="n"/>
    </row>
    <row r="23">
      <c r="I23" s="99" t="n"/>
    </row>
    <row r="24">
      <c r="I24" s="99" t="n"/>
    </row>
    <row r="25">
      <c r="I25" s="99" t="n"/>
    </row>
    <row r="26">
      <c r="I26" s="99" t="n"/>
    </row>
    <row r="27">
      <c r="I27" s="99" t="n"/>
    </row>
    <row r="28">
      <c r="I28" s="99" t="n"/>
    </row>
    <row r="29">
      <c r="I29" s="99" t="n"/>
    </row>
    <row r="30">
      <c r="I30" s="99" t="n"/>
    </row>
    <row r="31">
      <c r="I31" s="99" t="n"/>
    </row>
    <row r="32">
      <c r="I32" s="99" t="n"/>
    </row>
    <row r="33">
      <c r="I33" s="99" t="n"/>
    </row>
    <row r="34">
      <c r="I34" s="99" t="n"/>
    </row>
    <row r="35">
      <c r="I35" s="99" t="n"/>
    </row>
    <row r="36">
      <c r="I36" s="99" t="n"/>
    </row>
    <row r="37">
      <c r="I37" s="99" t="n"/>
    </row>
    <row r="38">
      <c r="I38" s="99" t="n"/>
    </row>
    <row r="39">
      <c r="I39" s="99" t="n"/>
    </row>
    <row r="40">
      <c r="I40" s="99" t="n"/>
    </row>
    <row r="41">
      <c r="I41" s="99" t="n"/>
    </row>
    <row r="42">
      <c r="I42" s="99" t="n"/>
    </row>
    <row r="43">
      <c r="I43" s="99" t="n"/>
    </row>
    <row r="44">
      <c r="I44" s="99" t="n"/>
    </row>
    <row r="45">
      <c r="I45" s="99" t="n"/>
    </row>
    <row r="46">
      <c r="I46" s="99" t="n"/>
    </row>
    <row r="47">
      <c r="I47" s="99" t="n"/>
    </row>
    <row r="48">
      <c r="I48" s="99" t="n"/>
    </row>
    <row r="49">
      <c r="I49" s="99" t="n"/>
    </row>
    <row r="50">
      <c r="A50" s="259" t="inlineStr">
        <is>
          <t>NOTA: Esta hoja debe contener los 93 controles del Anexo A de ISO 27001:2022</t>
        </is>
      </c>
      <c r="I50" s="99" t="n"/>
    </row>
    <row r="51">
      <c r="A51" s="261" t="inlineStr">
        <is>
          <t>Categorías: A.5 (37 controles) | A.6 (8) | A.7 (14) | A.8 (34)</t>
        </is>
      </c>
      <c r="I51" s="99" t="n"/>
    </row>
    <row r="52">
      <c r="I52" s="99" t="n"/>
    </row>
    <row r="53">
      <c r="I53" s="99" t="n"/>
    </row>
    <row r="54">
      <c r="I54" s="99" t="n"/>
    </row>
    <row r="55">
      <c r="I55" s="99" t="n"/>
    </row>
    <row r="56">
      <c r="I56" s="99" t="n"/>
    </row>
    <row r="57">
      <c r="I57" s="99" t="n"/>
    </row>
    <row r="58">
      <c r="I58" s="99" t="n"/>
    </row>
    <row r="59">
      <c r="I59" s="99" t="n"/>
    </row>
    <row r="60">
      <c r="I60" s="99" t="n"/>
    </row>
    <row r="61">
      <c r="I61" s="99" t="n"/>
    </row>
    <row r="62">
      <c r="I62" s="99" t="n"/>
    </row>
    <row r="63">
      <c r="I63" s="99" t="n"/>
    </row>
    <row r="64">
      <c r="I64" s="99" t="n"/>
    </row>
    <row r="65">
      <c r="I65" s="99" t="n"/>
    </row>
    <row r="66">
      <c r="I66" s="99" t="n"/>
    </row>
    <row r="67">
      <c r="I67" s="99" t="n"/>
    </row>
    <row r="68">
      <c r="I68" s="99" t="n"/>
    </row>
    <row r="69">
      <c r="I69" s="99" t="n"/>
    </row>
    <row r="70">
      <c r="I70" s="99" t="n"/>
    </row>
    <row r="71">
      <c r="I71" s="99" t="n"/>
    </row>
    <row r="72">
      <c r="I72" s="99" t="n"/>
    </row>
    <row r="73">
      <c r="I73" s="99" t="n"/>
    </row>
    <row r="74">
      <c r="I74" s="99" t="n"/>
    </row>
    <row r="75">
      <c r="I75" s="99" t="n"/>
    </row>
    <row r="76">
      <c r="I76" s="99" t="n"/>
    </row>
    <row r="77">
      <c r="I77" s="99" t="n"/>
    </row>
    <row r="78">
      <c r="I78" s="99" t="n"/>
    </row>
    <row r="79">
      <c r="I79" s="99" t="n"/>
    </row>
    <row r="80">
      <c r="I80" s="99" t="n"/>
    </row>
    <row r="81">
      <c r="I81" s="99" t="n"/>
    </row>
    <row r="82">
      <c r="I82" s="99" t="n"/>
    </row>
    <row r="83">
      <c r="I83" s="99" t="n"/>
    </row>
    <row r="84">
      <c r="I84" s="99" t="n"/>
    </row>
    <row r="85">
      <c r="I85" s="99" t="n"/>
    </row>
    <row r="86">
      <c r="I86" s="99" t="n"/>
    </row>
    <row r="87">
      <c r="I87" s="99" t="n"/>
    </row>
    <row r="88">
      <c r="I88" s="99" t="n"/>
    </row>
    <row r="89">
      <c r="I89" s="99" t="n"/>
    </row>
    <row r="90">
      <c r="I90" s="99" t="n"/>
    </row>
    <row r="91">
      <c r="I91" s="99" t="n"/>
    </row>
    <row r="92">
      <c r="I92" s="99" t="n"/>
    </row>
    <row r="93">
      <c r="I93" s="99" t="n"/>
    </row>
    <row r="94">
      <c r="I94" s="99" t="n"/>
    </row>
    <row r="95">
      <c r="I95" s="99" t="n"/>
    </row>
    <row r="96">
      <c r="I96" s="99" t="n"/>
    </row>
    <row r="97">
      <c r="I97" s="99" t="n"/>
    </row>
    <row r="98">
      <c r="I98" s="99" t="n"/>
    </row>
    <row r="99">
      <c r="I99" s="99" t="n"/>
    </row>
    <row r="100">
      <c r="I100" s="99" t="n"/>
    </row>
    <row r="101">
      <c r="I101" s="99" t="n"/>
    </row>
    <row r="102">
      <c r="I102" s="99" t="n"/>
    </row>
    <row r="103">
      <c r="I103" s="99" t="n"/>
    </row>
    <row r="104">
      <c r="I104" s="99" t="n"/>
    </row>
    <row r="105">
      <c r="I105" s="99" t="n"/>
    </row>
    <row r="106">
      <c r="I106" s="99" t="n"/>
    </row>
    <row r="107">
      <c r="I107" s="99" t="n"/>
    </row>
    <row r="108">
      <c r="I108" s="99" t="n"/>
    </row>
    <row r="109">
      <c r="I109" s="99" t="n"/>
    </row>
    <row r="110">
      <c r="I110" s="99" t="n"/>
    </row>
    <row r="111">
      <c r="I111" s="99" t="n"/>
    </row>
    <row r="112">
      <c r="I112" s="99" t="n"/>
    </row>
    <row r="113">
      <c r="I113" s="99" t="n"/>
    </row>
    <row r="114">
      <c r="I114" s="99" t="n"/>
    </row>
    <row r="115">
      <c r="I115" s="99" t="n"/>
    </row>
    <row r="116">
      <c r="I116" s="99" t="n"/>
    </row>
    <row r="117">
      <c r="I117" s="99" t="n"/>
    </row>
    <row r="118">
      <c r="I118" s="99" t="n"/>
    </row>
    <row r="119">
      <c r="I119" s="99" t="n"/>
    </row>
    <row r="120">
      <c r="I120" s="99" t="n"/>
    </row>
    <row r="121">
      <c r="I121" s="99" t="n"/>
    </row>
    <row r="122">
      <c r="I122" s="99" t="n"/>
    </row>
    <row r="123">
      <c r="I123" s="99" t="n"/>
    </row>
    <row r="124">
      <c r="I124" s="99" t="n"/>
    </row>
    <row r="125">
      <c r="I125" s="99" t="n"/>
    </row>
    <row r="126">
      <c r="I126" s="99" t="n"/>
    </row>
    <row r="127">
      <c r="I127" s="99" t="n"/>
    </row>
    <row r="128">
      <c r="I128" s="99" t="n"/>
    </row>
    <row r="129">
      <c r="I129" s="99" t="n"/>
    </row>
    <row r="130">
      <c r="I130" s="99" t="n"/>
    </row>
    <row r="131">
      <c r="I131" s="99" t="n"/>
    </row>
    <row r="132">
      <c r="I132" s="99" t="n"/>
    </row>
    <row r="133">
      <c r="I133" s="99" t="n"/>
    </row>
    <row r="134">
      <c r="I134" s="99" t="n"/>
    </row>
    <row r="135">
      <c r="I135" s="99" t="n"/>
    </row>
    <row r="136">
      <c r="I136" s="99" t="n"/>
    </row>
    <row r="137">
      <c r="I137" s="99" t="n"/>
    </row>
    <row r="138">
      <c r="I138" s="99" t="n"/>
    </row>
    <row r="139">
      <c r="I139" s="99" t="n"/>
    </row>
    <row r="140">
      <c r="I140" s="99" t="n"/>
    </row>
    <row r="141">
      <c r="I141" s="99" t="n"/>
    </row>
    <row r="142">
      <c r="I142" s="99" t="n"/>
    </row>
    <row r="143">
      <c r="I143" s="99" t="n"/>
    </row>
    <row r="144">
      <c r="I144" s="99" t="n"/>
    </row>
    <row r="145">
      <c r="I145" s="99" t="n"/>
    </row>
    <row r="146">
      <c r="I146" s="99" t="n"/>
    </row>
    <row r="147">
      <c r="I147" s="99" t="n"/>
    </row>
    <row r="148">
      <c r="I148" s="99" t="n"/>
    </row>
    <row r="149">
      <c r="I149" s="99" t="n"/>
    </row>
    <row r="150">
      <c r="I150" s="99" t="n"/>
    </row>
    <row r="151">
      <c r="I151" s="99" t="n"/>
    </row>
    <row r="152">
      <c r="I152" s="99" t="n"/>
    </row>
    <row r="153">
      <c r="I153" s="99" t="n"/>
    </row>
    <row r="154">
      <c r="I154" s="99" t="n"/>
    </row>
    <row r="155">
      <c r="I155" s="99" t="n"/>
    </row>
    <row r="156">
      <c r="I156" s="99" t="n"/>
    </row>
    <row r="157">
      <c r="I157" s="99" t="n"/>
    </row>
    <row r="158">
      <c r="I158" s="99" t="n"/>
    </row>
    <row r="159">
      <c r="I159" s="99" t="n"/>
    </row>
    <row r="160">
      <c r="I160" s="99" t="n"/>
    </row>
    <row r="161">
      <c r="I161" s="99" t="n"/>
    </row>
    <row r="162">
      <c r="I162" s="99" t="n"/>
    </row>
    <row r="163">
      <c r="I163" s="99" t="n"/>
    </row>
    <row r="164">
      <c r="I164" s="99" t="n"/>
    </row>
    <row r="165">
      <c r="I165" s="99" t="n"/>
    </row>
    <row r="166">
      <c r="I166" s="99" t="n"/>
    </row>
    <row r="167">
      <c r="I167" s="99" t="n"/>
    </row>
    <row r="168">
      <c r="I168" s="99" t="n"/>
    </row>
    <row r="169">
      <c r="I169" s="99" t="n"/>
    </row>
    <row r="170">
      <c r="I170" s="99" t="n"/>
    </row>
    <row r="171">
      <c r="I171" s="99" t="n"/>
    </row>
    <row r="172">
      <c r="I172" s="99" t="n"/>
    </row>
    <row r="173">
      <c r="I173" s="99" t="n"/>
    </row>
    <row r="174">
      <c r="I174" s="99" t="n"/>
    </row>
    <row r="175">
      <c r="I175" s="99" t="n"/>
    </row>
    <row r="176">
      <c r="I176" s="99" t="n"/>
    </row>
    <row r="177">
      <c r="I177" s="99" t="n"/>
    </row>
    <row r="178">
      <c r="I178" s="99" t="n"/>
    </row>
    <row r="179">
      <c r="I179" s="99" t="n"/>
    </row>
    <row r="180">
      <c r="I180" s="99" t="n"/>
    </row>
    <row r="181">
      <c r="I181" s="99" t="n"/>
    </row>
    <row r="182">
      <c r="I182" s="99" t="n"/>
    </row>
    <row r="183">
      <c r="I183" s="99" t="n"/>
    </row>
    <row r="184">
      <c r="I184" s="99" t="n"/>
    </row>
    <row r="185">
      <c r="I185" s="99" t="n"/>
    </row>
    <row r="186">
      <c r="I186" s="99" t="n"/>
    </row>
    <row r="187">
      <c r="I187" s="99" t="n"/>
    </row>
    <row r="188">
      <c r="I188" s="99" t="n"/>
    </row>
    <row r="189">
      <c r="I189" s="99" t="n"/>
    </row>
    <row r="190">
      <c r="I190" s="99" t="n"/>
    </row>
    <row r="191">
      <c r="I191" s="99" t="n"/>
    </row>
    <row r="192">
      <c r="I192" s="99" t="n"/>
    </row>
    <row r="193">
      <c r="I193" s="99" t="n"/>
    </row>
    <row r="194">
      <c r="I194" s="99" t="n"/>
    </row>
    <row r="195">
      <c r="I195" s="99" t="n"/>
    </row>
    <row r="196">
      <c r="I196" s="99" t="n"/>
    </row>
    <row r="197">
      <c r="I197" s="99" t="n"/>
    </row>
    <row r="198">
      <c r="I198" s="99" t="n"/>
    </row>
    <row r="199">
      <c r="I199" s="99" t="n"/>
    </row>
    <row r="200">
      <c r="I200" s="99" t="n"/>
    </row>
    <row r="201">
      <c r="I201" s="99" t="n"/>
    </row>
    <row r="202">
      <c r="I202" s="99" t="n"/>
    </row>
    <row r="203">
      <c r="I203" s="99" t="n"/>
    </row>
    <row r="204">
      <c r="I204" s="99" t="n"/>
    </row>
    <row r="205">
      <c r="I205" s="99" t="n"/>
    </row>
    <row r="206">
      <c r="I206" s="99" t="n"/>
    </row>
    <row r="207">
      <c r="I207" s="99" t="n"/>
    </row>
    <row r="208">
      <c r="I208" s="99" t="n"/>
    </row>
    <row r="209">
      <c r="I209" s="99" t="n"/>
    </row>
    <row r="210">
      <c r="I210" s="99" t="n"/>
    </row>
    <row r="211">
      <c r="I211" s="99" t="n"/>
    </row>
    <row r="212">
      <c r="I212" s="99" t="n"/>
    </row>
    <row r="213">
      <c r="I213" s="99" t="n"/>
    </row>
    <row r="214">
      <c r="I214" s="99" t="n"/>
    </row>
    <row r="215">
      <c r="I215" s="99" t="n"/>
    </row>
    <row r="216">
      <c r="I216" s="99" t="n"/>
    </row>
    <row r="217">
      <c r="I217" s="99" t="n"/>
    </row>
    <row r="218">
      <c r="I218" s="99" t="n"/>
    </row>
    <row r="219">
      <c r="I219" s="99" t="n"/>
    </row>
    <row r="220">
      <c r="I220" s="99" t="n"/>
    </row>
    <row r="221">
      <c r="I221" s="99" t="n"/>
    </row>
    <row r="222">
      <c r="I222" s="99" t="n"/>
    </row>
    <row r="223">
      <c r="I223" s="99" t="n"/>
    </row>
    <row r="224">
      <c r="I224" s="99" t="n"/>
    </row>
    <row r="225">
      <c r="I225" s="99" t="n"/>
    </row>
    <row r="226">
      <c r="I226" s="99" t="n"/>
    </row>
    <row r="227">
      <c r="I227" s="99" t="n"/>
    </row>
    <row r="228">
      <c r="I228" s="99" t="n"/>
    </row>
    <row r="229">
      <c r="I229" s="99" t="n"/>
    </row>
    <row r="230">
      <c r="I230" s="99" t="n"/>
    </row>
    <row r="231">
      <c r="I231" s="99" t="n"/>
    </row>
    <row r="232">
      <c r="I232" s="99" t="n"/>
    </row>
    <row r="233">
      <c r="I233" s="99" t="n"/>
    </row>
    <row r="234">
      <c r="I234" s="99" t="n"/>
    </row>
    <row r="235">
      <c r="I235" s="99" t="n"/>
    </row>
    <row r="236">
      <c r="I236" s="99" t="n"/>
    </row>
    <row r="237">
      <c r="I237" s="99" t="n"/>
    </row>
    <row r="238">
      <c r="I238" s="99" t="n"/>
    </row>
    <row r="239">
      <c r="I239" s="99" t="n"/>
    </row>
    <row r="240">
      <c r="I240" s="99" t="n"/>
    </row>
    <row r="241">
      <c r="I241" s="99" t="n"/>
    </row>
    <row r="242">
      <c r="I242" s="99" t="n"/>
    </row>
    <row r="243">
      <c r="I243" s="99" t="n"/>
    </row>
    <row r="244">
      <c r="I244" s="99" t="n"/>
    </row>
    <row r="245">
      <c r="I245" s="99" t="n"/>
    </row>
    <row r="246">
      <c r="I246" s="99" t="n"/>
    </row>
    <row r="247">
      <c r="I247" s="99" t="n"/>
    </row>
    <row r="248">
      <c r="I248" s="99" t="n"/>
    </row>
    <row r="249">
      <c r="I249" s="99" t="n"/>
    </row>
    <row r="250">
      <c r="I250" s="99" t="n"/>
    </row>
    <row r="251">
      <c r="I251" s="99" t="n"/>
    </row>
    <row r="252">
      <c r="I252" s="99" t="n"/>
    </row>
    <row r="253">
      <c r="I253" s="99" t="n"/>
    </row>
    <row r="254">
      <c r="I254" s="99" t="n"/>
    </row>
    <row r="255">
      <c r="I255" s="99" t="n"/>
    </row>
    <row r="256">
      <c r="I256" s="99" t="n"/>
    </row>
    <row r="257">
      <c r="I257" s="99" t="n"/>
    </row>
    <row r="258">
      <c r="I258" s="99" t="n"/>
    </row>
    <row r="259">
      <c r="I259" s="99" t="n"/>
    </row>
    <row r="260">
      <c r="I260" s="99" t="n"/>
    </row>
    <row r="261">
      <c r="I261" s="99" t="n"/>
    </row>
    <row r="262">
      <c r="I262" s="99" t="n"/>
    </row>
    <row r="263">
      <c r="I263" s="99" t="n"/>
    </row>
    <row r="264">
      <c r="I264" s="99" t="n"/>
    </row>
    <row r="265">
      <c r="I265" s="99" t="n"/>
    </row>
    <row r="266">
      <c r="I266" s="99" t="n"/>
    </row>
    <row r="267">
      <c r="I267" s="99" t="n"/>
    </row>
    <row r="268">
      <c r="I268" s="99" t="n"/>
    </row>
    <row r="269">
      <c r="I269" s="99" t="n"/>
    </row>
    <row r="270">
      <c r="I270" s="99" t="n"/>
    </row>
    <row r="271">
      <c r="I271" s="99" t="n"/>
    </row>
    <row r="272">
      <c r="I272" s="99" t="n"/>
    </row>
    <row r="273">
      <c r="I273" s="99" t="n"/>
    </row>
    <row r="274">
      <c r="I274" s="99" t="n"/>
    </row>
    <row r="275">
      <c r="I275" s="99" t="n"/>
    </row>
    <row r="276">
      <c r="I276" s="99" t="n"/>
    </row>
    <row r="277">
      <c r="I277" s="99" t="n"/>
    </row>
    <row r="278">
      <c r="I278" s="99" t="n"/>
    </row>
    <row r="279">
      <c r="I279" s="99" t="n"/>
    </row>
    <row r="280">
      <c r="I280" s="99" t="n"/>
    </row>
    <row r="281">
      <c r="I281" s="99" t="n"/>
    </row>
    <row r="282">
      <c r="I282" s="99" t="n"/>
    </row>
    <row r="283">
      <c r="I283" s="99" t="n"/>
    </row>
    <row r="284">
      <c r="I284" s="99" t="n"/>
    </row>
    <row r="285">
      <c r="I285" s="99" t="n"/>
    </row>
    <row r="286">
      <c r="I286" s="99" t="n"/>
    </row>
    <row r="287">
      <c r="I287" s="99" t="n"/>
    </row>
    <row r="288">
      <c r="I288" s="99" t="n"/>
    </row>
    <row r="289">
      <c r="I289" s="99" t="n"/>
    </row>
    <row r="290">
      <c r="I290" s="99" t="n"/>
    </row>
    <row r="291">
      <c r="I291" s="99" t="n"/>
    </row>
    <row r="292">
      <c r="I292" s="99" t="n"/>
    </row>
    <row r="293">
      <c r="I293" s="99" t="n"/>
    </row>
    <row r="294">
      <c r="I294" s="99" t="n"/>
    </row>
    <row r="295">
      <c r="I295" s="99" t="n"/>
    </row>
    <row r="296">
      <c r="I296" s="99" t="n"/>
    </row>
    <row r="297">
      <c r="I297" s="99" t="n"/>
    </row>
    <row r="298">
      <c r="I298" s="99" t="n"/>
    </row>
    <row r="299">
      <c r="I299" s="99" t="n"/>
    </row>
    <row r="300">
      <c r="I300" s="99" t="n"/>
    </row>
    <row r="301">
      <c r="I301" s="99" t="n"/>
    </row>
    <row r="302">
      <c r="I302" s="99" t="n"/>
    </row>
    <row r="303">
      <c r="I303" s="99" t="n"/>
    </row>
    <row r="304">
      <c r="I304" s="99" t="n"/>
    </row>
    <row r="305">
      <c r="I305" s="99" t="n"/>
    </row>
    <row r="306">
      <c r="I306" s="99" t="n"/>
    </row>
    <row r="307">
      <c r="I307" s="99" t="n"/>
    </row>
    <row r="308">
      <c r="I308" s="99" t="n"/>
    </row>
    <row r="309">
      <c r="I309" s="99" t="n"/>
    </row>
    <row r="310">
      <c r="I310" s="99" t="n"/>
    </row>
    <row r="311">
      <c r="I311" s="99" t="n"/>
    </row>
    <row r="312">
      <c r="I312" s="99" t="n"/>
    </row>
    <row r="313">
      <c r="I313" s="99" t="n"/>
    </row>
    <row r="314">
      <c r="I314" s="99" t="n"/>
    </row>
    <row r="315">
      <c r="I315" s="99" t="n"/>
    </row>
    <row r="316">
      <c r="I316" s="99" t="n"/>
    </row>
    <row r="317">
      <c r="I317" s="99" t="n"/>
    </row>
    <row r="318">
      <c r="I318" s="99" t="n"/>
    </row>
    <row r="319">
      <c r="I319" s="99" t="n"/>
    </row>
    <row r="320">
      <c r="I320" s="99" t="n"/>
    </row>
    <row r="321">
      <c r="I321" s="99" t="n"/>
    </row>
    <row r="322">
      <c r="I322" s="99" t="n"/>
    </row>
    <row r="323">
      <c r="I323" s="99" t="n"/>
    </row>
    <row r="324">
      <c r="I324" s="99" t="n"/>
    </row>
    <row r="325">
      <c r="I325" s="99" t="n"/>
    </row>
    <row r="326">
      <c r="I326" s="99" t="n"/>
    </row>
    <row r="327">
      <c r="I327" s="99" t="n"/>
    </row>
    <row r="328">
      <c r="I328" s="99" t="n"/>
    </row>
    <row r="329">
      <c r="I329" s="99" t="n"/>
    </row>
    <row r="330">
      <c r="I330" s="99" t="n"/>
    </row>
    <row r="331">
      <c r="I331" s="99" t="n"/>
    </row>
    <row r="332">
      <c r="I332" s="99" t="n"/>
    </row>
    <row r="333">
      <c r="I333" s="99" t="n"/>
    </row>
    <row r="334">
      <c r="I334" s="99" t="n"/>
    </row>
    <row r="335">
      <c r="I335" s="99" t="n"/>
    </row>
    <row r="336">
      <c r="I336" s="99" t="n"/>
    </row>
    <row r="337">
      <c r="I337" s="99" t="n"/>
    </row>
    <row r="338">
      <c r="I338" s="99" t="n"/>
    </row>
    <row r="339">
      <c r="I339" s="99" t="n"/>
    </row>
    <row r="340">
      <c r="I340" s="99" t="n"/>
    </row>
    <row r="341">
      <c r="I341" s="99" t="n"/>
    </row>
    <row r="342">
      <c r="I342" s="99" t="n"/>
    </row>
    <row r="343">
      <c r="I343" s="99" t="n"/>
    </row>
    <row r="344">
      <c r="I344" s="99" t="n"/>
    </row>
    <row r="345">
      <c r="I345" s="99" t="n"/>
    </row>
    <row r="346">
      <c r="I346" s="99" t="n"/>
    </row>
    <row r="347">
      <c r="I347" s="99" t="n"/>
    </row>
    <row r="348">
      <c r="I348" s="99" t="n"/>
    </row>
    <row r="349">
      <c r="I349" s="99" t="n"/>
    </row>
    <row r="350">
      <c r="I350" s="99" t="n"/>
    </row>
    <row r="351">
      <c r="I351" s="99" t="n"/>
    </row>
    <row r="352">
      <c r="I352" s="99" t="n"/>
    </row>
    <row r="353">
      <c r="I353" s="99" t="n"/>
    </row>
    <row r="354">
      <c r="I354" s="99" t="n"/>
    </row>
    <row r="355">
      <c r="I355" s="99" t="n"/>
    </row>
    <row r="356">
      <c r="I356" s="99" t="n"/>
    </row>
    <row r="357">
      <c r="I357" s="99" t="n"/>
    </row>
    <row r="358">
      <c r="I358" s="99" t="n"/>
    </row>
    <row r="359">
      <c r="I359" s="99" t="n"/>
    </row>
    <row r="360">
      <c r="I360" s="99" t="n"/>
    </row>
    <row r="361">
      <c r="I361" s="99" t="n"/>
    </row>
    <row r="362">
      <c r="I362" s="99" t="n"/>
    </row>
    <row r="363">
      <c r="I363" s="99" t="n"/>
    </row>
    <row r="364">
      <c r="I364" s="99" t="n"/>
    </row>
    <row r="365">
      <c r="I365" s="99" t="n"/>
    </row>
    <row r="366">
      <c r="I366" s="99" t="n"/>
    </row>
    <row r="367">
      <c r="I367" s="99" t="n"/>
    </row>
    <row r="368">
      <c r="I368" s="99" t="n"/>
    </row>
    <row r="369">
      <c r="I369" s="99" t="n"/>
    </row>
    <row r="370">
      <c r="I370" s="99" t="n"/>
    </row>
    <row r="371">
      <c r="I371" s="99" t="n"/>
    </row>
    <row r="372">
      <c r="I372" s="99" t="n"/>
    </row>
    <row r="373">
      <c r="I373" s="99" t="n"/>
    </row>
    <row r="374">
      <c r="I374" s="99" t="n"/>
    </row>
    <row r="375">
      <c r="I375" s="99" t="n"/>
    </row>
    <row r="376">
      <c r="I376" s="99" t="n"/>
    </row>
    <row r="377">
      <c r="I377" s="99" t="n"/>
    </row>
    <row r="378">
      <c r="I378" s="99" t="n"/>
    </row>
    <row r="379">
      <c r="I379" s="99" t="n"/>
    </row>
    <row r="380">
      <c r="I380" s="99" t="n"/>
    </row>
    <row r="381">
      <c r="I381" s="99" t="n"/>
    </row>
    <row r="382">
      <c r="I382" s="99" t="n"/>
    </row>
    <row r="383">
      <c r="I383" s="99" t="n"/>
    </row>
    <row r="384">
      <c r="I384" s="99" t="n"/>
    </row>
    <row r="385">
      <c r="I385" s="99" t="n"/>
    </row>
    <row r="386">
      <c r="I386" s="99" t="n"/>
    </row>
    <row r="387">
      <c r="I387" s="99" t="n"/>
    </row>
    <row r="388">
      <c r="I388" s="99" t="n"/>
    </row>
    <row r="389">
      <c r="I389" s="99" t="n"/>
    </row>
    <row r="390">
      <c r="I390" s="99" t="n"/>
    </row>
    <row r="391">
      <c r="I391" s="99" t="n"/>
    </row>
    <row r="392">
      <c r="I392" s="99" t="n"/>
    </row>
    <row r="393">
      <c r="I393" s="99" t="n"/>
    </row>
    <row r="394">
      <c r="I394" s="99" t="n"/>
    </row>
    <row r="395">
      <c r="I395" s="99" t="n"/>
    </row>
    <row r="396">
      <c r="I396" s="99" t="n"/>
    </row>
    <row r="397">
      <c r="I397" s="99" t="n"/>
    </row>
    <row r="398">
      <c r="I398" s="99" t="n"/>
    </row>
    <row r="399">
      <c r="I399" s="99" t="n"/>
    </row>
    <row r="400">
      <c r="I400" s="99" t="n"/>
    </row>
    <row r="401">
      <c r="I401" s="99" t="n"/>
    </row>
    <row r="402">
      <c r="I402" s="99" t="n"/>
    </row>
    <row r="403">
      <c r="I403" s="99" t="n"/>
    </row>
    <row r="404">
      <c r="I404" s="99" t="n"/>
    </row>
    <row r="405">
      <c r="I405" s="99" t="n"/>
    </row>
    <row r="406">
      <c r="I406" s="99" t="n"/>
    </row>
    <row r="407">
      <c r="I407" s="99" t="n"/>
    </row>
    <row r="408">
      <c r="I408" s="99" t="n"/>
    </row>
    <row r="409">
      <c r="I409" s="99" t="n"/>
    </row>
    <row r="410">
      <c r="I410" s="99" t="n"/>
    </row>
    <row r="411">
      <c r="I411" s="99" t="n"/>
    </row>
    <row r="412">
      <c r="I412" s="99" t="n"/>
    </row>
    <row r="413">
      <c r="I413" s="99" t="n"/>
    </row>
    <row r="414">
      <c r="I414" s="99" t="n"/>
    </row>
    <row r="415">
      <c r="I415" s="99" t="n"/>
    </row>
    <row r="416">
      <c r="I416" s="99" t="n"/>
    </row>
    <row r="417">
      <c r="I417" s="99" t="n"/>
    </row>
    <row r="418">
      <c r="I418" s="99" t="n"/>
    </row>
    <row r="419">
      <c r="I419" s="99" t="n"/>
    </row>
    <row r="420">
      <c r="I420" s="99" t="n"/>
    </row>
    <row r="421">
      <c r="I421" s="99" t="n"/>
    </row>
    <row r="422">
      <c r="I422" s="99" t="n"/>
    </row>
    <row r="423">
      <c r="I423" s="99" t="n"/>
    </row>
    <row r="424">
      <c r="I424" s="99" t="n"/>
    </row>
    <row r="425">
      <c r="I425" s="99" t="n"/>
    </row>
    <row r="426">
      <c r="I426" s="99" t="n"/>
    </row>
    <row r="427">
      <c r="I427" s="99" t="n"/>
    </row>
    <row r="428">
      <c r="I428" s="99" t="n"/>
    </row>
    <row r="429">
      <c r="I429" s="99" t="n"/>
    </row>
    <row r="430">
      <c r="I430" s="99" t="n"/>
    </row>
    <row r="431">
      <c r="I431" s="99" t="n"/>
    </row>
    <row r="432">
      <c r="I432" s="99" t="n"/>
    </row>
    <row r="433">
      <c r="I433" s="99" t="n"/>
    </row>
    <row r="434">
      <c r="I434" s="99" t="n"/>
    </row>
    <row r="435">
      <c r="I435" s="99" t="n"/>
    </row>
    <row r="436">
      <c r="I436" s="99" t="n"/>
    </row>
    <row r="437">
      <c r="I437" s="99" t="n"/>
    </row>
    <row r="438">
      <c r="I438" s="99" t="n"/>
    </row>
    <row r="439">
      <c r="I439" s="99" t="n"/>
    </row>
    <row r="440">
      <c r="I440" s="99" t="n"/>
    </row>
    <row r="441">
      <c r="I441" s="99" t="n"/>
    </row>
    <row r="442">
      <c r="I442" s="99" t="n"/>
    </row>
    <row r="443">
      <c r="I443" s="99" t="n"/>
    </row>
    <row r="444">
      <c r="I444" s="99" t="n"/>
    </row>
    <row r="445">
      <c r="I445" s="99" t="n"/>
    </row>
    <row r="446">
      <c r="I446" s="99" t="n"/>
    </row>
    <row r="447">
      <c r="I447" s="99" t="n"/>
    </row>
    <row r="448">
      <c r="I448" s="99" t="n"/>
    </row>
    <row r="449">
      <c r="I449" s="99" t="n"/>
    </row>
    <row r="450">
      <c r="I450" s="99" t="n"/>
    </row>
    <row r="451">
      <c r="I451" s="99" t="n"/>
    </row>
    <row r="452">
      <c r="I452" s="99" t="n"/>
    </row>
    <row r="453">
      <c r="I453" s="99" t="n"/>
    </row>
    <row r="454">
      <c r="I454" s="99" t="n"/>
    </row>
    <row r="455">
      <c r="I455" s="99" t="n"/>
    </row>
    <row r="456">
      <c r="I456" s="99" t="n"/>
    </row>
    <row r="457">
      <c r="I457" s="99" t="n"/>
    </row>
    <row r="458">
      <c r="I458" s="99" t="n"/>
    </row>
    <row r="459">
      <c r="I459" s="99" t="n"/>
    </row>
    <row r="460">
      <c r="I460" s="99" t="n"/>
    </row>
    <row r="461">
      <c r="I461" s="99" t="n"/>
    </row>
    <row r="462">
      <c r="I462" s="99" t="n"/>
    </row>
    <row r="463">
      <c r="I463" s="99" t="n"/>
    </row>
    <row r="464">
      <c r="I464" s="99" t="n"/>
    </row>
    <row r="465">
      <c r="I465" s="99" t="n"/>
    </row>
    <row r="466">
      <c r="I466" s="99" t="n"/>
    </row>
    <row r="467">
      <c r="I467" s="99" t="n"/>
    </row>
    <row r="468">
      <c r="I468" s="99" t="n"/>
    </row>
    <row r="469">
      <c r="I469" s="99" t="n"/>
    </row>
    <row r="470">
      <c r="I470" s="99" t="n"/>
    </row>
    <row r="471">
      <c r="I471" s="99" t="n"/>
    </row>
    <row r="472">
      <c r="I472" s="99" t="n"/>
    </row>
    <row r="473">
      <c r="I473" s="99" t="n"/>
    </row>
    <row r="474">
      <c r="I474" s="99" t="n"/>
    </row>
    <row r="475">
      <c r="I475" s="99" t="n"/>
    </row>
    <row r="476">
      <c r="I476" s="99" t="n"/>
    </row>
    <row r="477">
      <c r="I477" s="99" t="n"/>
    </row>
    <row r="478">
      <c r="I478" s="99" t="n"/>
    </row>
    <row r="479">
      <c r="I479" s="99" t="n"/>
    </row>
    <row r="480">
      <c r="I480" s="99" t="n"/>
    </row>
    <row r="481">
      <c r="I481" s="99" t="n"/>
    </row>
    <row r="482">
      <c r="I482" s="99" t="n"/>
    </row>
    <row r="483">
      <c r="I483" s="99" t="n"/>
    </row>
    <row r="484">
      <c r="I484" s="99" t="n"/>
    </row>
    <row r="485">
      <c r="I485" s="99" t="n"/>
    </row>
    <row r="486">
      <c r="I486" s="99" t="n"/>
    </row>
    <row r="487">
      <c r="I487" s="99" t="n"/>
    </row>
    <row r="488">
      <c r="I488" s="99" t="n"/>
    </row>
    <row r="489">
      <c r="I489" s="99" t="n"/>
    </row>
    <row r="490">
      <c r="I490" s="99" t="n"/>
    </row>
    <row r="491">
      <c r="I491" s="99" t="n"/>
    </row>
    <row r="492">
      <c r="I492" s="99" t="n"/>
    </row>
    <row r="493">
      <c r="I493" s="99" t="n"/>
    </row>
    <row r="494">
      <c r="I494" s="99" t="n"/>
    </row>
    <row r="495">
      <c r="I495" s="99" t="n"/>
    </row>
    <row r="496">
      <c r="I496" s="99" t="n"/>
    </row>
    <row r="497">
      <c r="I497" s="99" t="n"/>
    </row>
    <row r="498">
      <c r="I498" s="99" t="n"/>
    </row>
    <row r="499">
      <c r="I499" s="99" t="n"/>
    </row>
    <row r="500">
      <c r="I500" s="99" t="n"/>
    </row>
    <row r="501">
      <c r="I501" s="99" t="n"/>
    </row>
  </sheetData>
  <mergeCells count="4">
    <mergeCell ref="A50:H50"/>
    <mergeCell ref="A3:H3"/>
    <mergeCell ref="A51:H51"/>
    <mergeCell ref="A1:H1"/>
  </mergeCells>
  <pageMargins left="0.75" right="0.75" top="1" bottom="1" header="0.5" footer="0.5"/>
</worksheet>
</file>

<file path=xl/worksheets/sheet38.xml><?xml version="1.0" encoding="utf-8"?>
<worksheet xmlns="http://schemas.openxmlformats.org/spreadsheetml/2006/main">
  <sheetPr codeName="Hoja31">
    <tabColor rgb="FF00B050"/>
    <outlinePr summaryBelow="1" summaryRight="1"/>
    <pageSetUpPr/>
  </sheetPr>
  <dimension ref="A1:I61"/>
  <sheetViews>
    <sheetView showGridLines="0" workbookViewId="0">
      <selection activeCell="A1" sqref="A1:I1"/>
    </sheetView>
  </sheetViews>
  <sheetFormatPr baseColWidth="10" defaultColWidth="9.140625" defaultRowHeight="15"/>
  <cols>
    <col width="10" customWidth="1" style="146" min="1" max="1"/>
    <col width="22" customWidth="1" style="146" min="2" max="2"/>
    <col width="35" customWidth="1" style="146" min="3" max="3"/>
    <col width="12" customWidth="1" style="146" min="4" max="4"/>
    <col width="35" customWidth="1" style="146" min="5" max="5"/>
    <col width="12" customWidth="1" style="146" min="6" max="6"/>
    <col width="30" customWidth="1" style="146" min="7" max="7"/>
    <col width="15" customWidth="1" style="146" min="8" max="8"/>
    <col width="18" customWidth="1" style="146" min="9" max="9"/>
  </cols>
  <sheetData>
    <row r="1" ht="24.95" customHeight="1" s="146">
      <c r="A1" s="262" t="inlineStr">
        <is>
          <t>DECLARACIÓN DE APLICABILIDAD (SOA) - ISO 27001:2022</t>
        </is>
      </c>
    </row>
    <row r="3">
      <c r="A3" s="56" t="inlineStr">
        <is>
          <t>Documento:</t>
        </is>
      </c>
      <c r="B3" s="4" t="inlineStr">
        <is>
          <t>Statement of Applicability (SOA)</t>
        </is>
      </c>
    </row>
    <row r="4">
      <c r="A4" s="56" t="inlineStr">
        <is>
          <t>Versión:</t>
        </is>
      </c>
      <c r="B4" s="4" t="inlineStr">
        <is>
          <t>1.0</t>
        </is>
      </c>
    </row>
    <row r="5">
      <c r="A5" s="56" t="inlineStr">
        <is>
          <t>Fecha:</t>
        </is>
      </c>
      <c r="B5" s="4" t="inlineStr">
        <is>
          <t>06/11/2025</t>
        </is>
      </c>
    </row>
    <row r="6">
      <c r="A6" s="56" t="inlineStr">
        <is>
          <t>Responsable:</t>
        </is>
      </c>
      <c r="B6" s="4" t="inlineStr">
        <is>
          <t>CISO</t>
        </is>
      </c>
    </row>
    <row r="9" ht="15.75" customHeight="1" s="146">
      <c r="A9" s="263" t="inlineStr">
        <is>
          <t>CONTROLES DEL ANEXO A</t>
        </is>
      </c>
    </row>
    <row r="11" ht="35.1" customHeight="1" s="146">
      <c r="A11" s="57" t="inlineStr">
        <is>
          <t>ID</t>
        </is>
      </c>
      <c r="B11" s="57" t="inlineStr">
        <is>
          <t>Control</t>
        </is>
      </c>
      <c r="C11" s="57" t="inlineStr">
        <is>
          <t>Descripción</t>
        </is>
      </c>
      <c r="D11" s="57" t="inlineStr">
        <is>
          <t>¿Aplicable?</t>
        </is>
      </c>
      <c r="E11" s="57" t="inlineStr">
        <is>
          <t>Justificación</t>
        </is>
      </c>
      <c r="F11" s="57" t="inlineStr">
        <is>
          <t>¿Implementado?</t>
        </is>
      </c>
      <c r="G11" s="57" t="inlineStr">
        <is>
          <t>Método Implementación</t>
        </is>
      </c>
      <c r="H11" s="57" t="inlineStr">
        <is>
          <t>Responsable</t>
        </is>
      </c>
      <c r="I11" s="57" t="inlineStr">
        <is>
          <t>Referencia</t>
        </is>
      </c>
    </row>
    <row r="12" ht="30" customHeight="1" s="146">
      <c r="A12" s="20" t="inlineStr">
        <is>
          <t>A.5.1</t>
        </is>
      </c>
      <c r="B12" s="47" t="inlineStr">
        <is>
          <t>Políticas de seguridad</t>
        </is>
      </c>
      <c r="C12" s="47" t="inlineStr">
        <is>
          <t>Políticas para la seguridad de la información</t>
        </is>
      </c>
      <c r="D12" s="58" t="inlineStr">
        <is>
          <t>Sí</t>
        </is>
      </c>
      <c r="E12" s="47" t="inlineStr">
        <is>
          <t>Requerido por normativa y negocio</t>
        </is>
      </c>
      <c r="F12" s="54" t="inlineStr">
        <is>
          <t>Sí</t>
        </is>
      </c>
      <c r="G12" s="47" t="inlineStr">
        <is>
          <t>Política documentada y aprobada</t>
        </is>
      </c>
      <c r="H12" s="47" t="inlineStr">
        <is>
          <t>CISO</t>
        </is>
      </c>
      <c r="I12" s="47" t="inlineStr">
        <is>
          <t>POL-SGSI-001</t>
        </is>
      </c>
    </row>
    <row r="13">
      <c r="A13" s="20" t="inlineStr">
        <is>
          <t>A.5.2</t>
        </is>
      </c>
      <c r="B13" s="47" t="inlineStr">
        <is>
          <t>Roles de seguridad</t>
        </is>
      </c>
      <c r="C13" s="47" t="inlineStr">
        <is>
          <t>Asignación de responsabilidades</t>
        </is>
      </c>
      <c r="D13" s="58" t="inlineStr">
        <is>
          <t>Sí</t>
        </is>
      </c>
      <c r="E13" s="47" t="inlineStr">
        <is>
          <t>Necesario para gestión del SGSI</t>
        </is>
      </c>
      <c r="F13" s="54" t="inlineStr">
        <is>
          <t>Sí</t>
        </is>
      </c>
      <c r="G13" s="47" t="inlineStr">
        <is>
          <t>Matriz RACI + Descripciones</t>
        </is>
      </c>
      <c r="H13" s="47" t="inlineStr">
        <is>
          <t>RRHH</t>
        </is>
      </c>
      <c r="I13" s="47" t="inlineStr">
        <is>
          <t>DOC-ROLES-001</t>
        </is>
      </c>
    </row>
    <row r="14">
      <c r="A14" s="20" t="inlineStr">
        <is>
          <t>A.5.10</t>
        </is>
      </c>
      <c r="B14" s="47" t="inlineStr">
        <is>
          <t>Uso aceptable</t>
        </is>
      </c>
      <c r="C14" s="47" t="inlineStr">
        <is>
          <t>Políticas de uso aceptable</t>
        </is>
      </c>
      <c r="D14" s="58" t="inlineStr">
        <is>
          <t>Sí</t>
        </is>
      </c>
      <c r="E14" s="47" t="inlineStr">
        <is>
          <t>Protección de activos de información</t>
        </is>
      </c>
      <c r="F14" s="54" t="inlineStr">
        <is>
          <t>Sí</t>
        </is>
      </c>
      <c r="G14" s="47" t="inlineStr">
        <is>
          <t>Política AUP comunicada</t>
        </is>
      </c>
      <c r="H14" s="47" t="inlineStr">
        <is>
          <t>CISO</t>
        </is>
      </c>
      <c r="I14" s="47" t="inlineStr">
        <is>
          <t>POL-AUP-001</t>
        </is>
      </c>
    </row>
    <row r="55">
      <c r="A55" s="264" t="inlineStr">
        <is>
          <t>RESUMEN DE APLICABILIDAD</t>
        </is>
      </c>
    </row>
    <row r="57" ht="15.75" customHeight="1" s="146">
      <c r="A57" s="59" t="inlineStr">
        <is>
          <t>Total controles Anexo A:</t>
        </is>
      </c>
      <c r="B57" s="60" t="inlineStr">
        <is>
          <t>93</t>
        </is>
      </c>
    </row>
    <row r="58" ht="15.75" customHeight="1" s="146">
      <c r="A58" s="59" t="inlineStr">
        <is>
          <t>Controles aplicables:</t>
        </is>
      </c>
      <c r="B58" s="60" t="inlineStr">
        <is>
          <t>0</t>
        </is>
      </c>
    </row>
    <row r="59" ht="15.75" customHeight="1" s="146">
      <c r="A59" s="59" t="inlineStr">
        <is>
          <t>Controles no aplicables:</t>
        </is>
      </c>
      <c r="B59" s="60" t="inlineStr">
        <is>
          <t>0</t>
        </is>
      </c>
    </row>
    <row r="60" ht="15.75" customHeight="1" s="146">
      <c r="A60" s="59" t="inlineStr">
        <is>
          <t>Controles implementados:</t>
        </is>
      </c>
      <c r="B60" s="60" t="inlineStr">
        <is>
          <t>0</t>
        </is>
      </c>
    </row>
    <row r="61" ht="15.75" customHeight="1" s="146">
      <c r="A61" s="59" t="inlineStr">
        <is>
          <t>Porcentaje implementación:</t>
        </is>
      </c>
      <c r="B61" s="60" t="inlineStr">
        <is>
          <t>0%</t>
        </is>
      </c>
    </row>
  </sheetData>
  <mergeCells count="3">
    <mergeCell ref="A1:I1"/>
    <mergeCell ref="A9:I9"/>
    <mergeCell ref="A55:D55"/>
  </mergeCells>
  <pageMargins left="0.75" right="0.75" top="1" bottom="1" header="0.5" footer="0.5"/>
</worksheet>
</file>

<file path=xl/worksheets/sheet39.xml><?xml version="1.0" encoding="utf-8"?>
<worksheet xmlns="http://schemas.openxmlformats.org/spreadsheetml/2006/main">
  <sheetPr codeName="Hoja32">
    <tabColor rgb="FFE74C3C"/>
    <outlinePr summaryBelow="1" summaryRight="1"/>
    <pageSetUpPr/>
  </sheetPr>
  <dimension ref="A1:I503"/>
  <sheetViews>
    <sheetView showGridLines="0" workbookViewId="0">
      <selection activeCell="A1" sqref="A1:G1"/>
    </sheetView>
  </sheetViews>
  <sheetFormatPr baseColWidth="10" defaultColWidth="9.140625" defaultRowHeight="15"/>
  <cols>
    <col width="10" customWidth="1" style="146" min="1" max="1"/>
    <col width="20" customWidth="1" style="146" min="2" max="2"/>
    <col width="45" customWidth="1" style="146" min="3" max="3"/>
    <col width="12" customWidth="1" style="146" min="4" max="4"/>
    <col width="15" customWidth="1" style="146" min="5" max="5"/>
    <col width="12" customWidth="1" style="146" min="6" max="6"/>
    <col width="15" customWidth="1" style="146" min="7" max="8"/>
    <col width="20" customWidth="1" style="146" min="9" max="9"/>
  </cols>
  <sheetData>
    <row r="1" ht="24.95" customHeight="1" s="146">
      <c r="A1" s="219" t="inlineStr">
        <is>
          <t>INVENTARIO DE AMENAZAS</t>
        </is>
      </c>
    </row>
    <row r="3">
      <c r="A3" s="258" t="inlineStr">
        <is>
          <t>⚠️ Catálogo de amenazas potenciales a la seguridad de la información</t>
        </is>
      </c>
      <c r="H3" s="95" t="inlineStr">
        <is>
          <t>Código MITRE</t>
        </is>
      </c>
      <c r="I3" s="97" t="inlineStr">
        <is>
          <t>Técnica MITRE</t>
        </is>
      </c>
    </row>
    <row r="4">
      <c r="I4" s="99" t="n"/>
    </row>
    <row r="5" ht="30" customHeight="1" s="146">
      <c r="A5" s="61" t="inlineStr">
        <is>
          <t>ID</t>
        </is>
      </c>
      <c r="B5" s="61" t="inlineStr">
        <is>
          <t>Amenaza</t>
        </is>
      </c>
      <c r="C5" s="61" t="inlineStr">
        <is>
          <t>Descripción</t>
        </is>
      </c>
      <c r="D5" s="61" t="inlineStr">
        <is>
          <t>Tipo</t>
        </is>
      </c>
      <c r="E5" s="61" t="inlineStr">
        <is>
          <t>Origen</t>
        </is>
      </c>
      <c r="F5" s="61" t="inlineStr">
        <is>
          <t>Nivel</t>
        </is>
      </c>
      <c r="G5" s="61" t="inlineStr">
        <is>
          <t>MITRE ATT&amp;CK</t>
        </is>
      </c>
      <c r="I5" s="99" t="n"/>
    </row>
    <row r="6" ht="30" customHeight="1" s="146">
      <c r="A6" s="20" t="inlineStr">
        <is>
          <t>AM-001</t>
        </is>
      </c>
      <c r="B6" s="47" t="inlineStr">
        <is>
          <t>Malware</t>
        </is>
      </c>
      <c r="C6" s="47" t="inlineStr">
        <is>
          <t>Software malicioso (virus, ransomware, troyanos)</t>
        </is>
      </c>
      <c r="D6" s="20" t="inlineStr">
        <is>
          <t>Técnica</t>
        </is>
      </c>
      <c r="E6" s="20" t="inlineStr">
        <is>
          <t>Externo</t>
        </is>
      </c>
      <c r="F6" s="21" t="inlineStr">
        <is>
          <t>Alto</t>
        </is>
      </c>
      <c r="G6" s="20" t="inlineStr">
        <is>
          <t>T1486</t>
        </is>
      </c>
      <c r="I6" s="99" t="n"/>
    </row>
    <row r="7">
      <c r="A7" s="20" t="inlineStr">
        <is>
          <t>AM-002</t>
        </is>
      </c>
      <c r="B7" s="47" t="inlineStr">
        <is>
          <t>Phishing</t>
        </is>
      </c>
      <c r="C7" s="47" t="inlineStr">
        <is>
          <t>Correos fraudulentos para robar credenciales</t>
        </is>
      </c>
      <c r="D7" s="20" t="inlineStr">
        <is>
          <t>Técnica</t>
        </is>
      </c>
      <c r="E7" s="20" t="inlineStr">
        <is>
          <t>Externo</t>
        </is>
      </c>
      <c r="F7" s="21" t="inlineStr">
        <is>
          <t>Alto</t>
        </is>
      </c>
      <c r="G7" s="20" t="inlineStr">
        <is>
          <t>T1566</t>
        </is>
      </c>
      <c r="I7" s="99" t="n"/>
    </row>
    <row r="8">
      <c r="A8" s="20" t="inlineStr">
        <is>
          <t>AM-003</t>
        </is>
      </c>
      <c r="B8" s="47" t="inlineStr">
        <is>
          <t>DDoS</t>
        </is>
      </c>
      <c r="C8" s="47" t="inlineStr">
        <is>
          <t>Ataque de denegación de servicio distribuido</t>
        </is>
      </c>
      <c r="D8" s="20" t="inlineStr">
        <is>
          <t>Técnica</t>
        </is>
      </c>
      <c r="E8" s="20" t="inlineStr">
        <is>
          <t>Externo</t>
        </is>
      </c>
      <c r="F8" s="22" t="inlineStr">
        <is>
          <t>Medio</t>
        </is>
      </c>
      <c r="G8" s="20" t="inlineStr">
        <is>
          <t>T1498</t>
        </is>
      </c>
      <c r="I8" s="99" t="n"/>
    </row>
    <row r="9" ht="30" customHeight="1" s="146">
      <c r="A9" s="20" t="inlineStr">
        <is>
          <t>AM-004</t>
        </is>
      </c>
      <c r="B9" s="47" t="inlineStr">
        <is>
          <t>Acceso no autorizado</t>
        </is>
      </c>
      <c r="C9" s="47" t="inlineStr">
        <is>
          <t>Intrusión por credenciales comprometidas</t>
        </is>
      </c>
      <c r="D9" s="20" t="inlineStr">
        <is>
          <t>Técnica</t>
        </is>
      </c>
      <c r="E9" s="20" t="inlineStr">
        <is>
          <t>Externo/Interno</t>
        </is>
      </c>
      <c r="F9" s="62" t="inlineStr">
        <is>
          <t>Crítico</t>
        </is>
      </c>
      <c r="G9" s="20" t="inlineStr">
        <is>
          <t>T1078</t>
        </is>
      </c>
      <c r="I9" s="99" t="n"/>
    </row>
    <row r="10">
      <c r="A10" s="20" t="inlineStr">
        <is>
          <t>AM-005</t>
        </is>
      </c>
      <c r="B10" s="47" t="inlineStr">
        <is>
          <t>Fuga de información</t>
        </is>
      </c>
      <c r="C10" s="47" t="inlineStr">
        <is>
          <t>Divulgación no autorizada de datos sensibles</t>
        </is>
      </c>
      <c r="D10" s="20" t="inlineStr">
        <is>
          <t>Humana</t>
        </is>
      </c>
      <c r="E10" s="20" t="inlineStr">
        <is>
          <t>Interno</t>
        </is>
      </c>
      <c r="F10" s="21" t="inlineStr">
        <is>
          <t>Alto</t>
        </is>
      </c>
      <c r="G10" s="20" t="inlineStr">
        <is>
          <t>T1567</t>
        </is>
      </c>
      <c r="I10" s="99" t="n"/>
    </row>
    <row r="11">
      <c r="A11" s="20" t="inlineStr">
        <is>
          <t>AM-006</t>
        </is>
      </c>
      <c r="B11" s="47" t="inlineStr">
        <is>
          <t>Fallo eléctrico</t>
        </is>
      </c>
      <c r="C11" s="47" t="inlineStr">
        <is>
          <t>Corte de suministro eléctrico</t>
        </is>
      </c>
      <c r="D11" s="20" t="inlineStr">
        <is>
          <t>Natural</t>
        </is>
      </c>
      <c r="E11" s="20" t="inlineStr">
        <is>
          <t>Ambiental</t>
        </is>
      </c>
      <c r="F11" s="22" t="inlineStr">
        <is>
          <t>Medio</t>
        </is>
      </c>
      <c r="G11" s="20" t="inlineStr">
        <is>
          <t>N/A</t>
        </is>
      </c>
      <c r="I11" s="99" t="n"/>
    </row>
    <row r="12">
      <c r="A12" s="20" t="inlineStr">
        <is>
          <t>AM-007</t>
        </is>
      </c>
      <c r="B12" s="47" t="inlineStr">
        <is>
          <t>Incendio</t>
        </is>
      </c>
      <c r="C12" s="47" t="inlineStr">
        <is>
          <t>Fuego en instalaciones</t>
        </is>
      </c>
      <c r="D12" s="20" t="inlineStr">
        <is>
          <t>Natural</t>
        </is>
      </c>
      <c r="E12" s="20" t="inlineStr">
        <is>
          <t>Ambiental</t>
        </is>
      </c>
      <c r="F12" s="21" t="inlineStr">
        <is>
          <t>Alto</t>
        </is>
      </c>
      <c r="G12" s="20" t="inlineStr">
        <is>
          <t>N/A</t>
        </is>
      </c>
      <c r="I12" s="99" t="n"/>
    </row>
    <row r="13">
      <c r="A13" s="20" t="inlineStr">
        <is>
          <t>AM-008</t>
        </is>
      </c>
      <c r="B13" s="47" t="inlineStr">
        <is>
          <t>Error humano</t>
        </is>
      </c>
      <c r="C13" s="47" t="inlineStr">
        <is>
          <t>Eliminación o modificación accidental de datos</t>
        </is>
      </c>
      <c r="D13" s="20" t="inlineStr">
        <is>
          <t>Humana</t>
        </is>
      </c>
      <c r="E13" s="20" t="inlineStr">
        <is>
          <t>Interno</t>
        </is>
      </c>
      <c r="F13" s="22" t="inlineStr">
        <is>
          <t>Medio</t>
        </is>
      </c>
      <c r="G13" s="20" t="inlineStr">
        <is>
          <t>N/A</t>
        </is>
      </c>
      <c r="I13" s="99" t="n"/>
    </row>
    <row r="14">
      <c r="I14" s="99" t="n"/>
    </row>
    <row r="15">
      <c r="I15" s="99" t="n"/>
    </row>
    <row r="16">
      <c r="I16" s="99" t="n"/>
    </row>
    <row r="17">
      <c r="I17" s="99" t="n"/>
    </row>
    <row r="18">
      <c r="I18" s="99" t="n"/>
    </row>
    <row r="19">
      <c r="I19" s="99" t="n"/>
    </row>
    <row r="20">
      <c r="I20" s="99" t="n"/>
    </row>
    <row r="21">
      <c r="I21" s="99" t="n"/>
    </row>
    <row r="22">
      <c r="I22" s="99" t="n"/>
    </row>
    <row r="23">
      <c r="I23" s="99" t="n"/>
    </row>
    <row r="24">
      <c r="I24" s="99" t="n"/>
    </row>
    <row r="25">
      <c r="I25" s="99" t="n"/>
    </row>
    <row r="26">
      <c r="I26" s="99" t="n"/>
    </row>
    <row r="27">
      <c r="I27" s="99" t="n"/>
    </row>
    <row r="28">
      <c r="I28" s="99" t="n"/>
    </row>
    <row r="29">
      <c r="I29" s="99" t="n"/>
    </row>
    <row r="30">
      <c r="I30" s="99" t="n"/>
    </row>
    <row r="31">
      <c r="I31" s="99" t="n"/>
    </row>
    <row r="32">
      <c r="I32" s="99" t="n"/>
    </row>
    <row r="33">
      <c r="I33" s="99" t="n"/>
    </row>
    <row r="34">
      <c r="I34" s="99" t="n"/>
    </row>
    <row r="35">
      <c r="I35" s="99" t="n"/>
    </row>
    <row r="36">
      <c r="I36" s="99" t="n"/>
    </row>
    <row r="37">
      <c r="I37" s="99" t="n"/>
    </row>
    <row r="38">
      <c r="I38" s="99" t="n"/>
    </row>
    <row r="39">
      <c r="I39" s="99" t="n"/>
    </row>
    <row r="40">
      <c r="I40" s="99" t="n"/>
    </row>
    <row r="41">
      <c r="I41" s="99" t="n"/>
    </row>
    <row r="42">
      <c r="I42" s="99" t="n"/>
    </row>
    <row r="43">
      <c r="I43" s="99" t="n"/>
    </row>
    <row r="44">
      <c r="I44" s="99" t="n"/>
    </row>
    <row r="45">
      <c r="I45" s="99" t="n"/>
    </row>
    <row r="46">
      <c r="I46" s="99" t="n"/>
    </row>
    <row r="47">
      <c r="I47" s="99" t="n"/>
    </row>
    <row r="48">
      <c r="I48" s="99" t="n"/>
    </row>
    <row r="49">
      <c r="I49" s="99" t="n"/>
    </row>
    <row r="50">
      <c r="A50" s="266" t="inlineStr">
        <is>
          <t>TIPOS DE AMENAZAS</t>
        </is>
      </c>
      <c r="I50" s="99" t="n"/>
    </row>
    <row r="51">
      <c r="I51" s="99" t="n"/>
    </row>
    <row r="52">
      <c r="A52" s="63" t="inlineStr">
        <is>
          <t>Técnica</t>
        </is>
      </c>
      <c r="B52" s="289" t="inlineStr">
        <is>
          <t>Ataques cibernéticos, exploits, malware</t>
        </is>
      </c>
      <c r="C52" s="244" t="n"/>
      <c r="D52" s="245" t="n"/>
      <c r="I52" s="99" t="n"/>
    </row>
    <row r="53">
      <c r="A53" s="63" t="inlineStr">
        <is>
          <t>Humana</t>
        </is>
      </c>
      <c r="B53" s="289" t="inlineStr">
        <is>
          <t>Errores, negligencia, acciones maliciosas internas</t>
        </is>
      </c>
      <c r="C53" s="244" t="n"/>
      <c r="D53" s="245" t="n"/>
      <c r="I53" s="99" t="n"/>
    </row>
    <row r="54">
      <c r="A54" s="63" t="inlineStr">
        <is>
          <t>Natural</t>
        </is>
      </c>
      <c r="B54" s="289" t="inlineStr">
        <is>
          <t>Desastres naturales, fallos ambientales</t>
        </is>
      </c>
      <c r="C54" s="244" t="n"/>
      <c r="D54" s="245" t="n"/>
      <c r="I54" s="99" t="n"/>
    </row>
    <row r="55">
      <c r="I55" s="99" t="n"/>
    </row>
    <row r="56">
      <c r="I56" s="99" t="n"/>
    </row>
    <row r="57">
      <c r="I57" s="99" t="n"/>
    </row>
    <row r="58">
      <c r="I58" s="99" t="n"/>
    </row>
    <row r="59">
      <c r="I59" s="99" t="n"/>
    </row>
    <row r="60">
      <c r="I60" s="99" t="n"/>
    </row>
    <row r="61">
      <c r="I61" s="99" t="n"/>
    </row>
    <row r="62">
      <c r="I62" s="99" t="n"/>
    </row>
    <row r="63">
      <c r="I63" s="99" t="n"/>
    </row>
    <row r="64">
      <c r="I64" s="99" t="n"/>
    </row>
    <row r="65">
      <c r="I65" s="99" t="n"/>
    </row>
    <row r="66">
      <c r="I66" s="99" t="n"/>
    </row>
    <row r="67">
      <c r="I67" s="99" t="n"/>
    </row>
    <row r="68">
      <c r="I68" s="99" t="n"/>
    </row>
    <row r="69">
      <c r="I69" s="99" t="n"/>
    </row>
    <row r="70">
      <c r="I70" s="99" t="n"/>
    </row>
    <row r="71">
      <c r="I71" s="99" t="n"/>
    </row>
    <row r="72">
      <c r="I72" s="99" t="n"/>
    </row>
    <row r="73">
      <c r="I73" s="99" t="n"/>
    </row>
    <row r="74">
      <c r="I74" s="99" t="n"/>
    </row>
    <row r="75">
      <c r="I75" s="99" t="n"/>
    </row>
    <row r="76">
      <c r="I76" s="99" t="n"/>
    </row>
    <row r="77">
      <c r="I77" s="99" t="n"/>
    </row>
    <row r="78">
      <c r="I78" s="99" t="n"/>
    </row>
    <row r="79">
      <c r="I79" s="99" t="n"/>
    </row>
    <row r="80">
      <c r="I80" s="99" t="n"/>
    </row>
    <row r="81">
      <c r="I81" s="99" t="n"/>
    </row>
    <row r="82">
      <c r="I82" s="99" t="n"/>
    </row>
    <row r="83">
      <c r="I83" s="99" t="n"/>
    </row>
    <row r="84">
      <c r="I84" s="99" t="n"/>
    </row>
    <row r="85">
      <c r="I85" s="99" t="n"/>
    </row>
    <row r="86">
      <c r="I86" s="99" t="n"/>
    </row>
    <row r="87">
      <c r="I87" s="99" t="n"/>
    </row>
    <row r="88">
      <c r="I88" s="99" t="n"/>
    </row>
    <row r="89">
      <c r="I89" s="99" t="n"/>
    </row>
    <row r="90">
      <c r="I90" s="99" t="n"/>
    </row>
    <row r="91">
      <c r="I91" s="99" t="n"/>
    </row>
    <row r="92">
      <c r="I92" s="99" t="n"/>
    </row>
    <row r="93">
      <c r="I93" s="99" t="n"/>
    </row>
    <row r="94">
      <c r="I94" s="99" t="n"/>
    </row>
    <row r="95">
      <c r="I95" s="99" t="n"/>
    </row>
    <row r="96">
      <c r="I96" s="99" t="n"/>
    </row>
    <row r="97">
      <c r="I97" s="99" t="n"/>
    </row>
    <row r="98">
      <c r="I98" s="99" t="n"/>
    </row>
    <row r="99">
      <c r="I99" s="99" t="n"/>
    </row>
    <row r="100">
      <c r="I100" s="99" t="n"/>
    </row>
    <row r="101">
      <c r="I101" s="99" t="n"/>
    </row>
    <row r="102">
      <c r="I102" s="99" t="n"/>
    </row>
    <row r="103">
      <c r="I103" s="99" t="n"/>
    </row>
    <row r="104">
      <c r="I104" s="99" t="n"/>
    </row>
    <row r="105">
      <c r="I105" s="99" t="n"/>
    </row>
    <row r="106">
      <c r="I106" s="99" t="n"/>
    </row>
    <row r="107">
      <c r="I107" s="99" t="n"/>
    </row>
    <row r="108">
      <c r="I108" s="99" t="n"/>
    </row>
    <row r="109">
      <c r="I109" s="99" t="n"/>
    </row>
    <row r="110">
      <c r="I110" s="99" t="n"/>
    </row>
    <row r="111">
      <c r="I111" s="99" t="n"/>
    </row>
    <row r="112">
      <c r="I112" s="99" t="n"/>
    </row>
    <row r="113">
      <c r="I113" s="99" t="n"/>
    </row>
    <row r="114">
      <c r="I114" s="99" t="n"/>
    </row>
    <row r="115">
      <c r="I115" s="99" t="n"/>
    </row>
    <row r="116">
      <c r="I116" s="99" t="n"/>
    </row>
    <row r="117">
      <c r="I117" s="99" t="n"/>
    </row>
    <row r="118">
      <c r="I118" s="99" t="n"/>
    </row>
    <row r="119">
      <c r="I119" s="99" t="n"/>
    </row>
    <row r="120">
      <c r="I120" s="99" t="n"/>
    </row>
    <row r="121">
      <c r="I121" s="99" t="n"/>
    </row>
    <row r="122">
      <c r="I122" s="99" t="n"/>
    </row>
    <row r="123">
      <c r="I123" s="99" t="n"/>
    </row>
    <row r="124">
      <c r="I124" s="99" t="n"/>
    </row>
    <row r="125">
      <c r="I125" s="99" t="n"/>
    </row>
    <row r="126">
      <c r="I126" s="99" t="n"/>
    </row>
    <row r="127">
      <c r="I127" s="99" t="n"/>
    </row>
    <row r="128">
      <c r="I128" s="99" t="n"/>
    </row>
    <row r="129">
      <c r="I129" s="99" t="n"/>
    </row>
    <row r="130">
      <c r="I130" s="99" t="n"/>
    </row>
    <row r="131">
      <c r="I131" s="99" t="n"/>
    </row>
    <row r="132">
      <c r="I132" s="99" t="n"/>
    </row>
    <row r="133">
      <c r="I133" s="99" t="n"/>
    </row>
    <row r="134">
      <c r="I134" s="99" t="n"/>
    </row>
    <row r="135">
      <c r="I135" s="99" t="n"/>
    </row>
    <row r="136">
      <c r="I136" s="99" t="n"/>
    </row>
    <row r="137">
      <c r="I137" s="99" t="n"/>
    </row>
    <row r="138">
      <c r="I138" s="99" t="n"/>
    </row>
    <row r="139">
      <c r="I139" s="99" t="n"/>
    </row>
    <row r="140">
      <c r="I140" s="99" t="n"/>
    </row>
    <row r="141">
      <c r="I141" s="99" t="n"/>
    </row>
    <row r="142">
      <c r="I142" s="99" t="n"/>
    </row>
    <row r="143">
      <c r="I143" s="99" t="n"/>
    </row>
    <row r="144">
      <c r="I144" s="99" t="n"/>
    </row>
    <row r="145">
      <c r="I145" s="99" t="n"/>
    </row>
    <row r="146">
      <c r="I146" s="99" t="n"/>
    </row>
    <row r="147">
      <c r="I147" s="99" t="n"/>
    </row>
    <row r="148">
      <c r="I148" s="99" t="n"/>
    </row>
    <row r="149">
      <c r="I149" s="99" t="n"/>
    </row>
    <row r="150">
      <c r="I150" s="99" t="n"/>
    </row>
    <row r="151">
      <c r="I151" s="99" t="n"/>
    </row>
    <row r="152">
      <c r="I152" s="99" t="n"/>
    </row>
    <row r="153">
      <c r="I153" s="99" t="n"/>
    </row>
    <row r="154">
      <c r="I154" s="99" t="n"/>
    </row>
    <row r="155">
      <c r="I155" s="99" t="n"/>
    </row>
    <row r="156">
      <c r="I156" s="99" t="n"/>
    </row>
    <row r="157">
      <c r="I157" s="99" t="n"/>
    </row>
    <row r="158">
      <c r="I158" s="99" t="n"/>
    </row>
    <row r="159">
      <c r="I159" s="99" t="n"/>
    </row>
    <row r="160">
      <c r="I160" s="99" t="n"/>
    </row>
    <row r="161">
      <c r="I161" s="99" t="n"/>
    </row>
    <row r="162">
      <c r="I162" s="99" t="n"/>
    </row>
    <row r="163">
      <c r="I163" s="99" t="n"/>
    </row>
    <row r="164">
      <c r="I164" s="99" t="n"/>
    </row>
    <row r="165">
      <c r="I165" s="99" t="n"/>
    </row>
    <row r="166">
      <c r="I166" s="99" t="n"/>
    </row>
    <row r="167">
      <c r="I167" s="99" t="n"/>
    </row>
    <row r="168">
      <c r="I168" s="99" t="n"/>
    </row>
    <row r="169">
      <c r="I169" s="99" t="n"/>
    </row>
    <row r="170">
      <c r="I170" s="99" t="n"/>
    </row>
    <row r="171">
      <c r="I171" s="99" t="n"/>
    </row>
    <row r="172">
      <c r="I172" s="99" t="n"/>
    </row>
    <row r="173">
      <c r="I173" s="99" t="n"/>
    </row>
    <row r="174">
      <c r="I174" s="99" t="n"/>
    </row>
    <row r="175">
      <c r="I175" s="99" t="n"/>
    </row>
    <row r="176">
      <c r="I176" s="99" t="n"/>
    </row>
    <row r="177">
      <c r="I177" s="99" t="n"/>
    </row>
    <row r="178">
      <c r="I178" s="99" t="n"/>
    </row>
    <row r="179">
      <c r="I179" s="99" t="n"/>
    </row>
    <row r="180">
      <c r="I180" s="99" t="n"/>
    </row>
    <row r="181">
      <c r="I181" s="99" t="n"/>
    </row>
    <row r="182">
      <c r="I182" s="99" t="n"/>
    </row>
    <row r="183">
      <c r="I183" s="99" t="n"/>
    </row>
    <row r="184">
      <c r="I184" s="99" t="n"/>
    </row>
    <row r="185">
      <c r="I185" s="99" t="n"/>
    </row>
    <row r="186">
      <c r="I186" s="99" t="n"/>
    </row>
    <row r="187">
      <c r="I187" s="99" t="n"/>
    </row>
    <row r="188">
      <c r="I188" s="99" t="n"/>
    </row>
    <row r="189">
      <c r="I189" s="99" t="n"/>
    </row>
    <row r="190">
      <c r="I190" s="99" t="n"/>
    </row>
    <row r="191">
      <c r="I191" s="99" t="n"/>
    </row>
    <row r="192">
      <c r="I192" s="99" t="n"/>
    </row>
    <row r="193">
      <c r="I193" s="99" t="n"/>
    </row>
    <row r="194">
      <c r="I194" s="99" t="n"/>
    </row>
    <row r="195">
      <c r="I195" s="99" t="n"/>
    </row>
    <row r="196">
      <c r="I196" s="99" t="n"/>
    </row>
    <row r="197">
      <c r="I197" s="99" t="n"/>
    </row>
    <row r="198">
      <c r="I198" s="99" t="n"/>
    </row>
    <row r="199">
      <c r="I199" s="99" t="n"/>
    </row>
    <row r="200">
      <c r="I200" s="99" t="n"/>
    </row>
    <row r="201">
      <c r="I201" s="99" t="n"/>
    </row>
    <row r="202">
      <c r="I202" s="99" t="n"/>
    </row>
    <row r="203">
      <c r="I203" s="99" t="n"/>
    </row>
    <row r="204">
      <c r="I204" s="99" t="n"/>
    </row>
    <row r="205">
      <c r="I205" s="99" t="n"/>
    </row>
    <row r="206">
      <c r="I206" s="99" t="n"/>
    </row>
    <row r="207">
      <c r="I207" s="99" t="n"/>
    </row>
    <row r="208">
      <c r="I208" s="99" t="n"/>
    </row>
    <row r="209">
      <c r="I209" s="99" t="n"/>
    </row>
    <row r="210">
      <c r="I210" s="99" t="n"/>
    </row>
    <row r="211">
      <c r="I211" s="99" t="n"/>
    </row>
    <row r="212">
      <c r="I212" s="99" t="n"/>
    </row>
    <row r="213">
      <c r="I213" s="99" t="n"/>
    </row>
    <row r="214">
      <c r="I214" s="99" t="n"/>
    </row>
    <row r="215">
      <c r="I215" s="99" t="n"/>
    </row>
    <row r="216">
      <c r="I216" s="99" t="n"/>
    </row>
    <row r="217">
      <c r="I217" s="99" t="n"/>
    </row>
    <row r="218">
      <c r="I218" s="99" t="n"/>
    </row>
    <row r="219">
      <c r="I219" s="99" t="n"/>
    </row>
    <row r="220">
      <c r="I220" s="99" t="n"/>
    </row>
    <row r="221">
      <c r="I221" s="99" t="n"/>
    </row>
    <row r="222">
      <c r="I222" s="99" t="n"/>
    </row>
    <row r="223">
      <c r="I223" s="99" t="n"/>
    </row>
    <row r="224">
      <c r="I224" s="99" t="n"/>
    </row>
    <row r="225">
      <c r="I225" s="99" t="n"/>
    </row>
    <row r="226">
      <c r="I226" s="99" t="n"/>
    </row>
    <row r="227">
      <c r="I227" s="99" t="n"/>
    </row>
    <row r="228">
      <c r="I228" s="99" t="n"/>
    </row>
    <row r="229">
      <c r="I229" s="99" t="n"/>
    </row>
    <row r="230">
      <c r="I230" s="99" t="n"/>
    </row>
    <row r="231">
      <c r="I231" s="99" t="n"/>
    </row>
    <row r="232">
      <c r="I232" s="99" t="n"/>
    </row>
    <row r="233">
      <c r="I233" s="99" t="n"/>
    </row>
    <row r="234">
      <c r="I234" s="99" t="n"/>
    </row>
    <row r="235">
      <c r="I235" s="99" t="n"/>
    </row>
    <row r="236">
      <c r="I236" s="99" t="n"/>
    </row>
    <row r="237">
      <c r="I237" s="99" t="n"/>
    </row>
    <row r="238">
      <c r="I238" s="99" t="n"/>
    </row>
    <row r="239">
      <c r="I239" s="99" t="n"/>
    </row>
    <row r="240">
      <c r="I240" s="99" t="n"/>
    </row>
    <row r="241">
      <c r="I241" s="99" t="n"/>
    </row>
    <row r="242">
      <c r="I242" s="99" t="n"/>
    </row>
    <row r="243">
      <c r="I243" s="99" t="n"/>
    </row>
    <row r="244">
      <c r="I244" s="99" t="n"/>
    </row>
    <row r="245">
      <c r="I245" s="99" t="n"/>
    </row>
    <row r="246">
      <c r="I246" s="99" t="n"/>
    </row>
    <row r="247">
      <c r="I247" s="99" t="n"/>
    </row>
    <row r="248">
      <c r="I248" s="99" t="n"/>
    </row>
    <row r="249">
      <c r="I249" s="99" t="n"/>
    </row>
    <row r="250">
      <c r="I250" s="99" t="n"/>
    </row>
    <row r="251">
      <c r="I251" s="99" t="n"/>
    </row>
    <row r="252">
      <c r="I252" s="99" t="n"/>
    </row>
    <row r="253">
      <c r="I253" s="99" t="n"/>
    </row>
    <row r="254">
      <c r="I254" s="99" t="n"/>
    </row>
    <row r="255">
      <c r="I255" s="99" t="n"/>
    </row>
    <row r="256">
      <c r="I256" s="99" t="n"/>
    </row>
    <row r="257">
      <c r="I257" s="99" t="n"/>
    </row>
    <row r="258">
      <c r="I258" s="99" t="n"/>
    </row>
    <row r="259">
      <c r="I259" s="99" t="n"/>
    </row>
    <row r="260">
      <c r="I260" s="99" t="n"/>
    </row>
    <row r="261">
      <c r="I261" s="99" t="n"/>
    </row>
    <row r="262">
      <c r="I262" s="99" t="n"/>
    </row>
    <row r="263">
      <c r="I263" s="99" t="n"/>
    </row>
    <row r="264">
      <c r="I264" s="99" t="n"/>
    </row>
    <row r="265">
      <c r="I265" s="99" t="n"/>
    </row>
    <row r="266">
      <c r="I266" s="99" t="n"/>
    </row>
    <row r="267">
      <c r="I267" s="99" t="n"/>
    </row>
    <row r="268">
      <c r="I268" s="99" t="n"/>
    </row>
    <row r="269">
      <c r="I269" s="99" t="n"/>
    </row>
    <row r="270">
      <c r="I270" s="99" t="n"/>
    </row>
    <row r="271">
      <c r="I271" s="99" t="n"/>
    </row>
    <row r="272">
      <c r="I272" s="99" t="n"/>
    </row>
    <row r="273">
      <c r="I273" s="99" t="n"/>
    </row>
    <row r="274">
      <c r="I274" s="99" t="n"/>
    </row>
    <row r="275">
      <c r="I275" s="99" t="n"/>
    </row>
    <row r="276">
      <c r="I276" s="99" t="n"/>
    </row>
    <row r="277">
      <c r="I277" s="99" t="n"/>
    </row>
    <row r="278">
      <c r="I278" s="99" t="n"/>
    </row>
    <row r="279">
      <c r="I279" s="99" t="n"/>
    </row>
    <row r="280">
      <c r="I280" s="99" t="n"/>
    </row>
    <row r="281">
      <c r="I281" s="99" t="n"/>
    </row>
    <row r="282">
      <c r="I282" s="99" t="n"/>
    </row>
    <row r="283">
      <c r="I283" s="99" t="n"/>
    </row>
    <row r="284">
      <c r="I284" s="99" t="n"/>
    </row>
    <row r="285">
      <c r="I285" s="99" t="n"/>
    </row>
    <row r="286">
      <c r="I286" s="99" t="n"/>
    </row>
    <row r="287">
      <c r="I287" s="99" t="n"/>
    </row>
    <row r="288">
      <c r="I288" s="99" t="n"/>
    </row>
    <row r="289">
      <c r="I289" s="99" t="n"/>
    </row>
    <row r="290">
      <c r="I290" s="99" t="n"/>
    </row>
    <row r="291">
      <c r="I291" s="99" t="n"/>
    </row>
    <row r="292">
      <c r="I292" s="99" t="n"/>
    </row>
    <row r="293">
      <c r="I293" s="99" t="n"/>
    </row>
    <row r="294">
      <c r="I294" s="99" t="n"/>
    </row>
    <row r="295">
      <c r="I295" s="99" t="n"/>
    </row>
    <row r="296">
      <c r="I296" s="99" t="n"/>
    </row>
    <row r="297">
      <c r="I297" s="99" t="n"/>
    </row>
    <row r="298">
      <c r="I298" s="99" t="n"/>
    </row>
    <row r="299">
      <c r="I299" s="99" t="n"/>
    </row>
    <row r="300">
      <c r="I300" s="99" t="n"/>
    </row>
    <row r="301">
      <c r="I301" s="99" t="n"/>
    </row>
    <row r="302">
      <c r="I302" s="99" t="n"/>
    </row>
    <row r="303">
      <c r="I303" s="99" t="n"/>
    </row>
    <row r="304">
      <c r="I304" s="99" t="n"/>
    </row>
    <row r="305">
      <c r="I305" s="99" t="n"/>
    </row>
    <row r="306">
      <c r="I306" s="99" t="n"/>
    </row>
    <row r="307">
      <c r="I307" s="99" t="n"/>
    </row>
    <row r="308">
      <c r="I308" s="99" t="n"/>
    </row>
    <row r="309">
      <c r="I309" s="99" t="n"/>
    </row>
    <row r="310">
      <c r="I310" s="99" t="n"/>
    </row>
    <row r="311">
      <c r="I311" s="99" t="n"/>
    </row>
    <row r="312">
      <c r="I312" s="99" t="n"/>
    </row>
    <row r="313">
      <c r="I313" s="99" t="n"/>
    </row>
    <row r="314">
      <c r="I314" s="99" t="n"/>
    </row>
    <row r="315">
      <c r="I315" s="99" t="n"/>
    </row>
    <row r="316">
      <c r="I316" s="99" t="n"/>
    </row>
    <row r="317">
      <c r="I317" s="99" t="n"/>
    </row>
    <row r="318">
      <c r="I318" s="99" t="n"/>
    </row>
    <row r="319">
      <c r="I319" s="99" t="n"/>
    </row>
    <row r="320">
      <c r="I320" s="99" t="n"/>
    </row>
    <row r="321">
      <c r="I321" s="99" t="n"/>
    </row>
    <row r="322">
      <c r="I322" s="99" t="n"/>
    </row>
    <row r="323">
      <c r="I323" s="99" t="n"/>
    </row>
    <row r="324">
      <c r="I324" s="99" t="n"/>
    </row>
    <row r="325">
      <c r="I325" s="99" t="n"/>
    </row>
    <row r="326">
      <c r="I326" s="99" t="n"/>
    </row>
    <row r="327">
      <c r="I327" s="99" t="n"/>
    </row>
    <row r="328">
      <c r="I328" s="99" t="n"/>
    </row>
    <row r="329">
      <c r="I329" s="99" t="n"/>
    </row>
    <row r="330">
      <c r="I330" s="99" t="n"/>
    </row>
    <row r="331">
      <c r="I331" s="99" t="n"/>
    </row>
    <row r="332">
      <c r="I332" s="99" t="n"/>
    </row>
    <row r="333">
      <c r="I333" s="99" t="n"/>
    </row>
    <row r="334">
      <c r="I334" s="99" t="n"/>
    </row>
    <row r="335">
      <c r="I335" s="99" t="n"/>
    </row>
    <row r="336">
      <c r="I336" s="99" t="n"/>
    </row>
    <row r="337">
      <c r="I337" s="99" t="n"/>
    </row>
    <row r="338">
      <c r="I338" s="99" t="n"/>
    </row>
    <row r="339">
      <c r="I339" s="99" t="n"/>
    </row>
    <row r="340">
      <c r="I340" s="99" t="n"/>
    </row>
    <row r="341">
      <c r="I341" s="99" t="n"/>
    </row>
    <row r="342">
      <c r="I342" s="99" t="n"/>
    </row>
    <row r="343">
      <c r="I343" s="99" t="n"/>
    </row>
    <row r="344">
      <c r="I344" s="99" t="n"/>
    </row>
    <row r="345">
      <c r="I345" s="99" t="n"/>
    </row>
    <row r="346">
      <c r="I346" s="99" t="n"/>
    </row>
    <row r="347">
      <c r="I347" s="99" t="n"/>
    </row>
    <row r="348">
      <c r="I348" s="99" t="n"/>
    </row>
    <row r="349">
      <c r="I349" s="99" t="n"/>
    </row>
    <row r="350">
      <c r="I350" s="99" t="n"/>
    </row>
    <row r="351">
      <c r="I351" s="99" t="n"/>
    </row>
    <row r="352">
      <c r="I352" s="99" t="n"/>
    </row>
    <row r="353">
      <c r="I353" s="99" t="n"/>
    </row>
    <row r="354">
      <c r="I354" s="99" t="n"/>
    </row>
    <row r="355">
      <c r="I355" s="99" t="n"/>
    </row>
    <row r="356">
      <c r="I356" s="99" t="n"/>
    </row>
    <row r="357">
      <c r="I357" s="99" t="n"/>
    </row>
    <row r="358">
      <c r="I358" s="99" t="n"/>
    </row>
    <row r="359">
      <c r="I359" s="99" t="n"/>
    </row>
    <row r="360">
      <c r="I360" s="99" t="n"/>
    </row>
    <row r="361">
      <c r="I361" s="99" t="n"/>
    </row>
    <row r="362">
      <c r="I362" s="99" t="n"/>
    </row>
    <row r="363">
      <c r="I363" s="99" t="n"/>
    </row>
    <row r="364">
      <c r="I364" s="99" t="n"/>
    </row>
    <row r="365">
      <c r="I365" s="99" t="n"/>
    </row>
    <row r="366">
      <c r="I366" s="99" t="n"/>
    </row>
    <row r="367">
      <c r="I367" s="99" t="n"/>
    </row>
    <row r="368">
      <c r="I368" s="99" t="n"/>
    </row>
    <row r="369">
      <c r="I369" s="99" t="n"/>
    </row>
    <row r="370">
      <c r="I370" s="99" t="n"/>
    </row>
    <row r="371">
      <c r="I371" s="99" t="n"/>
    </row>
    <row r="372">
      <c r="I372" s="99" t="n"/>
    </row>
    <row r="373">
      <c r="I373" s="99" t="n"/>
    </row>
    <row r="374">
      <c r="I374" s="99" t="n"/>
    </row>
    <row r="375">
      <c r="I375" s="99" t="n"/>
    </row>
    <row r="376">
      <c r="I376" s="99" t="n"/>
    </row>
    <row r="377">
      <c r="I377" s="99" t="n"/>
    </row>
    <row r="378">
      <c r="I378" s="99" t="n"/>
    </row>
    <row r="379">
      <c r="I379" s="99" t="n"/>
    </row>
    <row r="380">
      <c r="I380" s="99" t="n"/>
    </row>
    <row r="381">
      <c r="I381" s="99" t="n"/>
    </row>
    <row r="382">
      <c r="I382" s="99" t="n"/>
    </row>
    <row r="383">
      <c r="I383" s="99" t="n"/>
    </row>
    <row r="384">
      <c r="I384" s="99" t="n"/>
    </row>
    <row r="385">
      <c r="I385" s="99" t="n"/>
    </row>
    <row r="386">
      <c r="I386" s="99" t="n"/>
    </row>
    <row r="387">
      <c r="I387" s="99" t="n"/>
    </row>
    <row r="388">
      <c r="I388" s="99" t="n"/>
    </row>
    <row r="389">
      <c r="I389" s="99" t="n"/>
    </row>
    <row r="390">
      <c r="I390" s="99" t="n"/>
    </row>
    <row r="391">
      <c r="I391" s="99" t="n"/>
    </row>
    <row r="392">
      <c r="I392" s="99" t="n"/>
    </row>
    <row r="393">
      <c r="I393" s="99" t="n"/>
    </row>
    <row r="394">
      <c r="I394" s="99" t="n"/>
    </row>
    <row r="395">
      <c r="I395" s="99" t="n"/>
    </row>
    <row r="396">
      <c r="I396" s="99" t="n"/>
    </row>
    <row r="397">
      <c r="I397" s="99" t="n"/>
    </row>
    <row r="398">
      <c r="I398" s="99" t="n"/>
    </row>
    <row r="399">
      <c r="I399" s="99" t="n"/>
    </row>
    <row r="400">
      <c r="I400" s="99" t="n"/>
    </row>
    <row r="401">
      <c r="I401" s="99" t="n"/>
    </row>
    <row r="402">
      <c r="I402" s="99" t="n"/>
    </row>
    <row r="403">
      <c r="I403" s="99" t="n"/>
    </row>
    <row r="404">
      <c r="I404" s="99" t="n"/>
    </row>
    <row r="405">
      <c r="I405" s="99" t="n"/>
    </row>
    <row r="406">
      <c r="I406" s="99" t="n"/>
    </row>
    <row r="407">
      <c r="I407" s="99" t="n"/>
    </row>
    <row r="408">
      <c r="I408" s="99" t="n"/>
    </row>
    <row r="409">
      <c r="I409" s="99" t="n"/>
    </row>
    <row r="410">
      <c r="I410" s="99" t="n"/>
    </row>
    <row r="411">
      <c r="I411" s="99" t="n"/>
    </row>
    <row r="412">
      <c r="I412" s="99" t="n"/>
    </row>
    <row r="413">
      <c r="I413" s="99" t="n"/>
    </row>
    <row r="414">
      <c r="I414" s="99" t="n"/>
    </row>
    <row r="415">
      <c r="I415" s="99" t="n"/>
    </row>
    <row r="416">
      <c r="I416" s="99" t="n"/>
    </row>
    <row r="417">
      <c r="I417" s="99" t="n"/>
    </row>
    <row r="418">
      <c r="I418" s="99" t="n"/>
    </row>
    <row r="419">
      <c r="I419" s="99" t="n"/>
    </row>
    <row r="420">
      <c r="I420" s="99" t="n"/>
    </row>
    <row r="421">
      <c r="I421" s="99" t="n"/>
    </row>
    <row r="422">
      <c r="I422" s="99" t="n"/>
    </row>
    <row r="423">
      <c r="I423" s="99" t="n"/>
    </row>
    <row r="424">
      <c r="I424" s="99" t="n"/>
    </row>
    <row r="425">
      <c r="I425" s="99" t="n"/>
    </row>
    <row r="426">
      <c r="I426" s="99" t="n"/>
    </row>
    <row r="427">
      <c r="I427" s="99" t="n"/>
    </row>
    <row r="428">
      <c r="I428" s="99" t="n"/>
    </row>
    <row r="429">
      <c r="I429" s="99" t="n"/>
    </row>
    <row r="430">
      <c r="I430" s="99" t="n"/>
    </row>
    <row r="431">
      <c r="I431" s="99" t="n"/>
    </row>
    <row r="432">
      <c r="I432" s="99" t="n"/>
    </row>
    <row r="433">
      <c r="I433" s="99" t="n"/>
    </row>
    <row r="434">
      <c r="I434" s="99" t="n"/>
    </row>
    <row r="435">
      <c r="I435" s="99" t="n"/>
    </row>
    <row r="436">
      <c r="I436" s="99" t="n"/>
    </row>
    <row r="437">
      <c r="I437" s="99" t="n"/>
    </row>
    <row r="438">
      <c r="I438" s="99" t="n"/>
    </row>
    <row r="439">
      <c r="I439" s="99" t="n"/>
    </row>
    <row r="440">
      <c r="I440" s="99" t="n"/>
    </row>
    <row r="441">
      <c r="I441" s="99" t="n"/>
    </row>
    <row r="442">
      <c r="I442" s="99" t="n"/>
    </row>
    <row r="443">
      <c r="I443" s="99" t="n"/>
    </row>
    <row r="444">
      <c r="I444" s="99" t="n"/>
    </row>
    <row r="445">
      <c r="I445" s="99" t="n"/>
    </row>
    <row r="446">
      <c r="I446" s="99" t="n"/>
    </row>
    <row r="447">
      <c r="I447" s="99" t="n"/>
    </row>
    <row r="448">
      <c r="I448" s="99" t="n"/>
    </row>
    <row r="449">
      <c r="I449" s="99" t="n"/>
    </row>
    <row r="450">
      <c r="I450" s="99" t="n"/>
    </row>
    <row r="451">
      <c r="I451" s="99" t="n"/>
    </row>
    <row r="452">
      <c r="I452" s="99" t="n"/>
    </row>
    <row r="453">
      <c r="I453" s="99" t="n"/>
    </row>
    <row r="454">
      <c r="I454" s="99" t="n"/>
    </row>
    <row r="455">
      <c r="I455" s="99" t="n"/>
    </row>
    <row r="456">
      <c r="I456" s="99" t="n"/>
    </row>
    <row r="457">
      <c r="I457" s="99" t="n"/>
    </row>
    <row r="458">
      <c r="I458" s="99" t="n"/>
    </row>
    <row r="459">
      <c r="I459" s="99" t="n"/>
    </row>
    <row r="460">
      <c r="I460" s="99" t="n"/>
    </row>
    <row r="461">
      <c r="I461" s="99" t="n"/>
    </row>
    <row r="462">
      <c r="I462" s="99" t="n"/>
    </row>
    <row r="463">
      <c r="I463" s="99" t="n"/>
    </row>
    <row r="464">
      <c r="I464" s="99" t="n"/>
    </row>
    <row r="465">
      <c r="I465" s="99" t="n"/>
    </row>
    <row r="466">
      <c r="I466" s="99" t="n"/>
    </row>
    <row r="467">
      <c r="I467" s="99" t="n"/>
    </row>
    <row r="468">
      <c r="I468" s="99" t="n"/>
    </row>
    <row r="469">
      <c r="I469" s="99" t="n"/>
    </row>
    <row r="470">
      <c r="I470" s="99" t="n"/>
    </row>
    <row r="471">
      <c r="I471" s="99" t="n"/>
    </row>
    <row r="472">
      <c r="I472" s="99" t="n"/>
    </row>
    <row r="473">
      <c r="I473" s="99" t="n"/>
    </row>
    <row r="474">
      <c r="I474" s="99" t="n"/>
    </row>
    <row r="475">
      <c r="I475" s="99" t="n"/>
    </row>
    <row r="476">
      <c r="I476" s="99" t="n"/>
    </row>
    <row r="477">
      <c r="I477" s="99" t="n"/>
    </row>
    <row r="478">
      <c r="I478" s="99" t="n"/>
    </row>
    <row r="479">
      <c r="I479" s="99" t="n"/>
    </row>
    <row r="480">
      <c r="I480" s="99" t="n"/>
    </row>
    <row r="481">
      <c r="I481" s="99" t="n"/>
    </row>
    <row r="482">
      <c r="I482" s="99" t="n"/>
    </row>
    <row r="483">
      <c r="I483" s="99" t="n"/>
    </row>
    <row r="484">
      <c r="I484" s="99" t="n"/>
    </row>
    <row r="485">
      <c r="I485" s="99" t="n"/>
    </row>
    <row r="486">
      <c r="I486" s="99" t="n"/>
    </row>
    <row r="487">
      <c r="I487" s="99" t="n"/>
    </row>
    <row r="488">
      <c r="I488" s="99" t="n"/>
    </row>
    <row r="489">
      <c r="I489" s="99" t="n"/>
    </row>
    <row r="490">
      <c r="I490" s="99" t="n"/>
    </row>
    <row r="491">
      <c r="I491" s="99" t="n"/>
    </row>
    <row r="492">
      <c r="I492" s="99" t="n"/>
    </row>
    <row r="493">
      <c r="I493" s="99" t="n"/>
    </row>
    <row r="494">
      <c r="I494" s="99" t="n"/>
    </row>
    <row r="495">
      <c r="I495" s="99" t="n"/>
    </row>
    <row r="496">
      <c r="I496" s="99" t="n"/>
    </row>
    <row r="497">
      <c r="I497" s="99" t="n"/>
    </row>
    <row r="498">
      <c r="I498" s="99" t="n"/>
    </row>
    <row r="499">
      <c r="I499" s="99" t="n"/>
    </row>
    <row r="500">
      <c r="I500" s="99" t="n"/>
    </row>
    <row r="501">
      <c r="I501" s="99" t="n"/>
    </row>
    <row r="502">
      <c r="I502" s="99" t="n"/>
    </row>
    <row r="503">
      <c r="I503" s="99" t="n"/>
    </row>
  </sheetData>
  <mergeCells count="6">
    <mergeCell ref="A1:G1"/>
    <mergeCell ref="A3:G3"/>
    <mergeCell ref="B52:D52"/>
    <mergeCell ref="B53:D53"/>
    <mergeCell ref="A50:C50"/>
    <mergeCell ref="B54:D54"/>
  </mergeCells>
  <pageMargins left="0.75" right="0.75" top="1" bottom="1" header="0.5" footer="0.5"/>
</worksheet>
</file>

<file path=xl/worksheets/sheet40.xml><?xml version="1.0" encoding="utf-8"?>
<worksheet xmlns="http://schemas.openxmlformats.org/spreadsheetml/2006/main">
  <sheetPr codeName="Hoja33">
    <tabColor rgb="FFFD6A02"/>
    <outlinePr summaryBelow="1" summaryRight="1"/>
    <pageSetUpPr/>
  </sheetPr>
  <dimension ref="A1:L5"/>
  <sheetViews>
    <sheetView showGridLines="0" workbookViewId="0">
      <selection activeCell="A1" sqref="A1:L1"/>
    </sheetView>
  </sheetViews>
  <sheetFormatPr baseColWidth="10" defaultColWidth="9.140625" defaultRowHeight="15"/>
  <cols>
    <col width="12" customWidth="1" style="146" min="1" max="1"/>
    <col width="20" customWidth="1" style="146" min="2" max="2"/>
    <col width="35" customWidth="1" style="146" min="3" max="3"/>
    <col width="18" customWidth="1" style="146" min="4" max="4"/>
    <col width="15" customWidth="1" style="146" min="5" max="5"/>
    <col width="12" customWidth="1" style="146" min="6" max="10"/>
    <col width="15" customWidth="1" style="146" min="11" max="11"/>
    <col width="30" customWidth="1" style="146" min="12" max="12"/>
  </cols>
  <sheetData>
    <row r="1" ht="24.95" customHeight="1" s="146">
      <c r="A1" s="267" t="inlineStr">
        <is>
          <t>INVENTARIO DE VULNERABILIDADES</t>
        </is>
      </c>
    </row>
    <row r="3" ht="30" customHeight="1" s="146">
      <c r="A3" s="64" t="inlineStr">
        <is>
          <t>ID Vuln.</t>
        </is>
      </c>
      <c r="B3" s="64" t="inlineStr">
        <is>
          <t>Nombre</t>
        </is>
      </c>
      <c r="C3" s="64" t="inlineStr">
        <is>
          <t>Descripción</t>
        </is>
      </c>
      <c r="D3" s="64" t="inlineStr">
        <is>
          <t>Activo Afectado</t>
        </is>
      </c>
      <c r="E3" s="64" t="inlineStr">
        <is>
          <t>Tipo</t>
        </is>
      </c>
      <c r="F3" s="64" t="inlineStr">
        <is>
          <t>Severidad</t>
        </is>
      </c>
      <c r="G3" s="64" t="inlineStr">
        <is>
          <t>CVE/CWE</t>
        </is>
      </c>
      <c r="H3" s="64" t="inlineStr">
        <is>
          <t>Estado</t>
        </is>
      </c>
      <c r="I3" s="64" t="inlineStr">
        <is>
          <t>Fecha Detección</t>
        </is>
      </c>
      <c r="J3" s="64" t="inlineStr">
        <is>
          <t>Fecha Resolución</t>
        </is>
      </c>
      <c r="K3" s="64" t="inlineStr">
        <is>
          <t>Responsable</t>
        </is>
      </c>
      <c r="L3" s="64" t="inlineStr">
        <is>
          <t>Acción Correctiva</t>
        </is>
      </c>
    </row>
    <row r="4" ht="30" customHeight="1" s="146">
      <c r="A4" s="20" t="inlineStr">
        <is>
          <t>VULN-001</t>
        </is>
      </c>
      <c r="B4" s="47" t="inlineStr">
        <is>
          <t>SQL Injection</t>
        </is>
      </c>
      <c r="C4" s="47" t="inlineStr">
        <is>
          <t>Vulnerabilidad de inyección SQL en formulario</t>
        </is>
      </c>
      <c r="D4" s="47" t="inlineStr">
        <is>
          <t>App Web</t>
        </is>
      </c>
      <c r="E4" s="20" t="inlineStr">
        <is>
          <t>Técnica</t>
        </is>
      </c>
      <c r="F4" s="62" t="inlineStr">
        <is>
          <t>Crítica</t>
        </is>
      </c>
      <c r="G4" s="47" t="inlineStr">
        <is>
          <t>CWE-89</t>
        </is>
      </c>
      <c r="H4" s="20" t="inlineStr">
        <is>
          <t>Pendiente</t>
        </is>
      </c>
      <c r="I4" s="47" t="inlineStr">
        <is>
          <t>01/11/2025</t>
        </is>
      </c>
      <c r="J4" s="47" t="n"/>
      <c r="K4" s="47" t="inlineStr">
        <is>
          <t>Dev Team</t>
        </is>
      </c>
      <c r="L4" s="47" t="inlineStr">
        <is>
          <t>Parametrización de consultas</t>
        </is>
      </c>
    </row>
    <row r="5">
      <c r="A5" s="20" t="inlineStr">
        <is>
          <t>VULN-002</t>
        </is>
      </c>
      <c r="B5" s="47" t="inlineStr">
        <is>
          <t>Contraseñas débiles</t>
        </is>
      </c>
      <c r="C5" s="47" t="inlineStr">
        <is>
          <t>Política de contraseñas no reforzada</t>
        </is>
      </c>
      <c r="D5" s="47" t="inlineStr">
        <is>
          <t>Active Directory</t>
        </is>
      </c>
      <c r="E5" s="20" t="inlineStr">
        <is>
          <t>Configuración</t>
        </is>
      </c>
      <c r="F5" s="21" t="inlineStr">
        <is>
          <t>Alta</t>
        </is>
      </c>
      <c r="G5" s="47" t="inlineStr">
        <is>
          <t>CWE-521</t>
        </is>
      </c>
      <c r="H5" s="20" t="inlineStr">
        <is>
          <t>En Revisión</t>
        </is>
      </c>
      <c r="I5" s="47" t="inlineStr">
        <is>
          <t>28/10/2025</t>
        </is>
      </c>
      <c r="J5" s="47" t="n"/>
      <c r="K5" s="47" t="inlineStr">
        <is>
          <t>Admin TI</t>
        </is>
      </c>
      <c r="L5" s="47" t="inlineStr">
        <is>
          <t>Implementar política GPO</t>
        </is>
      </c>
    </row>
  </sheetData>
  <mergeCells count="1">
    <mergeCell ref="A1:L1"/>
  </mergeCells>
  <dataValidations count="2">
    <dataValidation sqref="F4:F1000" showDropDown="0" showInputMessage="0" showErrorMessage="0" allowBlank="0" type="list">
      <formula1>"Crítica,Alta,Media,Baja"</formula1>
    </dataValidation>
    <dataValidation sqref="H4:H1000" showDropDown="0" showInputMessage="0" showErrorMessage="0" allowBlank="0" type="list">
      <formula1>"Abierto,En Proceso,Completado,Cerrado,Cancelado"</formula1>
    </dataValidation>
  </dataValidations>
  <pageMargins left="0.75" right="0.75" top="1" bottom="1" header="0.5" footer="0.5"/>
</worksheet>
</file>

<file path=xl/worksheets/sheet41.xml><?xml version="1.0" encoding="utf-8"?>
<worksheet xmlns="http://schemas.openxmlformats.org/spreadsheetml/2006/main">
  <sheetPr codeName="Hoja34">
    <tabColor rgb="FFC00000"/>
    <outlinePr summaryBelow="1" summaryRight="1"/>
    <pageSetUpPr/>
  </sheetPr>
  <dimension ref="A1:O4"/>
  <sheetViews>
    <sheetView showGridLines="0" workbookViewId="0">
      <selection activeCell="A1" sqref="A1:O1"/>
    </sheetView>
  </sheetViews>
  <sheetFormatPr baseColWidth="10" defaultColWidth="9.140625" defaultRowHeight="15"/>
  <cols>
    <col width="14" customWidth="1" style="146" min="1" max="2"/>
    <col width="20" customWidth="1" style="146" min="3" max="3"/>
    <col width="30" customWidth="1" style="146" min="4" max="4"/>
    <col width="12" customWidth="1" style="146" min="5" max="5"/>
    <col width="10" customWidth="1" style="146" min="6" max="6"/>
    <col width="18" customWidth="1" style="146" min="7" max="7"/>
    <col width="15" customWidth="1" style="146" min="8" max="8"/>
    <col width="10" customWidth="1" style="146" min="9" max="9"/>
    <col width="15" customWidth="1" style="146" min="10" max="10"/>
    <col width="12" customWidth="1" style="146" min="11" max="11"/>
    <col width="10" customWidth="1" style="146" min="12" max="12"/>
    <col width="20" customWidth="1" style="146" min="13" max="13"/>
    <col width="30" customWidth="1" style="146" min="14" max="15"/>
  </cols>
  <sheetData>
    <row r="1" ht="24.95" customHeight="1" s="146">
      <c r="A1" s="242" t="inlineStr">
        <is>
          <t>GESTIÓN DE INCIDENTES DE SEGURIDAD</t>
        </is>
      </c>
    </row>
    <row r="3" ht="35.1" customHeight="1" s="146">
      <c r="A3" s="65" t="inlineStr">
        <is>
          <t>ID Incidente</t>
        </is>
      </c>
      <c r="B3" s="65" t="inlineStr">
        <is>
          <t>Fecha/Hora</t>
        </is>
      </c>
      <c r="C3" s="65" t="inlineStr">
        <is>
          <t>Título</t>
        </is>
      </c>
      <c r="D3" s="65" t="inlineStr">
        <is>
          <t>Descripción</t>
        </is>
      </c>
      <c r="E3" s="65" t="inlineStr">
        <is>
          <t>Tipo</t>
        </is>
      </c>
      <c r="F3" s="65" t="inlineStr">
        <is>
          <t>Severidad</t>
        </is>
      </c>
      <c r="G3" s="65" t="inlineStr">
        <is>
          <t>Activos Afectados</t>
        </is>
      </c>
      <c r="H3" s="65" t="inlineStr">
        <is>
          <t>Detectado Por</t>
        </is>
      </c>
      <c r="I3" s="65" t="inlineStr">
        <is>
          <t>Estado</t>
        </is>
      </c>
      <c r="J3" s="65" t="inlineStr">
        <is>
          <t>Asignado A</t>
        </is>
      </c>
      <c r="K3" s="65" t="inlineStr">
        <is>
          <t>Fecha Resolución</t>
        </is>
      </c>
      <c r="L3" s="65" t="inlineStr">
        <is>
          <t>Tiempo Resolución</t>
        </is>
      </c>
      <c r="M3" s="65" t="inlineStr">
        <is>
          <t>Causa Raíz</t>
        </is>
      </c>
      <c r="N3" s="65" t="inlineStr">
        <is>
          <t>Acciones Tomadas</t>
        </is>
      </c>
      <c r="O3" s="65" t="inlineStr">
        <is>
          <t>Lecciones Aprendidas</t>
        </is>
      </c>
    </row>
    <row r="4" ht="30" customHeight="1" s="146">
      <c r="A4" s="20" t="inlineStr">
        <is>
          <t>INC-2025-001</t>
        </is>
      </c>
      <c r="B4" s="47" t="inlineStr">
        <is>
          <t>05/11/2025 14:30</t>
        </is>
      </c>
      <c r="C4" s="47" t="inlineStr">
        <is>
          <t>Intento de phishing</t>
        </is>
      </c>
      <c r="D4" s="47" t="inlineStr">
        <is>
          <t>Email sospechoso reportado por usuario</t>
        </is>
      </c>
      <c r="E4" s="20" t="inlineStr">
        <is>
          <t>Phishing</t>
        </is>
      </c>
      <c r="F4" s="20" t="inlineStr">
        <is>
          <t>Media</t>
        </is>
      </c>
      <c r="G4" s="47" t="inlineStr">
        <is>
          <t>Correo electrónico</t>
        </is>
      </c>
      <c r="H4" s="47" t="inlineStr">
        <is>
          <t>Usuario RRHH</t>
        </is>
      </c>
      <c r="I4" s="54" t="inlineStr">
        <is>
          <t>Cerrado</t>
        </is>
      </c>
      <c r="J4" s="47" t="inlineStr">
        <is>
          <t>Equipo Seguridad</t>
        </is>
      </c>
      <c r="K4" s="47" t="inlineStr">
        <is>
          <t>05/11/2025 16:00</t>
        </is>
      </c>
      <c r="L4" s="47" t="inlineStr">
        <is>
          <t>1.5 horas</t>
        </is>
      </c>
      <c r="M4" s="47" t="inlineStr">
        <is>
          <t>Campaña externa</t>
        </is>
      </c>
      <c r="N4" s="47" t="inlineStr">
        <is>
          <t>Bloqueado remitente, formación usuario</t>
        </is>
      </c>
      <c r="O4" s="47" t="inlineStr">
        <is>
          <t>Reforzar formación anti-phishing</t>
        </is>
      </c>
    </row>
  </sheetData>
  <mergeCells count="1">
    <mergeCell ref="A1:O1"/>
  </mergeCells>
  <dataValidations count="3">
    <dataValidation sqref="E4:E1000" showDropDown="0" showInputMessage="0" showErrorMessage="0" allowBlank="0" type="list">
      <formula1>"Malware,Phishing,Acceso no autorizado,Pérdida de datos,Denegación de servicio,Otro"</formula1>
    </dataValidation>
    <dataValidation sqref="F4:F1000" showDropDown="0" showInputMessage="0" showErrorMessage="0" allowBlank="0" type="list">
      <formula1>"Crítica,Alta,Media,Baja"</formula1>
    </dataValidation>
    <dataValidation sqref="I4:I1000" showDropDown="0" showInputMessage="0" showErrorMessage="0" allowBlank="0" type="list">
      <formula1>"Nuevo,En Investigación,En Proceso,Resuelto,Cerrado"</formula1>
    </dataValidation>
  </dataValidations>
  <pageMargins left="0.75" right="0.75" top="1" bottom="1" header="0.5" footer="0.5"/>
</worksheet>
</file>

<file path=xl/worksheets/sheet42.xml><?xml version="1.0" encoding="utf-8"?>
<worksheet xmlns="http://schemas.openxmlformats.org/spreadsheetml/2006/main">
  <sheetPr codeName="Hoja35">
    <tabColor rgb="FF1F4E78"/>
    <outlinePr summaryBelow="1" summaryRight="1"/>
    <pageSetUpPr/>
  </sheetPr>
  <dimension ref="A1:J8"/>
  <sheetViews>
    <sheetView showGridLines="0" workbookViewId="0">
      <selection activeCell="A1" sqref="A1:J1"/>
    </sheetView>
  </sheetViews>
  <sheetFormatPr baseColWidth="10" defaultColWidth="9.140625" defaultRowHeight="15"/>
  <cols>
    <col width="14" customWidth="1" style="146" min="1" max="1"/>
    <col width="28" customWidth="1" style="146" min="2" max="2"/>
    <col width="35" customWidth="1" style="146" min="3" max="3"/>
    <col width="8" customWidth="1" style="146" min="4" max="4"/>
    <col width="12" customWidth="1" style="146" min="5" max="7"/>
    <col width="10" customWidth="1" style="146" min="8" max="8"/>
    <col width="20" customWidth="1" style="146" min="9" max="9"/>
    <col width="12" customWidth="1" style="146" min="10" max="10"/>
  </cols>
  <sheetData>
    <row r="1" ht="24.95" customHeight="1" s="146">
      <c r="A1" s="268" t="inlineStr">
        <is>
          <t>POLÍTICAS DE SEGURIDAD DE LA INFORMACIÓN</t>
        </is>
      </c>
    </row>
    <row r="3" ht="30" customHeight="1" s="146">
      <c r="A3" s="66" t="inlineStr">
        <is>
          <t>Código</t>
        </is>
      </c>
      <c r="B3" s="66" t="inlineStr">
        <is>
          <t>Título Política</t>
        </is>
      </c>
      <c r="C3" s="66" t="inlineStr">
        <is>
          <t>Descripción</t>
        </is>
      </c>
      <c r="D3" s="66" t="inlineStr">
        <is>
          <t>Versión</t>
        </is>
      </c>
      <c r="E3" s="66" t="inlineStr">
        <is>
          <t>Fecha Aprobación</t>
        </is>
      </c>
      <c r="F3" s="66" t="inlineStr">
        <is>
          <t>Aprobado Por</t>
        </is>
      </c>
      <c r="G3" s="66" t="inlineStr">
        <is>
          <t>Próxima Revisión</t>
        </is>
      </c>
      <c r="H3" s="66" t="inlineStr">
        <is>
          <t>Estado</t>
        </is>
      </c>
      <c r="I3" s="66" t="inlineStr">
        <is>
          <t>Ubicación Documento</t>
        </is>
      </c>
      <c r="J3" s="66" t="inlineStr">
        <is>
          <t>Control ISO</t>
        </is>
      </c>
    </row>
    <row r="4">
      <c r="A4" s="20" t="inlineStr">
        <is>
          <t>POL-SGSI-001</t>
        </is>
      </c>
      <c r="B4" s="47" t="inlineStr">
        <is>
          <t>Política General de Seguridad</t>
        </is>
      </c>
      <c r="C4" s="47" t="inlineStr">
        <is>
          <t>Política marco del SGSI</t>
        </is>
      </c>
      <c r="D4" s="20" t="inlineStr">
        <is>
          <t>2.0</t>
        </is>
      </c>
      <c r="E4" s="47" t="inlineStr">
        <is>
          <t>01/01/2025</t>
        </is>
      </c>
      <c r="F4" s="47" t="inlineStr">
        <is>
          <t>CEO</t>
        </is>
      </c>
      <c r="G4" s="47" t="inlineStr">
        <is>
          <t>01/01/2026</t>
        </is>
      </c>
      <c r="H4" s="54" t="inlineStr">
        <is>
          <t>Vigente</t>
        </is>
      </c>
      <c r="I4" s="47" t="inlineStr">
        <is>
          <t>SharePoint/Políticas</t>
        </is>
      </c>
      <c r="J4" s="20" t="inlineStr">
        <is>
          <t>A.5.1</t>
        </is>
      </c>
    </row>
    <row r="5">
      <c r="A5" s="20" t="inlineStr">
        <is>
          <t>POL-ACC-001</t>
        </is>
      </c>
      <c r="B5" s="47" t="inlineStr">
        <is>
          <t>Control de Acceso</t>
        </is>
      </c>
      <c r="C5" s="47" t="inlineStr">
        <is>
          <t>Gestión de accesos y privilegios</t>
        </is>
      </c>
      <c r="D5" s="20" t="inlineStr">
        <is>
          <t>1.5</t>
        </is>
      </c>
      <c r="E5" s="47" t="inlineStr">
        <is>
          <t>15/03/2025</t>
        </is>
      </c>
      <c r="F5" s="47" t="inlineStr">
        <is>
          <t>CISO</t>
        </is>
      </c>
      <c r="G5" s="47" t="inlineStr">
        <is>
          <t>15/03/2026</t>
        </is>
      </c>
      <c r="H5" s="54" t="inlineStr">
        <is>
          <t>Vigente</t>
        </is>
      </c>
      <c r="I5" s="47" t="inlineStr">
        <is>
          <t>SharePoint/Políticas</t>
        </is>
      </c>
      <c r="J5" s="20" t="inlineStr">
        <is>
          <t>A.5.15</t>
        </is>
      </c>
    </row>
    <row r="6">
      <c r="A6" s="20" t="inlineStr">
        <is>
          <t>POL-AUP-001</t>
        </is>
      </c>
      <c r="B6" s="47" t="inlineStr">
        <is>
          <t>Uso Aceptable</t>
        </is>
      </c>
      <c r="C6" s="47" t="inlineStr">
        <is>
          <t>Uso apropiado de recursos IT</t>
        </is>
      </c>
      <c r="D6" s="20" t="inlineStr">
        <is>
          <t>1.0</t>
        </is>
      </c>
      <c r="E6" s="47" t="inlineStr">
        <is>
          <t>20/02/2025</t>
        </is>
      </c>
      <c r="F6" s="47" t="inlineStr">
        <is>
          <t>CISO</t>
        </is>
      </c>
      <c r="G6" s="47" t="inlineStr">
        <is>
          <t>20/02/2026</t>
        </is>
      </c>
      <c r="H6" s="54" t="inlineStr">
        <is>
          <t>Vigente</t>
        </is>
      </c>
      <c r="I6" s="47" t="inlineStr">
        <is>
          <t>SharePoint/Políticas</t>
        </is>
      </c>
      <c r="J6" s="20" t="inlineStr">
        <is>
          <t>A.5.10</t>
        </is>
      </c>
    </row>
    <row r="7">
      <c r="A7" s="20" t="inlineStr">
        <is>
          <t>POL-CONT-001</t>
        </is>
      </c>
      <c r="B7" s="47" t="inlineStr">
        <is>
          <t>Continuidad de Negocio</t>
        </is>
      </c>
      <c r="C7" s="47" t="inlineStr">
        <is>
          <t>Gestión de continuidad</t>
        </is>
      </c>
      <c r="D7" s="20" t="inlineStr">
        <is>
          <t>1.0</t>
        </is>
      </c>
      <c r="E7" s="47" t="inlineStr">
        <is>
          <t>10/04/2025</t>
        </is>
      </c>
      <c r="F7" s="47" t="inlineStr">
        <is>
          <t>CEO</t>
        </is>
      </c>
      <c r="G7" s="47" t="inlineStr">
        <is>
          <t>10/04/2026</t>
        </is>
      </c>
      <c r="H7" s="54" t="inlineStr">
        <is>
          <t>Vigente</t>
        </is>
      </c>
      <c r="I7" s="47" t="inlineStr">
        <is>
          <t>SharePoint/Políticas</t>
        </is>
      </c>
      <c r="J7" s="20" t="inlineStr">
        <is>
          <t>A.5.29</t>
        </is>
      </c>
    </row>
    <row r="8">
      <c r="A8" s="20" t="inlineStr">
        <is>
          <t>POL-INC-001</t>
        </is>
      </c>
      <c r="B8" s="47" t="inlineStr">
        <is>
          <t>Gestión de Incidentes</t>
        </is>
      </c>
      <c r="C8" s="47" t="inlineStr">
        <is>
          <t>Respuesta a incidentes de seguridad</t>
        </is>
      </c>
      <c r="D8" s="20" t="inlineStr">
        <is>
          <t>1.2</t>
        </is>
      </c>
      <c r="E8" s="47" t="inlineStr">
        <is>
          <t>05/05/2025</t>
        </is>
      </c>
      <c r="F8" s="47" t="inlineStr">
        <is>
          <t>CISO</t>
        </is>
      </c>
      <c r="G8" s="47" t="inlineStr">
        <is>
          <t>05/05/2026</t>
        </is>
      </c>
      <c r="H8" s="54" t="inlineStr">
        <is>
          <t>Vigente</t>
        </is>
      </c>
      <c r="I8" s="47" t="inlineStr">
        <is>
          <t>SharePoint/Políticas</t>
        </is>
      </c>
      <c r="J8" s="20" t="inlineStr">
        <is>
          <t>A.5.24</t>
        </is>
      </c>
    </row>
  </sheetData>
  <mergeCells count="1">
    <mergeCell ref="A1:J1"/>
  </mergeCells>
  <dataValidations count="1">
    <dataValidation sqref="H4:H1000" showDropDown="0" showInputMessage="0" showErrorMessage="0" allowBlank="0" type="list">
      <formula1>"Vigente,En Revisión,Aprobada,Pendiente,Obsoleta"</formula1>
    </dataValidation>
  </dataValidations>
  <pageMargins left="0.75" right="0.75" top="1" bottom="1" header="0.5" footer="0.5"/>
</worksheet>
</file>

<file path=xl/worksheets/sheet43.xml><?xml version="1.0" encoding="utf-8"?>
<worksheet xmlns="http://schemas.openxmlformats.org/spreadsheetml/2006/main">
  <sheetPr codeName="Hoja36">
    <tabColor rgb="FF548235"/>
    <outlinePr summaryBelow="1" summaryRight="1"/>
    <pageSetUpPr/>
  </sheetPr>
  <dimension ref="A1:I8"/>
  <sheetViews>
    <sheetView showGridLines="0" workbookViewId="0">
      <selection activeCell="A1" sqref="A1:I1"/>
    </sheetView>
  </sheetViews>
  <sheetFormatPr baseColWidth="10" defaultColWidth="9.140625" defaultRowHeight="15"/>
  <cols>
    <col width="14" customWidth="1" style="146" min="1" max="1"/>
    <col width="30" customWidth="1" style="146" min="2" max="2"/>
    <col width="35" customWidth="1" style="146" min="3" max="3"/>
    <col width="8" customWidth="1" style="146" min="4" max="4"/>
    <col width="12" customWidth="1" style="146" min="5" max="5"/>
    <col width="15" customWidth="1" style="146" min="6" max="6"/>
    <col width="10" customWidth="1" style="146" min="7" max="7"/>
    <col width="22" customWidth="1" style="146" min="8" max="8"/>
    <col width="15" customWidth="1" style="146" min="9" max="9"/>
  </cols>
  <sheetData>
    <row r="1" ht="24.95" customHeight="1" s="146">
      <c r="A1" s="203" t="inlineStr">
        <is>
          <t>PROCEDIMIENTOS DE SEGURIDAD</t>
        </is>
      </c>
    </row>
    <row r="3" ht="30" customHeight="1" s="146">
      <c r="A3" s="67" t="inlineStr">
        <is>
          <t>Código</t>
        </is>
      </c>
      <c r="B3" s="67" t="inlineStr">
        <is>
          <t>Título Procedimiento</t>
        </is>
      </c>
      <c r="C3" s="67" t="inlineStr">
        <is>
          <t>Descripción</t>
        </is>
      </c>
      <c r="D3" s="67" t="inlineStr">
        <is>
          <t>Versión</t>
        </is>
      </c>
      <c r="E3" s="67" t="inlineStr">
        <is>
          <t>Fecha Creación</t>
        </is>
      </c>
      <c r="F3" s="67" t="inlineStr">
        <is>
          <t>Responsable</t>
        </is>
      </c>
      <c r="G3" s="67" t="inlineStr">
        <is>
          <t>Estado</t>
        </is>
      </c>
      <c r="H3" s="67" t="inlineStr">
        <is>
          <t>Ubicación</t>
        </is>
      </c>
      <c r="I3" s="67" t="inlineStr">
        <is>
          <t>Relacionado Con</t>
        </is>
      </c>
    </row>
    <row r="4" ht="30" customHeight="1" s="146">
      <c r="A4" s="20" t="inlineStr">
        <is>
          <t>PROC-ACC-001</t>
        </is>
      </c>
      <c r="B4" s="47" t="inlineStr">
        <is>
          <t>Alta de Usuario</t>
        </is>
      </c>
      <c r="C4" s="47" t="inlineStr">
        <is>
          <t>Creación de cuentas de usuario</t>
        </is>
      </c>
      <c r="D4" s="20" t="inlineStr">
        <is>
          <t>1.0</t>
        </is>
      </c>
      <c r="E4" s="47" t="inlineStr">
        <is>
          <t>01/02/2025</t>
        </is>
      </c>
      <c r="F4" s="47" t="inlineStr">
        <is>
          <t>Admin TI</t>
        </is>
      </c>
      <c r="G4" s="54" t="inlineStr">
        <is>
          <t>Activo</t>
        </is>
      </c>
      <c r="H4" s="47" t="inlineStr">
        <is>
          <t>SharePoint/Procedimientos</t>
        </is>
      </c>
      <c r="I4" s="47" t="inlineStr">
        <is>
          <t>POL-ACC-001</t>
        </is>
      </c>
    </row>
    <row r="5" ht="30" customHeight="1" s="146">
      <c r="A5" s="20" t="inlineStr">
        <is>
          <t>PROC-ACC-002</t>
        </is>
      </c>
      <c r="B5" s="47" t="inlineStr">
        <is>
          <t>Baja de Usuario</t>
        </is>
      </c>
      <c r="C5" s="47" t="inlineStr">
        <is>
          <t>Eliminación de cuentas y accesos</t>
        </is>
      </c>
      <c r="D5" s="20" t="inlineStr">
        <is>
          <t>1.0</t>
        </is>
      </c>
      <c r="E5" s="47" t="inlineStr">
        <is>
          <t>01/02/2025</t>
        </is>
      </c>
      <c r="F5" s="47" t="inlineStr">
        <is>
          <t>Admin TI</t>
        </is>
      </c>
      <c r="G5" s="54" t="inlineStr">
        <is>
          <t>Activo</t>
        </is>
      </c>
      <c r="H5" s="47" t="inlineStr">
        <is>
          <t>SharePoint/Procedimientos</t>
        </is>
      </c>
      <c r="I5" s="47" t="inlineStr">
        <is>
          <t>POL-ACC-001</t>
        </is>
      </c>
    </row>
    <row r="6" ht="30" customHeight="1" s="146">
      <c r="A6" s="20" t="inlineStr">
        <is>
          <t>PROC-BACK-001</t>
        </is>
      </c>
      <c r="B6" s="47" t="inlineStr">
        <is>
          <t>Backup Diario</t>
        </is>
      </c>
      <c r="C6" s="47" t="inlineStr">
        <is>
          <t>Copias de seguridad automáticas</t>
        </is>
      </c>
      <c r="D6" s="20" t="inlineStr">
        <is>
          <t>2.0</t>
        </is>
      </c>
      <c r="E6" s="47" t="inlineStr">
        <is>
          <t>15/01/2025</t>
        </is>
      </c>
      <c r="F6" s="47" t="inlineStr">
        <is>
          <t>Admin Sistemas</t>
        </is>
      </c>
      <c r="G6" s="54" t="inlineStr">
        <is>
          <t>Activo</t>
        </is>
      </c>
      <c r="H6" s="47" t="inlineStr">
        <is>
          <t>SharePoint/Procedimientos</t>
        </is>
      </c>
      <c r="I6" s="47" t="inlineStr">
        <is>
          <t>POL-CONT-001</t>
        </is>
      </c>
    </row>
    <row r="7" ht="30" customHeight="1" s="146">
      <c r="A7" s="20" t="inlineStr">
        <is>
          <t>PROC-INC-001</t>
        </is>
      </c>
      <c r="B7" s="47" t="inlineStr">
        <is>
          <t>Respuesta a Incidentes</t>
        </is>
      </c>
      <c r="C7" s="47" t="inlineStr">
        <is>
          <t>Gestión y respuesta ante incidentes</t>
        </is>
      </c>
      <c r="D7" s="20" t="inlineStr">
        <is>
          <t>1.5</t>
        </is>
      </c>
      <c r="E7" s="47" t="inlineStr">
        <is>
          <t>20/03/2025</t>
        </is>
      </c>
      <c r="F7" s="47" t="inlineStr">
        <is>
          <t>CISO</t>
        </is>
      </c>
      <c r="G7" s="54" t="inlineStr">
        <is>
          <t>Activo</t>
        </is>
      </c>
      <c r="H7" s="47" t="inlineStr">
        <is>
          <t>SharePoint/Procedimientos</t>
        </is>
      </c>
      <c r="I7" s="47" t="inlineStr">
        <is>
          <t>POL-INC-001</t>
        </is>
      </c>
    </row>
    <row r="8" ht="30" customHeight="1" s="146">
      <c r="A8" s="20" t="inlineStr">
        <is>
          <t>PROC-PAR-001</t>
        </is>
      </c>
      <c r="B8" s="47" t="inlineStr">
        <is>
          <t>Instalación de Parches</t>
        </is>
      </c>
      <c r="C8" s="47" t="inlineStr">
        <is>
          <t>Actualización de sistemas</t>
        </is>
      </c>
      <c r="D8" s="20" t="inlineStr">
        <is>
          <t>1.0</t>
        </is>
      </c>
      <c r="E8" s="47" t="inlineStr">
        <is>
          <t>10/02/2025</t>
        </is>
      </c>
      <c r="F8" s="47" t="inlineStr">
        <is>
          <t>Admin Sistemas</t>
        </is>
      </c>
      <c r="G8" s="54" t="inlineStr">
        <is>
          <t>Activo</t>
        </is>
      </c>
      <c r="H8" s="47" t="inlineStr">
        <is>
          <t>SharePoint/Procedimientos</t>
        </is>
      </c>
      <c r="I8" s="47" t="inlineStr">
        <is>
          <t>POL-SGSI-001</t>
        </is>
      </c>
    </row>
  </sheetData>
  <mergeCells count="1">
    <mergeCell ref="A1:I1"/>
  </mergeCells>
  <dataValidations count="1">
    <dataValidation sqref="G4:G1000" showDropDown="0" showInputMessage="0" showErrorMessage="0" allowBlank="0" type="list">
      <formula1>"Vigente,En Revisión,Aprobado,Pendiente,Obsoleto"</formula1>
    </dataValidation>
  </dataValidations>
  <pageMargins left="0.75" right="0.75" top="1" bottom="1" header="0.5" footer="0.5"/>
</worksheet>
</file>

<file path=xl/worksheets/sheet44.xml><?xml version="1.0" encoding="utf-8"?>
<worksheet xmlns="http://schemas.openxmlformats.org/spreadsheetml/2006/main">
  <sheetPr codeName="Hoja37">
    <tabColor rgb="FF7030A0"/>
    <outlinePr summaryBelow="1" summaryRight="1"/>
    <pageSetUpPr/>
  </sheetPr>
  <dimension ref="A1:L6"/>
  <sheetViews>
    <sheetView showGridLines="0" workbookViewId="0">
      <selection activeCell="A1" sqref="A1:G1"/>
    </sheetView>
  </sheetViews>
  <sheetFormatPr baseColWidth="10" defaultColWidth="9.140625" defaultRowHeight="15"/>
  <cols>
    <col width="14" customWidth="1" style="146" min="1" max="1"/>
    <col width="12" customWidth="1" style="146" min="2" max="2"/>
    <col width="10" customWidth="1" style="146" min="3" max="3"/>
    <col width="22" customWidth="1" style="146" min="4" max="4"/>
    <col width="18" customWidth="1" style="146" min="5" max="5"/>
    <col width="12" customWidth="1" style="146" min="6" max="6"/>
    <col width="10" customWidth="1" style="146" min="7" max="7"/>
    <col width="12" customWidth="1" style="146" min="8" max="9"/>
    <col width="18" customWidth="1" style="146" min="10" max="10"/>
    <col width="12" customWidth="1" style="146" min="11" max="12"/>
  </cols>
  <sheetData>
    <row r="1" ht="24.95" customHeight="1" s="146">
      <c r="A1" s="205" t="inlineStr">
        <is>
          <t>AUDITORÍAS INTERNAS Y EXTERNAS</t>
        </is>
      </c>
    </row>
    <row r="3" ht="30" customHeight="1" s="146">
      <c r="A3" s="68" t="inlineStr">
        <is>
          <t>ID Auditoría</t>
        </is>
      </c>
      <c r="B3" s="68" t="inlineStr">
        <is>
          <t>Fecha</t>
        </is>
      </c>
      <c r="C3" s="68" t="inlineStr">
        <is>
          <t>Tipo</t>
        </is>
      </c>
      <c r="D3" s="68" t="inlineStr">
        <is>
          <t>Alcance</t>
        </is>
      </c>
      <c r="E3" s="68" t="inlineStr">
        <is>
          <t>Auditor</t>
        </is>
      </c>
      <c r="F3" s="68" t="inlineStr">
        <is>
          <t>Estado</t>
        </is>
      </c>
      <c r="G3" s="68" t="inlineStr">
        <is>
          <t>Hallazgos</t>
        </is>
      </c>
      <c r="H3" s="68" t="inlineStr">
        <is>
          <t>No Conformidades</t>
        </is>
      </c>
      <c r="I3" s="68" t="inlineStr">
        <is>
          <t>Observaciones</t>
        </is>
      </c>
      <c r="J3" s="68" t="inlineStr">
        <is>
          <t>Informe</t>
        </is>
      </c>
      <c r="K3" s="68" t="inlineStr">
        <is>
          <t>Fecha Cierre</t>
        </is>
      </c>
      <c r="L3" s="68" t="inlineStr">
        <is>
          <t>Resultado</t>
        </is>
      </c>
    </row>
    <row r="4">
      <c r="A4" s="20" t="inlineStr">
        <is>
          <t>AUD-2025-001</t>
        </is>
      </c>
      <c r="B4" s="20" t="inlineStr">
        <is>
          <t>15/03/2025</t>
        </is>
      </c>
      <c r="C4" s="20" t="inlineStr">
        <is>
          <t>Interna</t>
        </is>
      </c>
      <c r="D4" s="20" t="inlineStr">
        <is>
          <t>Controles A.5 y A.8</t>
        </is>
      </c>
      <c r="E4" s="20" t="inlineStr">
        <is>
          <t>Auditor Interno</t>
        </is>
      </c>
      <c r="F4" s="54" t="inlineStr">
        <is>
          <t>Completada</t>
        </is>
      </c>
      <c r="G4" s="20" t="inlineStr">
        <is>
          <t>8</t>
        </is>
      </c>
      <c r="H4" s="20" t="inlineStr">
        <is>
          <t>2</t>
        </is>
      </c>
      <c r="I4" s="20" t="inlineStr">
        <is>
          <t>3</t>
        </is>
      </c>
      <c r="J4" s="20" t="inlineStr">
        <is>
          <t>INF-AUD-001.pdf</t>
        </is>
      </c>
      <c r="K4" s="20" t="inlineStr">
        <is>
          <t>30/03/2025</t>
        </is>
      </c>
      <c r="L4" s="54" t="inlineStr">
        <is>
          <t>Conforme</t>
        </is>
      </c>
    </row>
    <row r="5">
      <c r="A5" s="20" t="inlineStr">
        <is>
          <t>AUD-2024-004</t>
        </is>
      </c>
      <c r="B5" s="20" t="inlineStr">
        <is>
          <t>20/12/2024</t>
        </is>
      </c>
      <c r="C5" s="20" t="inlineStr">
        <is>
          <t>Externa</t>
        </is>
      </c>
      <c r="D5" s="20" t="inlineStr">
        <is>
          <t>Certificación ISO 27001</t>
        </is>
      </c>
      <c r="E5" s="20" t="inlineStr">
        <is>
          <t>Bureau Veritas</t>
        </is>
      </c>
      <c r="F5" s="37" t="inlineStr">
        <is>
          <t>Cerrada</t>
        </is>
      </c>
      <c r="G5" s="20" t="inlineStr">
        <is>
          <t>12</t>
        </is>
      </c>
      <c r="H5" s="20" t="inlineStr">
        <is>
          <t>0</t>
        </is>
      </c>
      <c r="I5" s="20" t="inlineStr">
        <is>
          <t>5</t>
        </is>
      </c>
      <c r="J5" s="20" t="inlineStr">
        <is>
          <t>INF-CERT-2024.pdf</t>
        </is>
      </c>
      <c r="K5" s="20" t="inlineStr">
        <is>
          <t>10/01/2025</t>
        </is>
      </c>
      <c r="L5" s="58" t="inlineStr">
        <is>
          <t>Certificado</t>
        </is>
      </c>
    </row>
    <row r="6">
      <c r="A6" s="20" t="inlineStr">
        <is>
          <t>AUD-2025-002</t>
        </is>
      </c>
      <c r="B6" s="20" t="inlineStr">
        <is>
          <t>15/06/2025</t>
        </is>
      </c>
      <c r="C6" s="20" t="inlineStr">
        <is>
          <t>Interna</t>
        </is>
      </c>
      <c r="D6" s="20" t="inlineStr">
        <is>
          <t>Gestión de Incidentes</t>
        </is>
      </c>
      <c r="E6" s="20" t="inlineStr">
        <is>
          <t>Auditor Interno</t>
        </is>
      </c>
      <c r="F6" s="20" t="inlineStr">
        <is>
          <t>Planificada</t>
        </is>
      </c>
      <c r="G6" s="20" t="n"/>
      <c r="H6" s="20" t="n"/>
      <c r="I6" s="20" t="n"/>
      <c r="J6" s="20" t="n"/>
      <c r="K6" s="20" t="n"/>
      <c r="L6" s="20" t="inlineStr">
        <is>
          <t>Pendiente</t>
        </is>
      </c>
    </row>
  </sheetData>
  <mergeCells count="1">
    <mergeCell ref="A1:L1"/>
  </mergeCells>
  <dataValidations count="2">
    <dataValidation sqref="C4:C1000" showDropDown="0" showInputMessage="0" showErrorMessage="0" allowBlank="0" type="list">
      <formula1>"Interna,Externa,Certificación,Seguimiento"</formula1>
    </dataValidation>
    <dataValidation sqref="F4:F1000" showDropDown="0" showInputMessage="0" showErrorMessage="0" allowBlank="0" type="list">
      <formula1>"Abierto,En Proceso,Completado,Cerrado,Cancelado"</formula1>
    </dataValidation>
  </dataValidations>
  <pageMargins left="0.75" right="0.75" top="1" bottom="1" header="0.5" footer="0.5"/>
</worksheet>
</file>

<file path=xl/worksheets/sheet45.xml><?xml version="1.0" encoding="utf-8"?>
<worksheet xmlns="http://schemas.openxmlformats.org/spreadsheetml/2006/main">
  <sheetPr codeName="Hoja38">
    <tabColor rgb="FFF4B183"/>
    <outlinePr summaryBelow="1" summaryRight="1"/>
    <pageSetUpPr/>
  </sheetPr>
  <dimension ref="A1:J6"/>
  <sheetViews>
    <sheetView showGridLines="0" workbookViewId="0">
      <selection activeCell="A1" sqref="A1:J1"/>
    </sheetView>
  </sheetViews>
  <sheetFormatPr baseColWidth="10" defaultColWidth="9.140625" defaultRowHeight="15"/>
  <cols>
    <col width="14" customWidth="1" style="146" min="1" max="1"/>
    <col width="12" customWidth="1" style="146" min="2" max="2"/>
    <col width="30" customWidth="1" style="146" min="3" max="3"/>
    <col width="18" customWidth="1" style="146" min="4" max="4"/>
    <col width="10" customWidth="1" style="146" min="5" max="6"/>
    <col width="15" customWidth="1" style="146" min="7" max="7"/>
    <col width="12" customWidth="1" style="146" min="8" max="8"/>
    <col width="10" customWidth="1" style="146" min="9" max="9"/>
    <col width="18" customWidth="1" style="146" min="10" max="10"/>
  </cols>
  <sheetData>
    <row r="1" ht="24.95" customHeight="1" s="146">
      <c r="A1" s="269" t="inlineStr">
        <is>
          <t>REGISTRO DE FORMACIÓN Y CONCIENCIACIÓN</t>
        </is>
      </c>
    </row>
    <row r="3" ht="30" customHeight="1" s="146">
      <c r="A3" s="69" t="inlineStr">
        <is>
          <t>ID Sesión</t>
        </is>
      </c>
      <c r="B3" s="69" t="inlineStr">
        <is>
          <t>Fecha</t>
        </is>
      </c>
      <c r="C3" s="69" t="inlineStr">
        <is>
          <t>Curso/Tema</t>
        </is>
      </c>
      <c r="D3" s="69" t="inlineStr">
        <is>
          <t>Instructor</t>
        </is>
      </c>
      <c r="E3" s="69" t="inlineStr">
        <is>
          <t>Duración (h)</t>
        </is>
      </c>
      <c r="F3" s="69" t="inlineStr">
        <is>
          <t>Asistentes</t>
        </is>
      </c>
      <c r="G3" s="69" t="inlineStr">
        <is>
          <t>Departamento</t>
        </is>
      </c>
      <c r="H3" s="69" t="inlineStr">
        <is>
          <t>Tipo</t>
        </is>
      </c>
      <c r="I3" s="69" t="inlineStr">
        <is>
          <t>Evaluación</t>
        </is>
      </c>
      <c r="J3" s="69" t="inlineStr">
        <is>
          <t>Material</t>
        </is>
      </c>
    </row>
    <row r="4" ht="30" customHeight="1" s="146">
      <c r="A4" s="20" t="inlineStr">
        <is>
          <t>FORM-2025-001</t>
        </is>
      </c>
      <c r="B4" s="20" t="inlineStr">
        <is>
          <t>15/01/2025</t>
        </is>
      </c>
      <c r="C4" s="20" t="inlineStr">
        <is>
          <t>Concienciación Seguridad</t>
        </is>
      </c>
      <c r="D4" s="20" t="inlineStr">
        <is>
          <t>CISO</t>
        </is>
      </c>
      <c r="E4" s="20" t="inlineStr">
        <is>
          <t>2</t>
        </is>
      </c>
      <c r="F4" s="20" t="inlineStr">
        <is>
          <t>45</t>
        </is>
      </c>
      <c r="G4" s="20" t="inlineStr">
        <is>
          <t>Todos</t>
        </is>
      </c>
      <c r="H4" s="20" t="inlineStr">
        <is>
          <t>Obligatoria</t>
        </is>
      </c>
      <c r="I4" s="20" t="inlineStr">
        <is>
          <t>85%</t>
        </is>
      </c>
      <c r="J4" s="20" t="inlineStr">
        <is>
          <t>PPT + Video</t>
        </is>
      </c>
    </row>
    <row r="5" ht="30" customHeight="1" s="146">
      <c r="A5" s="20" t="inlineStr">
        <is>
          <t>FORM-2025-002</t>
        </is>
      </c>
      <c r="B5" s="20" t="inlineStr">
        <is>
          <t>20/02/2025</t>
        </is>
      </c>
      <c r="C5" s="20" t="inlineStr">
        <is>
          <t>Phishing y Ingeniería Social</t>
        </is>
      </c>
      <c r="D5" s="20" t="inlineStr">
        <is>
          <t>Consultor Externo</t>
        </is>
      </c>
      <c r="E5" s="20" t="inlineStr">
        <is>
          <t>3</t>
        </is>
      </c>
      <c r="F5" s="20" t="inlineStr">
        <is>
          <t>30</t>
        </is>
      </c>
      <c r="G5" s="20" t="inlineStr">
        <is>
          <t>TI</t>
        </is>
      </c>
      <c r="H5" s="20" t="inlineStr">
        <is>
          <t>Especializada</t>
        </is>
      </c>
      <c r="I5" s="20" t="inlineStr">
        <is>
          <t>92%</t>
        </is>
      </c>
      <c r="J5" s="20" t="inlineStr">
        <is>
          <t>Manual + Test</t>
        </is>
      </c>
    </row>
    <row r="6" ht="30" customHeight="1" s="146">
      <c r="A6" s="20" t="inlineStr">
        <is>
          <t>FORM-2025-003</t>
        </is>
      </c>
      <c r="B6" s="20" t="inlineStr">
        <is>
          <t>10/03/2025</t>
        </is>
      </c>
      <c r="C6" s="20" t="inlineStr">
        <is>
          <t>ISO 27001:2022 Novedades</t>
        </is>
      </c>
      <c r="D6" s="20" t="inlineStr">
        <is>
          <t>Auditor Lead</t>
        </is>
      </c>
      <c r="E6" s="20" t="inlineStr">
        <is>
          <t>4</t>
        </is>
      </c>
      <c r="F6" s="20" t="inlineStr">
        <is>
          <t>12</t>
        </is>
      </c>
      <c r="G6" s="20" t="inlineStr">
        <is>
          <t>Seguridad</t>
        </is>
      </c>
      <c r="H6" s="20" t="inlineStr">
        <is>
          <t>Técnica</t>
        </is>
      </c>
      <c r="I6" s="20" t="inlineStr">
        <is>
          <t>95%</t>
        </is>
      </c>
      <c r="J6" s="20" t="inlineStr">
        <is>
          <t>Documentación</t>
        </is>
      </c>
    </row>
  </sheetData>
  <mergeCells count="1">
    <mergeCell ref="A1:J1"/>
  </mergeCells>
  <pageMargins left="0.75" right="0.75" top="1" bottom="1" header="0.5" footer="0.5"/>
</worksheet>
</file>

<file path=xl/worksheets/sheet46.xml><?xml version="1.0" encoding="utf-8"?>
<worksheet xmlns="http://schemas.openxmlformats.org/spreadsheetml/2006/main">
  <sheetPr codeName="Hoja39">
    <tabColor rgb="FFE67E22"/>
    <outlinePr summaryBelow="1" summaryRight="1"/>
    <pageSetUpPr/>
  </sheetPr>
  <dimension ref="A1:H26"/>
  <sheetViews>
    <sheetView showGridLines="0" workbookViewId="0">
      <selection activeCell="A1" sqref="A1:H1"/>
    </sheetView>
  </sheetViews>
  <sheetFormatPr baseColWidth="10" defaultColWidth="9.140625" defaultRowHeight="15"/>
  <cols>
    <col width="10" customWidth="1" style="146" min="1" max="1"/>
    <col width="18" customWidth="1" style="146" min="2" max="2"/>
    <col width="25" customWidth="1" style="146" min="3" max="3"/>
    <col width="35" customWidth="1" style="146" min="4" max="4"/>
    <col width="12" customWidth="1" style="146" min="5" max="5"/>
    <col width="14" customWidth="1" style="146" min="6" max="6"/>
    <col width="18" customWidth="1" style="146" min="7" max="7"/>
    <col width="30" customWidth="1" style="146" min="8" max="8"/>
  </cols>
  <sheetData>
    <row r="1" ht="24.95" customHeight="1" s="146">
      <c r="A1" s="271" t="inlineStr">
        <is>
          <t>CLASIFICACIÓN DE INCIDENTES DE SEGURIDAD</t>
        </is>
      </c>
    </row>
    <row r="3">
      <c r="A3" s="258" t="inlineStr">
        <is>
          <t>🔖 Catálogo de tipos y categorías de incidentes según ISO 27035</t>
        </is>
      </c>
    </row>
    <row r="5" ht="30" customHeight="1" s="146">
      <c r="A5" s="70" t="inlineStr">
        <is>
          <t>Código</t>
        </is>
      </c>
      <c r="B5" s="70" t="inlineStr">
        <is>
          <t>Categoría</t>
        </is>
      </c>
      <c r="C5" s="70" t="inlineStr">
        <is>
          <t>Tipo de Incidente</t>
        </is>
      </c>
      <c r="D5" s="70" t="inlineStr">
        <is>
          <t>Descripción</t>
        </is>
      </c>
      <c r="E5" s="70" t="inlineStr">
        <is>
          <t>Severidad Base</t>
        </is>
      </c>
      <c r="F5" s="70" t="inlineStr">
        <is>
          <t>Tiempo Respuesta</t>
        </is>
      </c>
      <c r="G5" s="70" t="inlineStr">
        <is>
          <t>Escalamiento</t>
        </is>
      </c>
      <c r="H5" s="70" t="inlineStr">
        <is>
          <t>Ejemplos</t>
        </is>
      </c>
    </row>
    <row r="6" ht="30" customHeight="1" s="146">
      <c r="A6" s="20" t="inlineStr">
        <is>
          <t>INC-001</t>
        </is>
      </c>
      <c r="B6" s="47" t="inlineStr">
        <is>
          <t>Malware</t>
        </is>
      </c>
      <c r="C6" s="47" t="inlineStr">
        <is>
          <t>Infección por malware</t>
        </is>
      </c>
      <c r="D6" s="47" t="inlineStr">
        <is>
          <t>Virus, ransomware, troyanos, spyware</t>
        </is>
      </c>
      <c r="E6" s="21" t="inlineStr">
        <is>
          <t>Alta</t>
        </is>
      </c>
      <c r="F6" s="20" t="inlineStr">
        <is>
          <t>1 hora</t>
        </is>
      </c>
      <c r="G6" s="47" t="inlineStr">
        <is>
          <t>CISO</t>
        </is>
      </c>
      <c r="H6" s="47" t="inlineStr">
        <is>
          <t>Ransomware, cryptolocker</t>
        </is>
      </c>
    </row>
    <row r="7">
      <c r="A7" s="20" t="inlineStr">
        <is>
          <t>INC-002</t>
        </is>
      </c>
      <c r="B7" s="47" t="inlineStr">
        <is>
          <t>Phishing</t>
        </is>
      </c>
      <c r="C7" s="47" t="inlineStr">
        <is>
          <t>Ataque de phishing</t>
        </is>
      </c>
      <c r="D7" s="47" t="inlineStr">
        <is>
          <t>Correos o mensajes fraudulentos</t>
        </is>
      </c>
      <c r="E7" s="22" t="inlineStr">
        <is>
          <t>Media</t>
        </is>
      </c>
      <c r="F7" s="20" t="inlineStr">
        <is>
          <t>2 horas</t>
        </is>
      </c>
      <c r="G7" s="47" t="inlineStr">
        <is>
          <t>Seguridad TI</t>
        </is>
      </c>
      <c r="H7" s="47" t="inlineStr">
        <is>
          <t>Email falso CEO, spear phishing</t>
        </is>
      </c>
    </row>
    <row r="8" ht="30" customHeight="1" s="146">
      <c r="A8" s="20" t="inlineStr">
        <is>
          <t>INC-003</t>
        </is>
      </c>
      <c r="B8" s="47" t="inlineStr">
        <is>
          <t>Acceso no autorizado</t>
        </is>
      </c>
      <c r="C8" s="47" t="inlineStr">
        <is>
          <t>Intrusión de sistemas</t>
        </is>
      </c>
      <c r="D8" s="47" t="inlineStr">
        <is>
          <t>Acceso sin autorización a sistemas/datos</t>
        </is>
      </c>
      <c r="E8" s="62" t="inlineStr">
        <is>
          <t>Crítica</t>
        </is>
      </c>
      <c r="F8" s="20" t="inlineStr">
        <is>
          <t>30 min</t>
        </is>
      </c>
      <c r="G8" s="47" t="inlineStr">
        <is>
          <t>CISO + CEO</t>
        </is>
      </c>
      <c r="H8" s="47" t="inlineStr">
        <is>
          <t>Brute force, credenciales robadas</t>
        </is>
      </c>
    </row>
    <row r="9" ht="30" customHeight="1" s="146">
      <c r="A9" s="20" t="inlineStr">
        <is>
          <t>INC-004</t>
        </is>
      </c>
      <c r="B9" s="47" t="inlineStr">
        <is>
          <t>Denegación de servicio</t>
        </is>
      </c>
      <c r="C9" s="47" t="inlineStr">
        <is>
          <t>DDoS/DoS</t>
        </is>
      </c>
      <c r="D9" s="47" t="inlineStr">
        <is>
          <t>Interrupción de disponibilidad de servicios</t>
        </is>
      </c>
      <c r="E9" s="21" t="inlineStr">
        <is>
          <t>Alta</t>
        </is>
      </c>
      <c r="F9" s="20" t="inlineStr">
        <is>
          <t>1 hora</t>
        </is>
      </c>
      <c r="G9" s="47" t="inlineStr">
        <is>
          <t>CISO</t>
        </is>
      </c>
      <c r="H9" s="47" t="inlineStr">
        <is>
          <t>DDoS web, saturación red</t>
        </is>
      </c>
    </row>
    <row r="10" ht="30" customHeight="1" s="146">
      <c r="A10" s="20" t="inlineStr">
        <is>
          <t>INC-005</t>
        </is>
      </c>
      <c r="B10" s="47" t="inlineStr">
        <is>
          <t>Fuga de información</t>
        </is>
      </c>
      <c r="C10" s="47" t="inlineStr">
        <is>
          <t>Data breach</t>
        </is>
      </c>
      <c r="D10" s="47" t="inlineStr">
        <is>
          <t>Pérdida o robo de información confidencial</t>
        </is>
      </c>
      <c r="E10" s="62" t="inlineStr">
        <is>
          <t>Crítica</t>
        </is>
      </c>
      <c r="F10" s="20" t="inlineStr">
        <is>
          <t>15 min</t>
        </is>
      </c>
      <c r="G10" s="47" t="inlineStr">
        <is>
          <t>CISO + CEO + Legal</t>
        </is>
      </c>
      <c r="H10" s="47" t="inlineStr">
        <is>
          <t>USB perdido, email erróneo</t>
        </is>
      </c>
    </row>
    <row r="11">
      <c r="A11" s="20" t="inlineStr">
        <is>
          <t>INC-006</t>
        </is>
      </c>
      <c r="B11" s="47" t="inlineStr">
        <is>
          <t>Vulnerabilidad</t>
        </is>
      </c>
      <c r="C11" s="47" t="inlineStr">
        <is>
          <t>Vulnerabilidad crítica</t>
        </is>
      </c>
      <c r="D11" s="47" t="inlineStr">
        <is>
          <t>Fallo de seguridad explotable</t>
        </is>
      </c>
      <c r="E11" s="21" t="inlineStr">
        <is>
          <t>Alta</t>
        </is>
      </c>
      <c r="F11" s="20" t="inlineStr">
        <is>
          <t>4 horas</t>
        </is>
      </c>
      <c r="G11" s="47" t="inlineStr">
        <is>
          <t>Admin TI</t>
        </is>
      </c>
      <c r="H11" s="47" t="inlineStr">
        <is>
          <t>Zero-day, CVE crítico</t>
        </is>
      </c>
    </row>
    <row r="12">
      <c r="A12" s="20" t="inlineStr">
        <is>
          <t>INC-007</t>
        </is>
      </c>
      <c r="B12" s="47" t="inlineStr">
        <is>
          <t>Error humano</t>
        </is>
      </c>
      <c r="C12" s="47" t="inlineStr">
        <is>
          <t>Configuración incorrecta</t>
        </is>
      </c>
      <c r="D12" s="47" t="inlineStr">
        <is>
          <t>Error en configuración o gestión</t>
        </is>
      </c>
      <c r="E12" s="22" t="inlineStr">
        <is>
          <t>Media</t>
        </is>
      </c>
      <c r="F12" s="20" t="inlineStr">
        <is>
          <t>4 horas</t>
        </is>
      </c>
      <c r="G12" s="47" t="inlineStr">
        <is>
          <t>Admin TI</t>
        </is>
      </c>
      <c r="H12" s="47" t="inlineStr">
        <is>
          <t>Permisos incorrectos, borrado</t>
        </is>
      </c>
    </row>
    <row r="13" ht="30" customHeight="1" s="146">
      <c r="A13" s="20" t="inlineStr">
        <is>
          <t>INC-008</t>
        </is>
      </c>
      <c r="B13" s="47" t="inlineStr">
        <is>
          <t>Fraude</t>
        </is>
      </c>
      <c r="C13" s="47" t="inlineStr">
        <is>
          <t>Actividad fraudulenta</t>
        </is>
      </c>
      <c r="D13" s="47" t="inlineStr">
        <is>
          <t>Uso indebido de recursos o información</t>
        </is>
      </c>
      <c r="E13" s="21" t="inlineStr">
        <is>
          <t>Alta</t>
        </is>
      </c>
      <c r="F13" s="20" t="inlineStr">
        <is>
          <t>2 horas</t>
        </is>
      </c>
      <c r="G13" s="47" t="inlineStr">
        <is>
          <t>CISO + Legal</t>
        </is>
      </c>
      <c r="H13" s="47" t="inlineStr">
        <is>
          <t>BEC, fraude CEO</t>
        </is>
      </c>
    </row>
    <row r="14">
      <c r="A14" s="20" t="inlineStr">
        <is>
          <t>INC-009</t>
        </is>
      </c>
      <c r="B14" s="47" t="inlineStr">
        <is>
          <t>Ingeniería social</t>
        </is>
      </c>
      <c r="C14" s="47" t="inlineStr">
        <is>
          <t>Manipulación psicológica</t>
        </is>
      </c>
      <c r="D14" s="47" t="inlineStr">
        <is>
          <t>Engaño para obtener información</t>
        </is>
      </c>
      <c r="E14" s="22" t="inlineStr">
        <is>
          <t>Media</t>
        </is>
      </c>
      <c r="F14" s="20" t="inlineStr">
        <is>
          <t>2 horas</t>
        </is>
      </c>
      <c r="G14" s="47" t="inlineStr">
        <is>
          <t>Seguridad</t>
        </is>
      </c>
      <c r="H14" s="47" t="inlineStr">
        <is>
          <t>Pretexting, baiting</t>
        </is>
      </c>
    </row>
    <row r="15">
      <c r="A15" s="20" t="inlineStr">
        <is>
          <t>INC-010</t>
        </is>
      </c>
      <c r="B15" s="47" t="inlineStr">
        <is>
          <t>Físico</t>
        </is>
      </c>
      <c r="C15" s="47" t="inlineStr">
        <is>
          <t>Incidente físico</t>
        </is>
      </c>
      <c r="D15" s="47" t="inlineStr">
        <is>
          <t>Acceso físico no autorizado</t>
        </is>
      </c>
      <c r="E15" s="22" t="inlineStr">
        <is>
          <t>Media</t>
        </is>
      </c>
      <c r="F15" s="20" t="inlineStr">
        <is>
          <t>1 hora</t>
        </is>
      </c>
      <c r="G15" s="47" t="inlineStr">
        <is>
          <t>Seguridad Física</t>
        </is>
      </c>
      <c r="H15" s="47" t="inlineStr">
        <is>
          <t>Robo equipo, entrada CPD</t>
        </is>
      </c>
    </row>
    <row r="16">
      <c r="A16" s="20" t="inlineStr">
        <is>
          <t>INC-011</t>
        </is>
      </c>
      <c r="B16" s="47" t="inlineStr">
        <is>
          <t>Pérdida de servicio</t>
        </is>
      </c>
      <c r="C16" s="47" t="inlineStr">
        <is>
          <t>Interrupción operativa</t>
        </is>
      </c>
      <c r="D16" s="47" t="inlineStr">
        <is>
          <t>Caída de sistemas críticos</t>
        </is>
      </c>
      <c r="E16" s="21" t="inlineStr">
        <is>
          <t>Alta</t>
        </is>
      </c>
      <c r="F16" s="20" t="inlineStr">
        <is>
          <t>30 min</t>
        </is>
      </c>
      <c r="G16" s="47" t="inlineStr">
        <is>
          <t>Operaciones</t>
        </is>
      </c>
      <c r="H16" s="47" t="inlineStr">
        <is>
          <t>Servidor caído, red fuera</t>
        </is>
      </c>
    </row>
    <row r="17">
      <c r="A17" s="20" t="inlineStr">
        <is>
          <t>INC-012</t>
        </is>
      </c>
      <c r="B17" s="47" t="inlineStr">
        <is>
          <t>Incumplimiento</t>
        </is>
      </c>
      <c r="C17" s="47" t="inlineStr">
        <is>
          <t>Violación normativa</t>
        </is>
      </c>
      <c r="D17" s="47" t="inlineStr">
        <is>
          <t>Incumplimiento de política o norma</t>
        </is>
      </c>
      <c r="E17" s="22" t="inlineStr">
        <is>
          <t>Media</t>
        </is>
      </c>
      <c r="F17" s="20" t="inlineStr">
        <is>
          <t>8 horas</t>
        </is>
      </c>
      <c r="G17" s="47" t="inlineStr">
        <is>
          <t>Compliance</t>
        </is>
      </c>
      <c r="H17" s="47" t="inlineStr">
        <is>
          <t>GDPR, PCI-DSS</t>
        </is>
      </c>
    </row>
    <row r="20" ht="15.75" customHeight="1" s="146">
      <c r="A20" s="270" t="inlineStr">
        <is>
          <t>📊 MATRIZ DE SEVERIDAD DE INCIDENTES</t>
        </is>
      </c>
    </row>
    <row r="22">
      <c r="A22" s="71" t="inlineStr">
        <is>
          <t>Nivel</t>
        </is>
      </c>
      <c r="B22" s="71" t="inlineStr">
        <is>
          <t>Severidad</t>
        </is>
      </c>
      <c r="C22" s="71" t="inlineStr">
        <is>
          <t>Impacto</t>
        </is>
      </c>
      <c r="D22" s="71" t="inlineStr">
        <is>
          <t>Tiempo Respuesta</t>
        </is>
      </c>
      <c r="E22" s="71" t="inlineStr">
        <is>
          <t>Escalamiento</t>
        </is>
      </c>
      <c r="F22" s="71" t="inlineStr">
        <is>
          <t>Notificación</t>
        </is>
      </c>
    </row>
    <row r="23" ht="30" customHeight="1" s="146">
      <c r="A23" s="20" t="inlineStr">
        <is>
          <t>1</t>
        </is>
      </c>
      <c r="B23" s="48" t="inlineStr">
        <is>
          <t>Crítica</t>
        </is>
      </c>
      <c r="C23" s="47" t="inlineStr">
        <is>
          <t>Alto impacto negocio, datos críticos</t>
        </is>
      </c>
      <c r="D23" s="47" t="inlineStr">
        <is>
          <t>15-30 min</t>
        </is>
      </c>
      <c r="E23" s="47" t="inlineStr">
        <is>
          <t>CISO + CEO + Legal</t>
        </is>
      </c>
      <c r="F23" s="47" t="inlineStr">
        <is>
          <t>Inmediata</t>
        </is>
      </c>
    </row>
    <row r="24" ht="30" customHeight="1" s="146">
      <c r="A24" s="20" t="inlineStr">
        <is>
          <t>2</t>
        </is>
      </c>
      <c r="B24" s="49" t="inlineStr">
        <is>
          <t>Alta</t>
        </is>
      </c>
      <c r="C24" s="47" t="inlineStr">
        <is>
          <t>Impacto significativo, servicio afectado</t>
        </is>
      </c>
      <c r="D24" s="47" t="inlineStr">
        <is>
          <t>1-2 horas</t>
        </is>
      </c>
      <c r="E24" s="47" t="inlineStr">
        <is>
          <t>CISO + Gerencia</t>
        </is>
      </c>
      <c r="F24" s="47" t="inlineStr">
        <is>
          <t>&lt; 1 hora</t>
        </is>
      </c>
    </row>
    <row r="25" ht="30" customHeight="1" s="146">
      <c r="A25" s="20" t="inlineStr">
        <is>
          <t>3</t>
        </is>
      </c>
      <c r="B25" s="50" t="inlineStr">
        <is>
          <t>Media</t>
        </is>
      </c>
      <c r="C25" s="47" t="inlineStr">
        <is>
          <t>Impacto moderado, servicio degradado</t>
        </is>
      </c>
      <c r="D25" s="47" t="inlineStr">
        <is>
          <t>2-4 horas</t>
        </is>
      </c>
      <c r="E25" s="47" t="inlineStr">
        <is>
          <t>Responsable TI</t>
        </is>
      </c>
      <c r="F25" s="47" t="inlineStr">
        <is>
          <t>&lt; 4 horas</t>
        </is>
      </c>
    </row>
    <row r="26" ht="30" customHeight="1" s="146">
      <c r="A26" s="20" t="inlineStr">
        <is>
          <t>4</t>
        </is>
      </c>
      <c r="B26" s="52" t="inlineStr">
        <is>
          <t>Baja</t>
        </is>
      </c>
      <c r="C26" s="47" t="inlineStr">
        <is>
          <t>Impacto menor, no afecta operaciones</t>
        </is>
      </c>
      <c r="D26" s="47" t="inlineStr">
        <is>
          <t>8-24 horas</t>
        </is>
      </c>
      <c r="E26" s="47" t="inlineStr">
        <is>
          <t>Equipo técnico</t>
        </is>
      </c>
      <c r="F26" s="47" t="inlineStr">
        <is>
          <t>&lt; 24 horas</t>
        </is>
      </c>
    </row>
  </sheetData>
  <mergeCells count="3">
    <mergeCell ref="A20:H20"/>
    <mergeCell ref="A3:H3"/>
    <mergeCell ref="A1:H1"/>
  </mergeCells>
  <pageMargins left="0.75" right="0.75" top="1" bottom="1" header="0.5" footer="0.5"/>
</worksheet>
</file>

<file path=xl/worksheets/sheet47.xml><?xml version="1.0" encoding="utf-8"?>
<worksheet xmlns="http://schemas.openxmlformats.org/spreadsheetml/2006/main">
  <sheetPr codeName="Hoja40">
    <tabColor rgb="FF34495E"/>
    <outlinePr summaryBelow="1" summaryRight="1"/>
    <pageSetUpPr/>
  </sheetPr>
  <dimension ref="A1:K5"/>
  <sheetViews>
    <sheetView showGridLines="0" workbookViewId="0">
      <selection activeCell="A1" sqref="A1:K1"/>
    </sheetView>
  </sheetViews>
  <sheetFormatPr baseColWidth="10" defaultColWidth="9.140625" defaultRowHeight="15"/>
  <cols>
    <col width="12" customWidth="1" style="146" min="1" max="1"/>
    <col width="14" customWidth="1" style="146" min="2" max="2"/>
    <col width="18" customWidth="1" style="146" min="3" max="3"/>
    <col width="15" customWidth="1" style="146" min="4" max="4"/>
    <col width="20" customWidth="1" style="146" min="5" max="5"/>
    <col width="35" customWidth="1" style="146" min="6" max="6"/>
    <col width="10" customWidth="1" style="146" min="7" max="7"/>
    <col width="12" customWidth="1" style="146" min="8" max="9"/>
    <col width="15" customWidth="1" style="146" min="10" max="10"/>
    <col width="30" customWidth="1" style="146" min="11" max="11"/>
  </cols>
  <sheetData>
    <row r="1" ht="24.95" customHeight="1" s="146">
      <c r="A1" s="225" t="inlineStr">
        <is>
          <t>REGISTRO DE EVENTOS DE SEGURIDAD</t>
        </is>
      </c>
    </row>
    <row r="3" ht="30" customHeight="1" s="146">
      <c r="A3" s="72" t="inlineStr">
        <is>
          <t>ID Evento</t>
        </is>
      </c>
      <c r="B3" s="72" t="inlineStr">
        <is>
          <t>Fecha/Hora</t>
        </is>
      </c>
      <c r="C3" s="72" t="inlineStr">
        <is>
          <t>Tipo Evento</t>
        </is>
      </c>
      <c r="D3" s="72" t="inlineStr">
        <is>
          <t>Origen</t>
        </is>
      </c>
      <c r="E3" s="72" t="inlineStr">
        <is>
          <t>Usuario/Sistema</t>
        </is>
      </c>
      <c r="F3" s="72" t="inlineStr">
        <is>
          <t>Descripción</t>
        </is>
      </c>
      <c r="G3" s="72" t="inlineStr">
        <is>
          <t>Severidad</t>
        </is>
      </c>
      <c r="H3" s="72" t="inlineStr">
        <is>
          <t>Estado</t>
        </is>
      </c>
      <c r="I3" s="72" t="inlineStr">
        <is>
          <t>Requiere Acción</t>
        </is>
      </c>
      <c r="J3" s="72" t="inlineStr">
        <is>
          <t>Asignado A</t>
        </is>
      </c>
      <c r="K3" s="72" t="inlineStr">
        <is>
          <t>Observaciones</t>
        </is>
      </c>
    </row>
    <row r="4" ht="30" customHeight="1" s="146">
      <c r="A4" s="20" t="inlineStr">
        <is>
          <t>EVT-001</t>
        </is>
      </c>
      <c r="B4" s="47" t="inlineStr">
        <is>
          <t>06/11/2025 10:15</t>
        </is>
      </c>
      <c r="C4" s="47" t="inlineStr">
        <is>
          <t>Login fallido</t>
        </is>
      </c>
      <c r="D4" s="47" t="inlineStr">
        <is>
          <t>Firewall</t>
        </is>
      </c>
      <c r="E4" s="47" t="inlineStr">
        <is>
          <t>usuario@empresa.com</t>
        </is>
      </c>
      <c r="F4" s="47" t="inlineStr">
        <is>
          <t>5 intentos fallidos de login</t>
        </is>
      </c>
      <c r="G4" s="20" t="inlineStr">
        <is>
          <t>Media</t>
        </is>
      </c>
      <c r="H4" s="20" t="inlineStr">
        <is>
          <t>Revisado</t>
        </is>
      </c>
      <c r="I4" s="20" t="inlineStr">
        <is>
          <t>No</t>
        </is>
      </c>
      <c r="J4" s="47" t="inlineStr">
        <is>
          <t>Admin TI</t>
        </is>
      </c>
      <c r="K4" s="47" t="inlineStr">
        <is>
          <t>Usuario bloqueado 30min</t>
        </is>
      </c>
    </row>
    <row r="5" ht="30" customHeight="1" s="146">
      <c r="A5" s="20" t="inlineStr">
        <is>
          <t>EVT-002</t>
        </is>
      </c>
      <c r="B5" s="47" t="inlineStr">
        <is>
          <t>06/11/2025 14:30</t>
        </is>
      </c>
      <c r="C5" s="47" t="inlineStr">
        <is>
          <t>Cambio permisos</t>
        </is>
      </c>
      <c r="D5" s="47" t="inlineStr">
        <is>
          <t>Active Directory</t>
        </is>
      </c>
      <c r="E5" s="47" t="inlineStr">
        <is>
          <t>admin_ti</t>
        </is>
      </c>
      <c r="F5" s="47" t="inlineStr">
        <is>
          <t>Elevación privilegios usuario</t>
        </is>
      </c>
      <c r="G5" s="20" t="inlineStr">
        <is>
          <t>Alta</t>
        </is>
      </c>
      <c r="H5" s="20" t="inlineStr">
        <is>
          <t>En revisión</t>
        </is>
      </c>
      <c r="I5" s="20" t="inlineStr">
        <is>
          <t>Sí</t>
        </is>
      </c>
      <c r="J5" s="47" t="inlineStr">
        <is>
          <t>CISO</t>
        </is>
      </c>
      <c r="K5" s="47" t="inlineStr">
        <is>
          <t>Verificar autorización</t>
        </is>
      </c>
    </row>
  </sheetData>
  <mergeCells count="1">
    <mergeCell ref="A1:K1"/>
  </mergeCells>
  <dataValidations count="3">
    <dataValidation sqref="C4:C1000" showDropDown="0" showInputMessage="0" showErrorMessage="0" allowBlank="0" type="list">
      <formula1>"Login,Logout,Acceso,Modificación,Error,Alerta,Crítico"</formula1>
    </dataValidation>
    <dataValidation sqref="G4:G1000" showDropDown="0" showInputMessage="0" showErrorMessage="0" allowBlank="0" type="list">
      <formula1>"Crítica,Alta,Media,Baja"</formula1>
    </dataValidation>
    <dataValidation sqref="H4:H1000" showDropDown="0" showInputMessage="0" showErrorMessage="0" allowBlank="0" type="list">
      <formula1>"Nuevo,Revisado,Investigando,Cerrado"</formula1>
    </dataValidation>
  </dataValidations>
  <pageMargins left="0.75" right="0.75" top="1" bottom="1" header="0.5" footer="0.5"/>
</worksheet>
</file>

<file path=xl/worksheets/sheet48.xml><?xml version="1.0" encoding="utf-8"?>
<worksheet xmlns="http://schemas.openxmlformats.org/spreadsheetml/2006/main">
  <sheetPr codeName="Hoja41">
    <tabColor rgb="FF00B0F0"/>
    <outlinePr summaryBelow="1" summaryRight="1"/>
    <pageSetUpPr/>
  </sheetPr>
  <dimension ref="A1:F46"/>
  <sheetViews>
    <sheetView showGridLines="0" workbookViewId="0">
      <selection activeCell="A1" sqref="A1"/>
    </sheetView>
  </sheetViews>
  <sheetFormatPr baseColWidth="10" defaultColWidth="9.140625" defaultRowHeight="15"/>
  <cols>
    <col width="80" customWidth="1" style="146" min="1" max="1"/>
    <col width="15" customWidth="1" style="146" min="2" max="6"/>
  </cols>
  <sheetData>
    <row r="1" ht="30" customHeight="1" s="146">
      <c r="A1" s="275" t="inlineStr">
        <is>
          <t>INSTRUCCIONES DE USO - SGSI v4.0</t>
        </is>
      </c>
    </row>
    <row r="3">
      <c r="A3" s="277" t="inlineStr">
        <is>
          <t>📋 BIENVENIDO AL SGSI v4.0</t>
        </is>
      </c>
    </row>
    <row r="5">
      <c r="A5" s="274" t="inlineStr">
        <is>
          <t>1. ESTRUCTURA DEL SISTEMA</t>
        </is>
      </c>
    </row>
    <row r="6">
      <c r="A6" s="276" t="inlineStr">
        <is>
          <t>Este Excel contiene 34 hojas organizadas en secciones:</t>
        </is>
      </c>
    </row>
    <row r="7">
      <c r="A7" s="273" t="inlineStr">
        <is>
          <t xml:space="preserve">  • Documentación: Control_Documentos, Políticas, Procedimientos</t>
        </is>
      </c>
    </row>
    <row r="8">
      <c r="A8" s="273" t="inlineStr">
        <is>
          <t xml:space="preserve">  • Gestión de Riesgos: Matriz_Riesgos, Análisis, Plan_Tratamiento</t>
        </is>
      </c>
    </row>
    <row r="9">
      <c r="A9" s="273" t="inlineStr">
        <is>
          <t xml:space="preserve">  • Incidentes: Gestión_Incidentes, Clasificación</t>
        </is>
      </c>
    </row>
    <row r="10">
      <c r="A10" s="273" t="inlineStr">
        <is>
          <t xml:space="preserve">  • Configuración: Categorías, Áreas, Clases</t>
        </is>
      </c>
    </row>
    <row r="11">
      <c r="A11" s="273" t="inlineStr">
        <is>
          <t xml:space="preserve">  • ISO 27001: Controles, SOA, Auditorías</t>
        </is>
      </c>
    </row>
    <row r="13">
      <c r="A13" s="274" t="inlineStr">
        <is>
          <t>2. CÓMO EMPEZAR</t>
        </is>
      </c>
    </row>
    <row r="14">
      <c r="A14" s="273" t="inlineStr">
        <is>
          <t xml:space="preserve">  1) Ir a "Datos_Organizacion" y completar información de la empresa</t>
        </is>
      </c>
    </row>
    <row r="15">
      <c r="A15" s="273" t="inlineStr">
        <is>
          <t xml:space="preserve">  2) Revisar y personalizar las hojas de Configuración</t>
        </is>
      </c>
    </row>
    <row r="16">
      <c r="A16" s="273" t="inlineStr">
        <is>
          <t xml:space="preserve">  3) Agregar activos en la hoja "Activos"</t>
        </is>
      </c>
    </row>
    <row r="17">
      <c r="A17" s="273" t="inlineStr">
        <is>
          <t xml:space="preserve">  4) Identificar riesgos en "Matriz_Riesgos"</t>
        </is>
      </c>
    </row>
    <row r="18">
      <c r="A18" s="273" t="inlineStr">
        <is>
          <t xml:space="preserve">  5) Crear tratamientos en "Plan_Tratamiento"</t>
        </is>
      </c>
    </row>
    <row r="20">
      <c r="A20" s="274" t="inlineStr">
        <is>
          <t>3. MACROS DISPONIBLES (20)</t>
        </is>
      </c>
    </row>
    <row r="21">
      <c r="A21" s="273" t="inlineStr">
        <is>
          <t>Alt+F11 para abrir VBA y ver todas las macros:</t>
        </is>
      </c>
    </row>
    <row r="22">
      <c r="A22" s="273" t="inlineStr">
        <is>
          <t xml:space="preserve">  • NuevoActivo() - Agregar activo al inventario</t>
        </is>
      </c>
    </row>
    <row r="23">
      <c r="A23" s="273" t="inlineStr">
        <is>
          <t xml:space="preserve">  • NuevoRiesgo() - Registrar nuevo riesgo</t>
        </is>
      </c>
    </row>
    <row r="24">
      <c r="A24" s="273" t="inlineStr">
        <is>
          <t xml:space="preserve">  • NuevoTratamiento() - Crear plan de tratamiento</t>
        </is>
      </c>
    </row>
    <row r="25">
      <c r="A25" s="273" t="inlineStr">
        <is>
          <t xml:space="preserve">  • ExportarReporteCompleto() - Exportar a PDF 7 hojas</t>
        </is>
      </c>
    </row>
    <row r="26">
      <c r="A26" s="273" t="inlineStr">
        <is>
          <t xml:space="preserve">  • ActualizarDashboard() - Refrescar métricas</t>
        </is>
      </c>
    </row>
    <row r="27">
      <c r="A27" s="273" t="inlineStr">
        <is>
          <t xml:space="preserve">  • OptimizarTodasLasHojasParaImpresion() - Formato profesional</t>
        </is>
      </c>
    </row>
    <row r="29">
      <c r="A29" s="274" t="inlineStr">
        <is>
          <t>4. EXPORTACIÓN A PDF</t>
        </is>
      </c>
    </row>
    <row r="30">
      <c r="A30" s="273" t="inlineStr">
        <is>
          <t>Usa los botones en Panel_Control o ejecuta las macros:</t>
        </is>
      </c>
    </row>
    <row r="31">
      <c r="A31" s="273" t="inlineStr">
        <is>
          <t xml:space="preserve">  • ExportarReporteCompleto() - Reporte de 7 hojas</t>
        </is>
      </c>
    </row>
    <row r="32">
      <c r="A32" s="273" t="inlineStr">
        <is>
          <t xml:space="preserve">  • ExportarActivosPDF() - Solo inventario de activos</t>
        </is>
      </c>
    </row>
    <row r="34">
      <c r="A34" s="274" t="inlineStr">
        <is>
          <t>5. PANEL DE CONTROL</t>
        </is>
      </c>
    </row>
    <row r="35">
      <c r="A35" s="273" t="inlineStr">
        <is>
          <t>La hoja "Panel_Control" contiene 21 botones para:</t>
        </is>
      </c>
    </row>
    <row r="36">
      <c r="A36" s="273" t="inlineStr">
        <is>
          <t xml:space="preserve">  • Gestión rápida de activos, riesgos y tratamientos</t>
        </is>
      </c>
    </row>
    <row r="37">
      <c r="A37" s="273" t="inlineStr">
        <is>
          <t xml:space="preserve">  • Navegación entre hojas principales</t>
        </is>
      </c>
    </row>
    <row r="38">
      <c r="A38" s="273" t="inlineStr">
        <is>
          <t xml:space="preserve">  • Exportación de reportes</t>
        </is>
      </c>
    </row>
    <row r="39">
      <c r="A39" s="273" t="inlineStr">
        <is>
          <t xml:space="preserve">  • Utilidades (Dashboard, Optimización, Validación)</t>
        </is>
      </c>
    </row>
    <row r="41">
      <c r="A41" s="272" t="inlineStr">
        <is>
          <t>6. CUMPLIMIENTO ISO 27001:2022</t>
        </is>
      </c>
    </row>
    <row r="42">
      <c r="A42" s="273" t="inlineStr">
        <is>
          <t>Hojas clave para certificación:</t>
        </is>
      </c>
    </row>
    <row r="43">
      <c r="A43" s="273" t="inlineStr">
        <is>
          <t xml:space="preserve">  • SOA (Statement of Applicability)</t>
        </is>
      </c>
    </row>
    <row r="44">
      <c r="A44" s="273" t="inlineStr">
        <is>
          <t xml:space="preserve">  • Controles_ISO27001 (93 controles Anexo A)</t>
        </is>
      </c>
    </row>
    <row r="45">
      <c r="A45" s="273" t="inlineStr">
        <is>
          <t xml:space="preserve">  • Declaracion_Aplicabilidad</t>
        </is>
      </c>
    </row>
    <row r="46">
      <c r="A46" s="273" t="inlineStr">
        <is>
          <t xml:space="preserve">  • Auditorias (registro de auditorías internas/externas)</t>
        </is>
      </c>
    </row>
  </sheetData>
  <mergeCells count="39">
    <mergeCell ref="A41:F41"/>
    <mergeCell ref="A16:F16"/>
    <mergeCell ref="A46:F46"/>
    <mergeCell ref="A37:F37"/>
    <mergeCell ref="A27:F27"/>
    <mergeCell ref="A18:F18"/>
    <mergeCell ref="A26:F26"/>
    <mergeCell ref="A3:F3"/>
    <mergeCell ref="A21:F21"/>
    <mergeCell ref="A42:F42"/>
    <mergeCell ref="A14:F14"/>
    <mergeCell ref="A5:F5"/>
    <mergeCell ref="A23:F23"/>
    <mergeCell ref="A32:F32"/>
    <mergeCell ref="A8:F8"/>
    <mergeCell ref="A22:F22"/>
    <mergeCell ref="A17:F17"/>
    <mergeCell ref="A35:F35"/>
    <mergeCell ref="A20:F20"/>
    <mergeCell ref="A29:F29"/>
    <mergeCell ref="A43:F43"/>
    <mergeCell ref="A38:F38"/>
    <mergeCell ref="A10:F10"/>
    <mergeCell ref="A13:F13"/>
    <mergeCell ref="A44:F44"/>
    <mergeCell ref="A9:F9"/>
    <mergeCell ref="A31:F31"/>
    <mergeCell ref="A34:F34"/>
    <mergeCell ref="A30:F30"/>
    <mergeCell ref="A39:F39"/>
    <mergeCell ref="A15:F15"/>
    <mergeCell ref="A24:F24"/>
    <mergeCell ref="A11:F11"/>
    <mergeCell ref="A36:F36"/>
    <mergeCell ref="A1:F1"/>
    <mergeCell ref="A45:F45"/>
    <mergeCell ref="A6:F6"/>
    <mergeCell ref="A7:F7"/>
    <mergeCell ref="A25:F25"/>
  </mergeCells>
  <pageMargins left="0.75" right="0.75" top="1" bottom="1" header="0.5" footer="0.5"/>
</worksheet>
</file>

<file path=xl/worksheets/sheet49.xml><?xml version="1.0" encoding="utf-8"?>
<worksheet xmlns="http://schemas.openxmlformats.org/spreadsheetml/2006/main">
  <sheetPr codeName="Hoja42">
    <tabColor rgb="FF8E44AD"/>
    <outlinePr summaryBelow="1" summaryRight="1"/>
    <pageSetUpPr/>
  </sheetPr>
  <dimension ref="A1:J31"/>
  <sheetViews>
    <sheetView showGridLines="0" workbookViewId="0">
      <selection activeCell="A1" sqref="A1:J1"/>
    </sheetView>
  </sheetViews>
  <sheetFormatPr baseColWidth="10" defaultColWidth="9.140625" defaultRowHeight="15"/>
  <cols>
    <col width="12" customWidth="1" style="146" min="1" max="1"/>
    <col width="22" customWidth="1" style="146" min="2" max="2"/>
    <col width="30" customWidth="1" style="146" min="3" max="3"/>
    <col width="12" customWidth="1" style="146" min="4" max="4"/>
    <col width="10" customWidth="1" style="146" min="5" max="7"/>
    <col width="15" customWidth="1" style="146" min="8" max="8"/>
    <col width="35" customWidth="1" style="146" min="9" max="9"/>
    <col width="30" customWidth="1" style="146" min="10" max="10"/>
  </cols>
  <sheetData>
    <row r="1" ht="24.95" customHeight="1" s="146">
      <c r="A1" s="218" t="inlineStr">
        <is>
          <t>PLAN DE CONTINGENCIA Y CONTINUIDAD</t>
        </is>
      </c>
    </row>
    <row r="3" ht="30" customHeight="1" s="146">
      <c r="A3" s="73" t="inlineStr">
        <is>
          <t>ID Plan</t>
        </is>
      </c>
      <c r="B3" s="73" t="inlineStr">
        <is>
          <t>Escenario</t>
        </is>
      </c>
      <c r="C3" s="73" t="inlineStr">
        <is>
          <t>Descripción</t>
        </is>
      </c>
      <c r="D3" s="73" t="inlineStr">
        <is>
          <t>Probabilidad</t>
        </is>
      </c>
      <c r="E3" s="73" t="inlineStr">
        <is>
          <t>Impacto</t>
        </is>
      </c>
      <c r="F3" s="73" t="inlineStr">
        <is>
          <t>RTO</t>
        </is>
      </c>
      <c r="G3" s="73" t="inlineStr">
        <is>
          <t>RPO</t>
        </is>
      </c>
      <c r="H3" s="73" t="inlineStr">
        <is>
          <t>Responsable</t>
        </is>
      </c>
      <c r="I3" s="73" t="inlineStr">
        <is>
          <t>Acciones Inmediatas</t>
        </is>
      </c>
      <c r="J3" s="73" t="inlineStr">
        <is>
          <t>Recursos Necesarios</t>
        </is>
      </c>
    </row>
    <row r="4" ht="30" customHeight="1" s="146">
      <c r="A4" s="20" t="inlineStr">
        <is>
          <t>CONT-001</t>
        </is>
      </c>
      <c r="B4" s="47" t="inlineStr">
        <is>
          <t>Caída servidor principal</t>
        </is>
      </c>
      <c r="C4" s="47" t="inlineStr">
        <is>
          <t>Servidor de aplicaciones no disponible</t>
        </is>
      </c>
      <c r="D4" s="20" t="inlineStr">
        <is>
          <t>Media</t>
        </is>
      </c>
      <c r="E4" s="20" t="inlineStr">
        <is>
          <t>Alto</t>
        </is>
      </c>
      <c r="F4" s="20" t="inlineStr">
        <is>
          <t>4 horas</t>
        </is>
      </c>
      <c r="G4" s="20" t="inlineStr">
        <is>
          <t>1 hora</t>
        </is>
      </c>
      <c r="H4" s="47" t="inlineStr">
        <is>
          <t>Admin Sistemas</t>
        </is>
      </c>
      <c r="I4" s="47" t="inlineStr">
        <is>
          <t>Activar servidor backup, restaurar servicios</t>
        </is>
      </c>
      <c r="J4" s="47" t="inlineStr">
        <is>
          <t>Servidor DR, equipo técnico</t>
        </is>
      </c>
    </row>
    <row r="5">
      <c r="A5" s="20" t="inlineStr">
        <is>
          <t>CONT-002</t>
        </is>
      </c>
      <c r="B5" s="47" t="inlineStr">
        <is>
          <t>Ransomware</t>
        </is>
      </c>
      <c r="C5" s="47" t="inlineStr">
        <is>
          <t>Ataque de cifrado de datos</t>
        </is>
      </c>
      <c r="D5" s="20" t="inlineStr">
        <is>
          <t>Baja</t>
        </is>
      </c>
      <c r="E5" s="20" t="inlineStr">
        <is>
          <t>Crítico</t>
        </is>
      </c>
      <c r="F5" s="20" t="inlineStr">
        <is>
          <t>8 horas</t>
        </is>
      </c>
      <c r="G5" s="20" t="inlineStr">
        <is>
          <t>4 horas</t>
        </is>
      </c>
      <c r="H5" s="47" t="inlineStr">
        <is>
          <t>CISO</t>
        </is>
      </c>
      <c r="I5" s="47" t="inlineStr">
        <is>
          <t>Aislar sistemas, activar backups</t>
        </is>
      </c>
      <c r="J5" s="47" t="inlineStr">
        <is>
          <t>Backups offline, forense</t>
        </is>
      </c>
    </row>
    <row r="6">
      <c r="A6" s="20" t="inlineStr">
        <is>
          <t>CONT-003</t>
        </is>
      </c>
      <c r="B6" s="47" t="inlineStr">
        <is>
          <t>Incendio CPD</t>
        </is>
      </c>
      <c r="C6" s="47" t="inlineStr">
        <is>
          <t>Fuego en centro de datos</t>
        </is>
      </c>
      <c r="D6" s="20" t="inlineStr">
        <is>
          <t>Muy baja</t>
        </is>
      </c>
      <c r="E6" s="20" t="inlineStr">
        <is>
          <t>Crítico</t>
        </is>
      </c>
      <c r="F6" s="20" t="inlineStr">
        <is>
          <t>24 horas</t>
        </is>
      </c>
      <c r="G6" s="20" t="inlineStr">
        <is>
          <t>8 horas</t>
        </is>
      </c>
      <c r="H6" s="47" t="inlineStr">
        <is>
          <t>COO</t>
        </is>
      </c>
      <c r="I6" s="47" t="inlineStr">
        <is>
          <t>Evacuar, activar sitio alterno</t>
        </is>
      </c>
      <c r="J6" s="47" t="inlineStr">
        <is>
          <t>CPD alterno, seguros</t>
        </is>
      </c>
    </row>
    <row r="30">
      <c r="A30" s="259" t="inlineStr">
        <is>
          <t>RTO = Recovery Time Objective (Tiempo objetivo de recuperación)</t>
        </is>
      </c>
    </row>
    <row r="31">
      <c r="A31" s="259" t="inlineStr">
        <is>
          <t>RPO = Recovery Point Objective (Punto objetivo de recuperación)</t>
        </is>
      </c>
    </row>
  </sheetData>
  <mergeCells count="3">
    <mergeCell ref="A1:J1"/>
    <mergeCell ref="A31:J31"/>
    <mergeCell ref="A30:J30"/>
  </mergeCells>
  <dataValidations count="2">
    <dataValidation sqref="D4:D1000" showDropDown="0" showInputMessage="0" showErrorMessage="0" allowBlank="0" type="list">
      <formula1>"Muy Alta,Alta,Media,Baja,Muy Baja"</formula1>
    </dataValidation>
    <dataValidation sqref="E4:E1000" showDropDown="0" showInputMessage="0" showErrorMessage="0" allowBlank="0" type="list">
      <formula1>"Muy Alto,Alto,Medio,Bajo,Muy Bajo"</formula1>
    </dataValidation>
  </dataValidations>
  <pageMargins left="0.75" right="0.75" top="1" bottom="1" header="0.5" footer="0.5"/>
</worksheet>
</file>

<file path=xl/worksheets/sheet50.xml><?xml version="1.0" encoding="utf-8"?>
<worksheet xmlns="http://schemas.openxmlformats.org/spreadsheetml/2006/main">
  <sheetPr codeName="Hoja43">
    <tabColor rgb="FF16A085"/>
    <outlinePr summaryBelow="1" summaryRight="1"/>
    <pageSetUpPr/>
  </sheetPr>
  <dimension ref="A1:J8"/>
  <sheetViews>
    <sheetView showGridLines="0" workbookViewId="0">
      <selection activeCell="A1" sqref="A1:J1"/>
    </sheetView>
  </sheetViews>
  <sheetFormatPr baseColWidth="10" defaultColWidth="9.140625" defaultRowHeight="15"/>
  <cols>
    <col width="10" customWidth="1" style="146" min="1" max="1"/>
    <col width="28" customWidth="1" style="146" min="2" max="2"/>
    <col width="35" customWidth="1" style="146" min="3" max="3"/>
    <col width="30" customWidth="1" style="146" min="4" max="4"/>
    <col width="12" customWidth="1" style="146" min="5" max="5"/>
    <col width="10" customWidth="1" style="146" min="6" max="7"/>
    <col width="12" customWidth="1" style="146" min="8" max="8"/>
    <col width="15" customWidth="1" style="146" min="9" max="9"/>
    <col width="14" customWidth="1" style="146" min="10" max="10"/>
  </cols>
  <sheetData>
    <row r="1" ht="24.95" customHeight="1" s="146">
      <c r="A1" s="222" t="inlineStr">
        <is>
          <t>MÉTRICAS E INDICADORES (KPIs)</t>
        </is>
      </c>
    </row>
    <row r="3" ht="30" customHeight="1" s="146">
      <c r="A3" s="74" t="inlineStr">
        <is>
          <t>ID KPI</t>
        </is>
      </c>
      <c r="B3" s="74" t="inlineStr">
        <is>
          <t>Nombre KPI</t>
        </is>
      </c>
      <c r="C3" s="74" t="inlineStr">
        <is>
          <t>Descripción</t>
        </is>
      </c>
      <c r="D3" s="74" t="inlineStr">
        <is>
          <t>Fórmula</t>
        </is>
      </c>
      <c r="E3" s="74" t="inlineStr">
        <is>
          <t>Frecuencia</t>
        </is>
      </c>
      <c r="F3" s="74" t="inlineStr">
        <is>
          <t>Objetivo</t>
        </is>
      </c>
      <c r="G3" s="74" t="inlineStr">
        <is>
          <t>Actual</t>
        </is>
      </c>
      <c r="H3" s="74" t="inlineStr">
        <is>
          <t>Estado</t>
        </is>
      </c>
      <c r="I3" s="74" t="inlineStr">
        <is>
          <t>Responsable</t>
        </is>
      </c>
      <c r="J3" s="74" t="inlineStr">
        <is>
          <t>Última Medición</t>
        </is>
      </c>
    </row>
    <row r="4" ht="30" customHeight="1" s="146">
      <c r="A4" s="20" t="inlineStr">
        <is>
          <t>KPI-001</t>
        </is>
      </c>
      <c r="B4" s="47" t="inlineStr">
        <is>
          <t>Tiempo medio resolución incidentes</t>
        </is>
      </c>
      <c r="C4" s="47" t="inlineStr">
        <is>
          <t>Tiempo promedio desde detección hasta cierre</t>
        </is>
      </c>
      <c r="D4" s="47" t="inlineStr">
        <is>
          <t>Suma tiempos / Total incidentes</t>
        </is>
      </c>
      <c r="E4" s="20" t="inlineStr">
        <is>
          <t>Mensual</t>
        </is>
      </c>
      <c r="F4" s="47" t="inlineStr">
        <is>
          <t>&lt; 24h</t>
        </is>
      </c>
      <c r="G4" s="47" t="inlineStr">
        <is>
          <t>18h</t>
        </is>
      </c>
      <c r="H4" s="54" t="inlineStr">
        <is>
          <t>✅ OK</t>
        </is>
      </c>
      <c r="I4" s="47" t="inlineStr">
        <is>
          <t>CISO</t>
        </is>
      </c>
      <c r="J4" s="47" t="inlineStr">
        <is>
          <t>01/11/2025</t>
        </is>
      </c>
    </row>
    <row r="5" ht="30" customHeight="1" s="146">
      <c r="A5" s="20" t="inlineStr">
        <is>
          <t>KPI-002</t>
        </is>
      </c>
      <c r="B5" s="47" t="inlineStr">
        <is>
          <t>Incidentes críticos</t>
        </is>
      </c>
      <c r="C5" s="47" t="inlineStr">
        <is>
          <t>Número de incidentes de severidad crítica</t>
        </is>
      </c>
      <c r="D5" s="47" t="inlineStr">
        <is>
          <t>Count(Severidad=Crítica)</t>
        </is>
      </c>
      <c r="E5" s="20" t="inlineStr">
        <is>
          <t>Mensual</t>
        </is>
      </c>
      <c r="F5" s="47" t="inlineStr">
        <is>
          <t>&lt; 3</t>
        </is>
      </c>
      <c r="G5" s="47" t="inlineStr">
        <is>
          <t>1</t>
        </is>
      </c>
      <c r="H5" s="54" t="inlineStr">
        <is>
          <t>✅ OK</t>
        </is>
      </c>
      <c r="I5" s="47" t="inlineStr">
        <is>
          <t>CISO</t>
        </is>
      </c>
      <c r="J5" s="47" t="inlineStr">
        <is>
          <t>01/11/2025</t>
        </is>
      </c>
    </row>
    <row r="6" ht="30" customHeight="1" s="146">
      <c r="A6" s="20" t="inlineStr">
        <is>
          <t>KPI-003</t>
        </is>
      </c>
      <c r="B6" s="47" t="inlineStr">
        <is>
          <t>Vulnerabilidades sin parchear</t>
        </is>
      </c>
      <c r="C6" s="47" t="inlineStr">
        <is>
          <t>Vulnerabilidades críticas pendientes</t>
        </is>
      </c>
      <c r="D6" s="47" t="inlineStr">
        <is>
          <t>Count(Estado=Abierta AND Sev=Crítica)</t>
        </is>
      </c>
      <c r="E6" s="20" t="inlineStr">
        <is>
          <t>Semanal</t>
        </is>
      </c>
      <c r="F6" s="47" t="inlineStr">
        <is>
          <t>0</t>
        </is>
      </c>
      <c r="G6" s="47" t="inlineStr">
        <is>
          <t>2</t>
        </is>
      </c>
      <c r="H6" s="22" t="inlineStr">
        <is>
          <t>⚠️ Riesgo</t>
        </is>
      </c>
      <c r="I6" s="47" t="inlineStr">
        <is>
          <t>Admin TI</t>
        </is>
      </c>
      <c r="J6" s="47" t="inlineStr">
        <is>
          <t>05/11/2025</t>
        </is>
      </c>
    </row>
    <row r="7" ht="30" customHeight="1" s="146">
      <c r="A7" s="20" t="inlineStr">
        <is>
          <t>KPI-004</t>
        </is>
      </c>
      <c r="B7" s="47" t="inlineStr">
        <is>
          <t>Cumplimiento controles ISO</t>
        </is>
      </c>
      <c r="C7" s="47" t="inlineStr">
        <is>
          <t>Porcentaje de controles implementados</t>
        </is>
      </c>
      <c r="D7" s="47" t="inlineStr">
        <is>
          <t>(Implementados / Total) * 100</t>
        </is>
      </c>
      <c r="E7" s="20" t="inlineStr">
        <is>
          <t>Trimestral</t>
        </is>
      </c>
      <c r="F7" s="47" t="inlineStr">
        <is>
          <t>&gt; 90%</t>
        </is>
      </c>
      <c r="G7" s="47" t="inlineStr">
        <is>
          <t>85%</t>
        </is>
      </c>
      <c r="H7" s="22" t="inlineStr">
        <is>
          <t>⚠️ Riesgo</t>
        </is>
      </c>
      <c r="I7" s="47" t="inlineStr">
        <is>
          <t>CISO</t>
        </is>
      </c>
      <c r="J7" s="47" t="inlineStr">
        <is>
          <t>01/10/2025</t>
        </is>
      </c>
    </row>
    <row r="8">
      <c r="A8" s="20" t="inlineStr">
        <is>
          <t>KPI-005</t>
        </is>
      </c>
      <c r="B8" s="47" t="inlineStr">
        <is>
          <t>Empleados formados</t>
        </is>
      </c>
      <c r="C8" s="47" t="inlineStr">
        <is>
          <t>Porcentaje con formación actualizada</t>
        </is>
      </c>
      <c r="D8" s="47" t="inlineStr">
        <is>
          <t>(Formados / Total) * 100</t>
        </is>
      </c>
      <c r="E8" s="20" t="inlineStr">
        <is>
          <t>Semestral</t>
        </is>
      </c>
      <c r="F8" s="47" t="inlineStr">
        <is>
          <t>&gt; 95%</t>
        </is>
      </c>
      <c r="G8" s="47" t="inlineStr">
        <is>
          <t>98%</t>
        </is>
      </c>
      <c r="H8" s="54" t="inlineStr">
        <is>
          <t>✅ OK</t>
        </is>
      </c>
      <c r="I8" s="47" t="inlineStr">
        <is>
          <t>RRHH</t>
        </is>
      </c>
      <c r="J8" s="47" t="inlineStr">
        <is>
          <t>15/09/2025</t>
        </is>
      </c>
    </row>
  </sheetData>
  <mergeCells count="1">
    <mergeCell ref="A1:J1"/>
  </mergeCells>
  <pageMargins left="0.75" right="0.75" top="1" bottom="1" header="0.5" footer="0.5"/>
</worksheet>
</file>

<file path=xl/worksheets/sheet51.xml><?xml version="1.0" encoding="utf-8"?>
<worksheet xmlns="http://schemas.openxmlformats.org/spreadsheetml/2006/main">
  <sheetPr codeName="Hoja45">
    <tabColor rgb="FF7F7F7F"/>
    <outlinePr summaryBelow="1" summaryRight="1"/>
    <pageSetUpPr/>
  </sheetPr>
  <dimension ref="A1:H22"/>
  <sheetViews>
    <sheetView showGridLines="0" workbookViewId="0">
      <selection activeCell="A1" sqref="A1:G1"/>
    </sheetView>
  </sheetViews>
  <sheetFormatPr baseColWidth="10" defaultColWidth="9.140625" defaultRowHeight="15"/>
  <cols>
    <col width="15.42578125" bestFit="1" customWidth="1" style="146" min="1" max="1"/>
    <col width="12" customWidth="1" style="146" min="2" max="2"/>
    <col width="20" customWidth="1" style="146" min="3" max="3"/>
    <col width="18" customWidth="1" style="146" min="4" max="4"/>
    <col width="35" customWidth="1" style="146" min="5" max="5"/>
    <col width="12" customWidth="1" style="146" min="6" max="6"/>
    <col width="15" customWidth="1" style="146" min="7" max="7"/>
    <col width="30" customWidth="1" style="146" min="8" max="8"/>
  </cols>
  <sheetData>
    <row r="1" ht="24.95" customHeight="1" s="146">
      <c r="A1" s="278" t="inlineStr">
        <is>
          <t>LOG DE ACCIONES Y CAMBIOS</t>
        </is>
      </c>
    </row>
    <row r="2">
      <c r="A2" t="inlineStr">
        <is>
          <t>15/10/2025 16:38:14</t>
        </is>
      </c>
      <c r="B2" t="inlineStr">
        <is>
          <t>Laura Martínez</t>
        </is>
      </c>
      <c r="C2" t="inlineStr">
        <is>
          <t>Nuevo activo ingresado</t>
        </is>
      </c>
      <c r="D2" t="inlineStr">
        <is>
          <t>PC-WIN-90</t>
        </is>
      </c>
    </row>
    <row r="3" ht="24.95" customHeight="1" s="146">
      <c r="A3" s="77" t="inlineStr">
        <is>
          <t>28/10/2025 17:38:14</t>
        </is>
      </c>
      <c r="B3" s="77" t="inlineStr">
        <is>
          <t>Carlos Rojas</t>
        </is>
      </c>
      <c r="C3" s="77" t="inlineStr">
        <is>
          <t>Categoría agregada</t>
        </is>
      </c>
      <c r="D3" s="77" t="inlineStr">
        <is>
          <t>PC-WIN-73</t>
        </is>
      </c>
      <c r="E3" s="77" t="inlineStr">
        <is>
          <t>Detalle</t>
        </is>
      </c>
      <c r="F3" s="77" t="inlineStr">
        <is>
          <t>Estado</t>
        </is>
      </c>
      <c r="G3" s="77" t="inlineStr">
        <is>
          <t>IP/Host</t>
        </is>
      </c>
      <c r="H3" s="77" t="inlineStr">
        <is>
          <t>Observaciones</t>
        </is>
      </c>
    </row>
    <row r="4" ht="30" customHeight="1" s="146">
      <c r="A4" s="47" t="inlineStr">
        <is>
          <t>27/10/2025 20:38:14</t>
        </is>
      </c>
      <c r="B4" s="47" t="inlineStr">
        <is>
          <t>Juan Pérez</t>
        </is>
      </c>
      <c r="C4" s="47" t="inlineStr">
        <is>
          <t>Dashboard actualizado</t>
        </is>
      </c>
      <c r="D4" s="47" t="inlineStr">
        <is>
          <t>PC-LNX-70</t>
        </is>
      </c>
      <c r="E4" s="47" t="inlineStr">
        <is>
          <t>ACT-2025-001: Servidor Principal</t>
        </is>
      </c>
      <c r="F4" s="20" t="inlineStr">
        <is>
          <t>Completado</t>
        </is>
      </c>
      <c r="G4" s="47" t="inlineStr">
        <is>
          <t>PC-ADMIN-01</t>
        </is>
      </c>
      <c r="H4" s="47" t="inlineStr">
        <is>
          <t>Registro automático</t>
        </is>
      </c>
    </row>
    <row r="5" ht="30" customHeight="1" s="146">
      <c r="A5" s="47" t="inlineStr">
        <is>
          <t>10/11/2025 18:38:14</t>
        </is>
      </c>
      <c r="B5" s="47" t="inlineStr">
        <is>
          <t>Diego Fernández</t>
        </is>
      </c>
      <c r="C5" s="47" t="inlineStr">
        <is>
          <t>Reporte exportado a PDF</t>
        </is>
      </c>
      <c r="D5" s="47" t="inlineStr">
        <is>
          <t>PC-WIN-32</t>
        </is>
      </c>
      <c r="E5" s="47" t="inlineStr">
        <is>
          <t>RIESGO-001: Nivel cambiado a Alto</t>
        </is>
      </c>
      <c r="F5" s="20" t="inlineStr">
        <is>
          <t>Completado</t>
        </is>
      </c>
      <c r="G5" s="47" t="inlineStr">
        <is>
          <t>PC-CISO-01</t>
        </is>
      </c>
      <c r="H5" s="47" t="inlineStr">
        <is>
          <t>Reevaluación trimestral</t>
        </is>
      </c>
    </row>
    <row r="6">
      <c r="A6" s="94" t="inlineStr">
        <is>
          <t>31/10/2025 07:38:14</t>
        </is>
      </c>
      <c r="B6" t="inlineStr">
        <is>
          <t>Juan Pérez</t>
        </is>
      </c>
      <c r="C6" t="inlineStr">
        <is>
          <t>Categoría agregada</t>
        </is>
      </c>
      <c r="D6" t="inlineStr">
        <is>
          <t>PC-LNX-52</t>
        </is>
      </c>
    </row>
    <row r="7">
      <c r="A7" s="94" t="inlineStr">
        <is>
          <t>03/11/2025 08:38:14</t>
        </is>
      </c>
      <c r="B7" t="inlineStr">
        <is>
          <t>Carlos Rojas</t>
        </is>
      </c>
      <c r="C7" t="inlineStr">
        <is>
          <t>Reporte exportado a PDF</t>
        </is>
      </c>
      <c r="D7" t="inlineStr">
        <is>
          <t>PC-WIN-85</t>
        </is>
      </c>
    </row>
    <row r="8">
      <c r="A8" s="94" t="inlineStr">
        <is>
          <t>16/10/2025 14:38:14</t>
        </is>
      </c>
      <c r="B8" t="inlineStr">
        <is>
          <t>María López</t>
        </is>
      </c>
      <c r="C8" t="inlineStr">
        <is>
          <t>Dashboard actualizado</t>
        </is>
      </c>
      <c r="D8" t="inlineStr">
        <is>
          <t>PC-WIN-61</t>
        </is>
      </c>
    </row>
    <row r="9">
      <c r="A9" s="94" t="inlineStr">
        <is>
          <t>10/11/2025 23:38:14</t>
        </is>
      </c>
      <c r="B9" t="inlineStr">
        <is>
          <t>Laura Martínez</t>
        </is>
      </c>
      <c r="C9" t="inlineStr">
        <is>
          <t>Validación ISO ejecutada</t>
        </is>
      </c>
      <c r="D9" t="inlineStr">
        <is>
          <t>PC-LNX-37</t>
        </is>
      </c>
    </row>
    <row r="10">
      <c r="A10" s="94" t="inlineStr">
        <is>
          <t>29/10/2025 00:38:14</t>
        </is>
      </c>
      <c r="B10" t="inlineStr">
        <is>
          <t>Carlos Rojas</t>
        </is>
      </c>
      <c r="C10" t="inlineStr">
        <is>
          <t>Backup creado</t>
        </is>
      </c>
      <c r="D10" t="inlineStr">
        <is>
          <t>PC-MAC-76</t>
        </is>
      </c>
    </row>
    <row r="11">
      <c r="A11" s="94" t="inlineStr">
        <is>
          <t>03/11/2025 03:38:14</t>
        </is>
      </c>
      <c r="B11" t="inlineStr">
        <is>
          <t>Juan Pérez</t>
        </is>
      </c>
      <c r="C11" t="inlineStr">
        <is>
          <t>Activo eliminado</t>
        </is>
      </c>
      <c r="D11" t="inlineStr">
        <is>
          <t>PC-WIN-73</t>
        </is>
      </c>
    </row>
    <row r="12">
      <c r="A12" s="94" t="inlineStr">
        <is>
          <t>22/10/2025 01:38:14</t>
        </is>
      </c>
      <c r="B12" t="inlineStr">
        <is>
          <t>Ana Silva</t>
        </is>
      </c>
      <c r="C12" t="inlineStr">
        <is>
          <t>Categoría agregada</t>
        </is>
      </c>
      <c r="D12" t="inlineStr">
        <is>
          <t>PC-LNX-37</t>
        </is>
      </c>
    </row>
    <row r="13">
      <c r="A13" s="94" t="inlineStr">
        <is>
          <t>08/11/2025 11:38:14</t>
        </is>
      </c>
      <c r="B13" t="inlineStr">
        <is>
          <t>Carla Soto</t>
        </is>
      </c>
      <c r="C13" t="inlineStr">
        <is>
          <t>Riesgo actualizado</t>
        </is>
      </c>
      <c r="D13" t="inlineStr">
        <is>
          <t>PC-LNX-96</t>
        </is>
      </c>
    </row>
    <row r="14">
      <c r="A14" s="94" t="inlineStr">
        <is>
          <t>28/10/2025 14:38:14</t>
        </is>
      </c>
      <c r="B14" t="inlineStr">
        <is>
          <t>María López</t>
        </is>
      </c>
      <c r="C14" t="inlineStr">
        <is>
          <t>Nuevo activo ingresado</t>
        </is>
      </c>
      <c r="D14" t="inlineStr">
        <is>
          <t>PC-LNX-18</t>
        </is>
      </c>
    </row>
    <row r="15">
      <c r="A15" s="94" t="inlineStr">
        <is>
          <t>19/10/2025 11:38:14</t>
        </is>
      </c>
      <c r="B15" t="inlineStr">
        <is>
          <t>Laura Martínez</t>
        </is>
      </c>
      <c r="C15" t="inlineStr">
        <is>
          <t>Backup creado</t>
        </is>
      </c>
      <c r="D15" t="inlineStr">
        <is>
          <t>PC-WIN-18</t>
        </is>
      </c>
    </row>
    <row r="16">
      <c r="A16" s="94" t="inlineStr">
        <is>
          <t>03/11/2025 12:38:14</t>
        </is>
      </c>
      <c r="B16" t="inlineStr">
        <is>
          <t>María López</t>
        </is>
      </c>
      <c r="C16" t="inlineStr">
        <is>
          <t>Tratamiento modificado</t>
        </is>
      </c>
      <c r="D16" t="inlineStr">
        <is>
          <t>PC-MAC-51</t>
        </is>
      </c>
    </row>
    <row r="17">
      <c r="A17" s="94" t="inlineStr">
        <is>
          <t>22/10/2025 13:38:14</t>
        </is>
      </c>
      <c r="B17" t="inlineStr">
        <is>
          <t>Carla Soto</t>
        </is>
      </c>
      <c r="C17" t="inlineStr">
        <is>
          <t>Dashboard actualizado</t>
        </is>
      </c>
      <c r="D17" t="inlineStr">
        <is>
          <t>PC-WIN-16</t>
        </is>
      </c>
    </row>
    <row r="18">
      <c r="A18" s="94" t="inlineStr">
        <is>
          <t>30/10/2025 18:38:14</t>
        </is>
      </c>
      <c r="B18" t="inlineStr">
        <is>
          <t>Laura Martínez</t>
        </is>
      </c>
      <c r="C18" t="inlineStr">
        <is>
          <t>Reporte exportado a PDF</t>
        </is>
      </c>
      <c r="D18" t="inlineStr">
        <is>
          <t>PC-MAC-93</t>
        </is>
      </c>
    </row>
    <row r="19">
      <c r="A19" s="94" t="inlineStr">
        <is>
          <t>03/11/2025 19:38:14</t>
        </is>
      </c>
      <c r="B19" t="inlineStr">
        <is>
          <t>Diego Fernández</t>
        </is>
      </c>
      <c r="C19" t="inlineStr">
        <is>
          <t>Riesgo actualizado</t>
        </is>
      </c>
      <c r="D19" t="inlineStr">
        <is>
          <t>PC-LNX-36</t>
        </is>
      </c>
    </row>
    <row r="20">
      <c r="A20" s="94" t="inlineStr">
        <is>
          <t>03/11/2025 18:38:14</t>
        </is>
      </c>
      <c r="B20" t="inlineStr">
        <is>
          <t>María López</t>
        </is>
      </c>
      <c r="C20" t="inlineStr">
        <is>
          <t>Categoría agregada</t>
        </is>
      </c>
      <c r="D20" t="inlineStr">
        <is>
          <t>PC-LNX-67</t>
        </is>
      </c>
    </row>
    <row r="21">
      <c r="A21" s="136" t="inlineStr">
        <is>
          <t>10/11/2025 01:38:14</t>
        </is>
      </c>
      <c r="B21" s="137" t="inlineStr">
        <is>
          <t>Ana Silva</t>
        </is>
      </c>
      <c r="C21" s="137" t="inlineStr">
        <is>
          <t>Nuevo activo ingresado</t>
        </is>
      </c>
      <c r="D21" s="137" t="inlineStr">
        <is>
          <t>PC-LNX-91</t>
        </is>
      </c>
    </row>
    <row r="22">
      <c r="A22" s="136" t="n">
        <v>45973.26803240741</v>
      </c>
      <c r="B22" s="137" t="inlineStr">
        <is>
          <t>david ñanculeo</t>
        </is>
      </c>
      <c r="C22" s="137" t="inlineStr">
        <is>
          <t>Reporte completo exportado: Reporte_SGSI_Completo_20251112_062539.pdf</t>
        </is>
      </c>
      <c r="D22" s="137" t="inlineStr">
        <is>
          <t>DESKTOP-V8M19AP</t>
        </is>
      </c>
    </row>
  </sheetData>
  <mergeCells count="1">
    <mergeCell ref="A1:H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2025-11-06T17:50:33Z</dcterms:created>
  <dcterms:modified xmlns:dcterms="http://purl.org/dc/terms/" xmlns:xsi="http://www.w3.org/2001/XMLSchema-instance" xsi:type="dcterms:W3CDTF">2025-11-12T09:38:14Z</dcterms:modified>
  <cp:lastModifiedBy>david ñanculeo</cp:lastModifiedBy>
  <cp:lastPrinted>2025-11-12T09:25:57Z</cp:lastPrinted>
</cp:coreProperties>
</file>