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e6a4c2e81ec943c/Escritorio/sgsi ciberseguridad/"/>
    </mc:Choice>
  </mc:AlternateContent>
  <xr:revisionPtr revIDLastSave="0" documentId="8_{A409846B-6150-4CCC-9F7A-4A9991A773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nel_Control" sheetId="1" r:id="rId1"/>
    <sheet name="Control_Documentos" sheetId="2" r:id="rId2"/>
    <sheet name="Portada" sheetId="3" r:id="rId3"/>
    <sheet name="Metodologia_Riesgos" sheetId="4" r:id="rId4"/>
    <sheet name="SoA" sheetId="5" r:id="rId5"/>
    <sheet name="Plan_Auditoria" sheetId="6" r:id="rId6"/>
    <sheet name="Revision_Direccion" sheetId="7" r:id="rId7"/>
    <sheet name="Plan_Proyecto_SGSI" sheetId="8" r:id="rId8"/>
    <sheet name="Datos_Organizacion" sheetId="9" r:id="rId9"/>
    <sheet name="Activos" sheetId="10" r:id="rId10"/>
    <sheet name="Plan_Continuidad" sheetId="11" r:id="rId11"/>
    <sheet name="BIA" sheetId="12" r:id="rId12"/>
    <sheet name="Plan_Formacion" sheetId="13" r:id="rId13"/>
    <sheet name="NDA_Proveedores" sheetId="14" r:id="rId14"/>
    <sheet name="NDA_Empleados" sheetId="15" r:id="rId15"/>
    <sheet name="Comite_Seguridad" sheetId="16" r:id="rId16"/>
    <sheet name="CMDB" sheetId="17" r:id="rId17"/>
    <sheet name="Procedimiento_Hardening" sheetId="18" r:id="rId18"/>
    <sheet name="Plan_Director_Ciber" sheetId="19" r:id="rId19"/>
    <sheet name="DRP_Pruebas" sheetId="20" r:id="rId20"/>
    <sheet name="DRP_Informes" sheetId="21" r:id="rId21"/>
    <sheet name="DRP_Mantenimiento" sheetId="22" r:id="rId22"/>
    <sheet name="Dashboard" sheetId="23" r:id="rId23"/>
    <sheet name="Matriz_Riesgos" sheetId="24" r:id="rId24"/>
    <sheet name="Analisis_Riesgos" sheetId="25" r:id="rId25"/>
    <sheet name="Plan_Tratamiento" sheetId="26" r:id="rId26"/>
    <sheet name="Config_Categorias" sheetId="27" r:id="rId27"/>
    <sheet name="Config_Areas" sheetId="28" r:id="rId28"/>
    <sheet name="Config_Clases" sheetId="29" r:id="rId29"/>
    <sheet name="Controles_ISO27001" sheetId="30" r:id="rId30"/>
    <sheet name="Declaracion_Aplicabilidad" sheetId="31" r:id="rId31"/>
    <sheet name="Inventario_Amenazas" sheetId="32" r:id="rId32"/>
    <sheet name="Inventario_Vulnerabilidades" sheetId="33" r:id="rId33"/>
    <sheet name="Gestion_Incidentes" sheetId="34" r:id="rId34"/>
    <sheet name="Politicas_Seguridad" sheetId="35" r:id="rId35"/>
    <sheet name="Procedimientos" sheetId="36" r:id="rId36"/>
    <sheet name="Auditorias" sheetId="37" r:id="rId37"/>
    <sheet name="Registro_Formacion" sheetId="38" r:id="rId38"/>
    <sheet name="Clasificacion_Incidentes" sheetId="39" r:id="rId39"/>
    <sheet name="Registro_Eventos" sheetId="40" r:id="rId40"/>
    <sheet name="Instrucciones" sheetId="41" r:id="rId41"/>
    <sheet name="Plan_Contingencia" sheetId="42" r:id="rId42"/>
    <sheet name="Metricas_KPI" sheetId="43" r:id="rId43"/>
    <sheet name="MITRE_Ataques" sheetId="44" r:id="rId44"/>
    <sheet name="Log_Acc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M11" i="1"/>
  <c r="M10" i="1"/>
  <c r="M9" i="1"/>
  <c r="M8" i="1"/>
  <c r="M7" i="1"/>
</calcChain>
</file>

<file path=xl/sharedStrings.xml><?xml version="1.0" encoding="utf-8"?>
<sst xmlns="http://schemas.openxmlformats.org/spreadsheetml/2006/main" count="1556" uniqueCount="1010">
  <si>
    <t>🎛️ PANEL DE CONTROL - SGSI v4.0</t>
  </si>
  <si>
    <t>Sistema de Gestión de Seguridad de la Información ISO 27001:2022</t>
  </si>
  <si>
    <t>🧭 NAVEGACIÓN RÁPIDA - 23 HOJAS PRINCIPALES</t>
  </si>
  <si>
    <t>📦 Inventario de Activos</t>
  </si>
  <si>
    <t>🏷️ Clasificación de Activos</t>
  </si>
  <si>
    <t>💰 Valoración de Activos</t>
  </si>
  <si>
    <t>⚠️ Identificación de Riesgos</t>
  </si>
  <si>
    <t>📊 ESTADÍSTICAS EN TIEMPO REAL</t>
  </si>
  <si>
    <t>📊 Análisis de Riesgos</t>
  </si>
  <si>
    <t>🎯 Evaluación de Riesgos</t>
  </si>
  <si>
    <t>🛡️ Plan de Tratamiento</t>
  </si>
  <si>
    <t>📈 Seguimiento Tratamiento</t>
  </si>
  <si>
    <t>✅ Controles Implementados</t>
  </si>
  <si>
    <t>📋 Declaración Aplicabilidad</t>
  </si>
  <si>
    <t>📜 Políticas de Seguridad</t>
  </si>
  <si>
    <t>⚙️ Procedimientos Operativos</t>
  </si>
  <si>
    <t>📦 ACTIVOS TOTALES:</t>
  </si>
  <si>
    <t>👥 Roles y Responsabilidades</t>
  </si>
  <si>
    <t>📊 Indicadores KPI</t>
  </si>
  <si>
    <t>🔍 Auditoría Interna</t>
  </si>
  <si>
    <t>👔 Revisión Dirección</t>
  </si>
  <si>
    <t>🔴 ACTIVOS CRÍTICOS:</t>
  </si>
  <si>
    <t>🚨 Incidentes de Seguridad</t>
  </si>
  <si>
    <t>🔄 Gestión de Cambios</t>
  </si>
  <si>
    <t>🎓 Capacitación</t>
  </si>
  <si>
    <t>⚖️ Cumplimiento Legal</t>
  </si>
  <si>
    <t>⚠️ RIESGOS TOTALES:</t>
  </si>
  <si>
    <t>♻️ Mejora Continua</t>
  </si>
  <si>
    <t>📊 Dashboard Ejecutivo</t>
  </si>
  <si>
    <t>📖 Instrucciones</t>
  </si>
  <si>
    <t>🔥 RIESGOS CRÍTICOS:</t>
  </si>
  <si>
    <t>🛡️ TRATAMIENTOS ACTIVOS:</t>
  </si>
  <si>
    <t>📦 MÓDULO DE GESTIÓN DE ACTIVOS</t>
  </si>
  <si>
    <t>🔄 EN PROGRESO:</t>
  </si>
  <si>
    <t>▶ Ingresar Activo</t>
  </si>
  <si>
    <t>Formulario para agregar nuevo activo con validación automática de campos</t>
  </si>
  <si>
    <t>▶ Generar Reporte</t>
  </si>
  <si>
    <t>Genera reporte filtrado de activos por categoría y criticidad</t>
  </si>
  <si>
    <t>🕒 Actualizado automáticamente</t>
  </si>
  <si>
    <t>▶ Exportar CSV</t>
  </si>
  <si>
    <t>Exporta inventario completo a formato CSV para integración</t>
  </si>
  <si>
    <t>▶ Actualizar Propietarios</t>
  </si>
  <si>
    <t>Actualiza responsable/propietario de múltiples activos</t>
  </si>
  <si>
    <t>▶ Calcular Valor</t>
  </si>
  <si>
    <t>Calcula valor del activo según clasificación C+I+D y criticidad</t>
  </si>
  <si>
    <t>▶ Validar Duplicados</t>
  </si>
  <si>
    <t>Busca y resalta activos duplicados para limpieza preventiva</t>
  </si>
  <si>
    <t>▶ Eliminar Activo</t>
  </si>
  <si>
    <t>Elimina activo seleccionado con confirmación (al día con backups)</t>
  </si>
  <si>
    <t>⚠️ MÓDULO DE GESTIÓN DE RIESGOS</t>
  </si>
  <si>
    <t>▶ Ingresar Riesgo</t>
  </si>
  <si>
    <t>Formulario para registrar nuevo riesgo con evaluación P×I</t>
  </si>
  <si>
    <t>▶ Calcular Inherente</t>
  </si>
  <si>
    <t>Calcula riesgo inherente (Probabilidad × Impacto) automático</t>
  </si>
  <si>
    <t>▶ Mapa de Calor</t>
  </si>
  <si>
    <t>Crea matriz visual 5×5 con distribución de riesgos por nivel</t>
  </si>
  <si>
    <t>▶ Actualizar Residual</t>
  </si>
  <si>
    <t>Recalcula riesgo residual tras implementar controles</t>
  </si>
  <si>
    <t>▶ Colorear Riesgos</t>
  </si>
  <si>
    <t>Aplica formato visual automático: Verde (1-5), Amarillo (6-12), Rojo (15-25)</t>
  </si>
  <si>
    <t>🛡️ MÓDULO DE TRATAMIENTO DE RIESGOS</t>
  </si>
  <si>
    <t>▶ Ingresar Tratamiento</t>
  </si>
  <si>
    <t>Genera plan de tratamiento para riesgos seleccionados con responsables</t>
  </si>
  <si>
    <t>▶ Actualizar Estado</t>
  </si>
  <si>
    <t>Actualiza progreso de implementación (%) y estado actual</t>
  </si>
  <si>
    <t>▶ Generar Informe</t>
  </si>
  <si>
    <t>Reporte ejecutivo de tratamientos por estado para dirección</t>
  </si>
  <si>
    <t>Instrucciones!A1</t>
  </si>
  <si>
    <t>Control_Documentos!A1</t>
  </si>
  <si>
    <t>NDA_Proveedores!A1</t>
  </si>
  <si>
    <t>📊 MÓDULO DE REPORTES Y ANÁLISIS</t>
  </si>
  <si>
    <t>▶ Actualizar Dashboard</t>
  </si>
  <si>
    <t>Actualiza gráficos y métricas del Dashboard antes de reuniones</t>
  </si>
  <si>
    <t>▶ Reporte Completo</t>
  </si>
  <si>
    <t>PDF ejecutivo con resumen completo del SGSI (7 hojas principales)</t>
  </si>
  <si>
    <t>▶ Exportar Activos PDF</t>
  </si>
  <si>
    <t>Exporta solo inventario de activos a PDF con diseño profesional</t>
  </si>
  <si>
    <t>▶ Validar ISO 27001</t>
  </si>
  <si>
    <t>Checklist de cumplimiento ISO 27001:2022 - Verifica controles A.5-A.8</t>
  </si>
  <si>
    <t>🔧 UTILIDADES DEL SISTEMA</t>
  </si>
  <si>
    <t>▶ Info Sistema</t>
  </si>
  <si>
    <t>▶ Validar Estructura Excel</t>
  </si>
  <si>
    <t>💡 Instrucciones: Haz clic en los hipervínculos azules para navegar | Ejecuta CrearBotonesAutomaticos_Simple() en VBA para crear botones</t>
  </si>
  <si>
    <t>CONTROL DE DOCUMENTOS DEL SGSI</t>
  </si>
  <si>
    <t>Código Doc</t>
  </si>
  <si>
    <t>Título</t>
  </si>
  <si>
    <t>Tipo</t>
  </si>
  <si>
    <t>Versión</t>
  </si>
  <si>
    <t>Fecha Emisión</t>
  </si>
  <si>
    <t>Autor</t>
  </si>
  <si>
    <t>Aprobador</t>
  </si>
  <si>
    <t>Estado</t>
  </si>
  <si>
    <t>Cambios</t>
  </si>
  <si>
    <t>Próx. Revisión</t>
  </si>
  <si>
    <t>Ubicación</t>
  </si>
  <si>
    <t>DOC-SGSI-001</t>
  </si>
  <si>
    <t>Política General SGSI</t>
  </si>
  <si>
    <t>Política</t>
  </si>
  <si>
    <t>2.0</t>
  </si>
  <si>
    <t>01/01/2025</t>
  </si>
  <si>
    <t>CISO</t>
  </si>
  <si>
    <t>CEO</t>
  </si>
  <si>
    <t>Vigente</t>
  </si>
  <si>
    <t>Actualización normativa</t>
  </si>
  <si>
    <t>01/01/2026</t>
  </si>
  <si>
    <t>SharePoint/Políticas</t>
  </si>
  <si>
    <t>DOC-PROC-001</t>
  </si>
  <si>
    <t>Procedimiento Backup</t>
  </si>
  <si>
    <t>Procedimiento</t>
  </si>
  <si>
    <t>1.5</t>
  </si>
  <si>
    <t>15/02/2025</t>
  </si>
  <si>
    <t>Admin TI</t>
  </si>
  <si>
    <t>Nuevas tecnologías</t>
  </si>
  <si>
    <t>15/08/2025</t>
  </si>
  <si>
    <t>SharePoint/Procedimientos</t>
  </si>
  <si>
    <t>SISTEMA DE GESTIÓN DE
SEGURIDAD DE LA INFORMACIÓN</t>
  </si>
  <si>
    <t>ISO/IEC 27001:2022</t>
  </si>
  <si>
    <t>Versión 4.0 - Sistema Completo</t>
  </si>
  <si>
    <t>[NOMBRE DE LA ORGANIZACIÓN]</t>
  </si>
  <si>
    <t>Fecha: 06 de Noviembre de 2025</t>
  </si>
  <si>
    <t>✨ CARACTERÍSTICAS DEL SISTEMA ✨</t>
  </si>
  <si>
    <t>✅ Cumplimiento total ISO 27001:2022</t>
  </si>
  <si>
    <t>✅ 93 controles del Anexo A documentados</t>
  </si>
  <si>
    <t>✅ 20+ macros automatizadas</t>
  </si>
  <si>
    <t>✅ Dashboard interactivo de métricas</t>
  </si>
  <si>
    <t>✅ Exportación profesional a PDF</t>
  </si>
  <si>
    <t>✅ Integración MITRE ATT&amp;CK ICS</t>
  </si>
  <si>
    <t>Documento Confidencial - Uso Interno</t>
  </si>
  <si>
    <t>METODOLOGÍA DE ANÁLISIS DE RIESGOS</t>
  </si>
  <si>
    <t>ESCALA DE PROBABILIDAD</t>
  </si>
  <si>
    <t>Nivel</t>
  </si>
  <si>
    <t>Descripción</t>
  </si>
  <si>
    <t>Frecuencia</t>
  </si>
  <si>
    <t>Valor</t>
  </si>
  <si>
    <t>Muy Alta</t>
  </si>
  <si>
    <t>Ocurre frecuentemente</t>
  </si>
  <si>
    <t>Más de 1 vez/mes</t>
  </si>
  <si>
    <t>5</t>
  </si>
  <si>
    <t>Alta</t>
  </si>
  <si>
    <t>Probable que ocurra</t>
  </si>
  <si>
    <t>1 vez cada 1-6 meses</t>
  </si>
  <si>
    <t>4</t>
  </si>
  <si>
    <t>Media</t>
  </si>
  <si>
    <t>Puede ocurrir</t>
  </si>
  <si>
    <t>1 vez cada 6-12 meses</t>
  </si>
  <si>
    <t>3</t>
  </si>
  <si>
    <t>Baja</t>
  </si>
  <si>
    <t>Poco probable</t>
  </si>
  <si>
    <t>1 vez cada 1-3 años</t>
  </si>
  <si>
    <t>2</t>
  </si>
  <si>
    <t>Muy Baja</t>
  </si>
  <si>
    <t>Muy improbable</t>
  </si>
  <si>
    <t>Menos de 1 vez cada 3 años</t>
  </si>
  <si>
    <t>1</t>
  </si>
  <si>
    <t>ESCALA DE IMPACTO</t>
  </si>
  <si>
    <t>Impacto Negocio</t>
  </si>
  <si>
    <t>Muy Alto</t>
  </si>
  <si>
    <t>Impacto catastrófico</t>
  </si>
  <si>
    <t>Pérdida &gt; 500K€, cierre negocio</t>
  </si>
  <si>
    <t>Alto</t>
  </si>
  <si>
    <t>Impacto grave</t>
  </si>
  <si>
    <t>Pérdida 100-500K€</t>
  </si>
  <si>
    <t>Medio</t>
  </si>
  <si>
    <t>Impacto moderado</t>
  </si>
  <si>
    <t>Pérdida 20-100K€</t>
  </si>
  <si>
    <t>Bajo</t>
  </si>
  <si>
    <t>Impacto menor</t>
  </si>
  <si>
    <t>Pérdida 5-20K€</t>
  </si>
  <si>
    <t>Muy Bajo</t>
  </si>
  <si>
    <t>Impacto insignificante</t>
  </si>
  <si>
    <t>Pérdida &lt; 5K€</t>
  </si>
  <si>
    <t>MATRIZ DE EVALUACIÓN: Riesgo = Probabilidad × Impacto</t>
  </si>
  <si>
    <t>STATEMENT OF APPLICABILITY (SOA)</t>
  </si>
  <si>
    <t>📋 Plantilla para: STATEMENT OF APPLICABILITY (SOA)</t>
  </si>
  <si>
    <t>Esta hoja debe personalizarse según las necesidades de la organización.</t>
  </si>
  <si>
    <t>PLAN DE AUDITORÍA INTERNA</t>
  </si>
  <si>
    <t>📋 Plantilla para: PLAN DE AUDITORÍA INTERNA</t>
  </si>
  <si>
    <t>REVISIÓN POR LA DIRECCIÓN</t>
  </si>
  <si>
    <t>📋 Plantilla para: REVISIÓN POR LA DIRECCIÓN</t>
  </si>
  <si>
    <t>PLAN DE PROYECTO SGSI</t>
  </si>
  <si>
    <t>📋 Plantilla para: PLAN DE PROYECTO SGSI</t>
  </si>
  <si>
    <t>DATOS DE LA ORGANIZACIÓN</t>
  </si>
  <si>
    <t>📋 INFORMACIÓN GENERAL</t>
  </si>
  <si>
    <t>Campo</t>
  </si>
  <si>
    <t>Razón Social:</t>
  </si>
  <si>
    <t>[Ingrese razón social]</t>
  </si>
  <si>
    <t>NIF/CIF:</t>
  </si>
  <si>
    <t>[Ingrese NIF]</t>
  </si>
  <si>
    <t>Dirección:</t>
  </si>
  <si>
    <t>[Ingrese dirección]</t>
  </si>
  <si>
    <t>Ciudad:</t>
  </si>
  <si>
    <t>[Ciudad]</t>
  </si>
  <si>
    <t>Código Postal:</t>
  </si>
  <si>
    <t>[CP]</t>
  </si>
  <si>
    <t>País:</t>
  </si>
  <si>
    <t>[País]</t>
  </si>
  <si>
    <t>Teléfono:</t>
  </si>
  <si>
    <t>[Teléfono]</t>
  </si>
  <si>
    <t>Email:</t>
  </si>
  <si>
    <t>[Email]</t>
  </si>
  <si>
    <t>Sitio Web:</t>
  </si>
  <si>
    <t>[www.example.com]</t>
  </si>
  <si>
    <t>👤 RESPONSABLE DEL SGSI</t>
  </si>
  <si>
    <t>Nombre:</t>
  </si>
  <si>
    <t>[Nombre completo]</t>
  </si>
  <si>
    <t>Cargo:</t>
  </si>
  <si>
    <t>[Cargo]</t>
  </si>
  <si>
    <t>🎯 ALCANCE DEL SGSI</t>
  </si>
  <si>
    <t>[Descripción del alcance del SGSI]
Ejemplo: "Aplica a todos los procesos de tecnología de la información que soportan las operaciones de la organización, incluyendo..."</t>
  </si>
  <si>
    <t>INVENTARIO DE ACTIVOS DE INFORMACIÓN</t>
  </si>
  <si>
    <t>ID</t>
  </si>
  <si>
    <t>Nombre</t>
  </si>
  <si>
    <t>Categoría</t>
  </si>
  <si>
    <t>Subcategoría</t>
  </si>
  <si>
    <t>Área</t>
  </si>
  <si>
    <t>Propietario</t>
  </si>
  <si>
    <t>Custodio</t>
  </si>
  <si>
    <t>Clase</t>
  </si>
  <si>
    <t>Subclase</t>
  </si>
  <si>
    <t>Confidencialidad</t>
  </si>
  <si>
    <t>Integridad</t>
  </si>
  <si>
    <t>Disponibilidad</t>
  </si>
  <si>
    <t>Valoración</t>
  </si>
  <si>
    <t>Criticidad</t>
  </si>
  <si>
    <t>Fecha Alta</t>
  </si>
  <si>
    <t>Última Modificación</t>
  </si>
  <si>
    <t>Usuario</t>
  </si>
  <si>
    <t>Codigo</t>
  </si>
  <si>
    <t>Categoria</t>
  </si>
  <si>
    <t>Ubicacion</t>
  </si>
  <si>
    <t>Responsable</t>
  </si>
  <si>
    <t>Fecha</t>
  </si>
  <si>
    <t>A</t>
  </si>
  <si>
    <t>Crítica</t>
  </si>
  <si>
    <t>Activo</t>
  </si>
  <si>
    <t>06/11/2025</t>
  </si>
  <si>
    <t>Admin</t>
  </si>
  <si>
    <t>ACT-001</t>
  </si>
  <si>
    <t>HW-SRV-001</t>
  </si>
  <si>
    <t>Servidor Principal</t>
  </si>
  <si>
    <t>Hardware</t>
  </si>
  <si>
    <t>Servidor</t>
  </si>
  <si>
    <t>Datacenter A1</t>
  </si>
  <si>
    <t>IT Admin</t>
  </si>
  <si>
    <t>CRITICA</t>
  </si>
  <si>
    <t>01/01/2024</t>
  </si>
  <si>
    <t>ACT-002</t>
  </si>
  <si>
    <t>SW-ERP-001</t>
  </si>
  <si>
    <t>Sistema ERP SAP</t>
  </si>
  <si>
    <t>Software</t>
  </si>
  <si>
    <t>ERP</t>
  </si>
  <si>
    <t>IT Manager</t>
  </si>
  <si>
    <t>01/02/2024</t>
  </si>
  <si>
    <t>ACT-003</t>
  </si>
  <si>
    <t>DATA-CLI-001</t>
  </si>
  <si>
    <t>BBDD Clientes</t>
  </si>
  <si>
    <t>Datos</t>
  </si>
  <si>
    <t>Informacion</t>
  </si>
  <si>
    <t>Servidor BD</t>
  </si>
  <si>
    <t>Data Manager</t>
  </si>
  <si>
    <t>01/03/2024</t>
  </si>
  <si>
    <t>PLAN DE CONTINUIDAD DE NEGOCIO</t>
  </si>
  <si>
    <t>📋 Plantilla para: PLAN DE CONTINUIDAD DE NEGOCIO</t>
  </si>
  <si>
    <t>ANÁLISIS DE IMPACTO AL NEGOCIO (BIA)</t>
  </si>
  <si>
    <t>📋 Plantilla para: ANÁLISIS DE IMPACTO AL NEGOCIO (BIA)</t>
  </si>
  <si>
    <t>PLAN DE FORMACIÓN Y CONCIENCIACIÓN</t>
  </si>
  <si>
    <t>📋 Plantilla para: PLAN DE FORMACIÓN Y CONCIENCIACIÓN</t>
  </si>
  <si>
    <t>ACUERDO CONFIDENCIALIDAD - PROVEEDORES</t>
  </si>
  <si>
    <t>📋 Plantilla para: ACUERDO CONFIDENCIALIDAD - PROVEEDORES</t>
  </si>
  <si>
    <t>ACUERDO CONFIDENCIALIDAD - EMPLEADOS</t>
  </si>
  <si>
    <t>📋 Plantilla para: ACUERDO CONFIDENCIALIDAD - EMPLEADOS</t>
  </si>
  <si>
    <t>COMITÉ DE SEGURIDAD DE LA INFORMACIÓN</t>
  </si>
  <si>
    <t>📋 Plantilla para: COMITÉ DE SEGURIDAD DE LA INFORMACIÓN</t>
  </si>
  <si>
    <t>CONFIGURATION MANAGEMENT DATABASE</t>
  </si>
  <si>
    <t>CI ID</t>
  </si>
  <si>
    <t>Nombre CI</t>
  </si>
  <si>
    <t>Dependencias</t>
  </si>
  <si>
    <t>PROCEDIMIENTO DE HARDENING</t>
  </si>
  <si>
    <t>PLAN DIRECTOR DE CIBERSEGURIDAD</t>
  </si>
  <si>
    <t>PLAN DE PRUEBAS DE RECUPERACIÓN</t>
  </si>
  <si>
    <t>INFORMES DE RECUPERACIÓN</t>
  </si>
  <si>
    <t>MANTENIMIENTO DEL PLAN DRP</t>
  </si>
  <si>
    <t>DASHBOARD DE MÉTRICAS - SGSI</t>
  </si>
  <si>
    <t>📈 INDICADORES CLAVE (KPIs)</t>
  </si>
  <si>
    <t>Total Activos</t>
  </si>
  <si>
    <t>Riesgos Identificados</t>
  </si>
  <si>
    <t>Riesgos Críticos</t>
  </si>
  <si>
    <t>Nivel de Cumplimiento</t>
  </si>
  <si>
    <t>0</t>
  </si>
  <si>
    <t>0%</t>
  </si>
  <si>
    <t>⚠️ DISTRIBUCIÓN DE RIESGOS</t>
  </si>
  <si>
    <t>🛡️ ESTADO DE TRATAMIENTOS</t>
  </si>
  <si>
    <t>Cantidad</t>
  </si>
  <si>
    <t>Porcentaje</t>
  </si>
  <si>
    <t>Progreso</t>
  </si>
  <si>
    <t>Crítico</t>
  </si>
  <si>
    <t>■ Alto</t>
  </si>
  <si>
    <t>Implementado</t>
  </si>
  <si>
    <t>En Progreso</t>
  </si>
  <si>
    <t>■ Medio</t>
  </si>
  <si>
    <t>Pendiente</t>
  </si>
  <si>
    <t>■ Bajo</t>
  </si>
  <si>
    <t>Cancelado</t>
  </si>
  <si>
    <t>MATRIZ DE RIESGOS - ISO 27001:2022</t>
  </si>
  <si>
    <t>ID_Activo</t>
  </si>
  <si>
    <t>Amenaza</t>
  </si>
  <si>
    <t>Vulnerabilidad</t>
  </si>
  <si>
    <t>Probabilidad</t>
  </si>
  <si>
    <t>Impacto</t>
  </si>
  <si>
    <t>Impacto Conf.</t>
  </si>
  <si>
    <t>Impacto Integ.</t>
  </si>
  <si>
    <t>Impacto Disp.</t>
  </si>
  <si>
    <t>Impacto Total</t>
  </si>
  <si>
    <t>Nivel Riesgo Inherente</t>
  </si>
  <si>
    <t>Valoración Inherente</t>
  </si>
  <si>
    <t>Controles Existentes</t>
  </si>
  <si>
    <t>Eficacia Controles</t>
  </si>
  <si>
    <t>Probabilidad Residual</t>
  </si>
  <si>
    <t>Impacto Residual</t>
  </si>
  <si>
    <t>Nivel Riesgo Residual</t>
  </si>
  <si>
    <t>Valoración Residual</t>
  </si>
  <si>
    <t>Tratamiento</t>
  </si>
  <si>
    <t>RSG-001</t>
  </si>
  <si>
    <t>Fallo hardware</t>
  </si>
  <si>
    <t>Servidor antiguo</t>
  </si>
  <si>
    <t>MEDIA</t>
  </si>
  <si>
    <t>CRITICO</t>
  </si>
  <si>
    <t>ALTO</t>
  </si>
  <si>
    <t>Identificado</t>
  </si>
  <si>
    <t>9</t>
  </si>
  <si>
    <t>Firewall, Autenticación</t>
  </si>
  <si>
    <t>70%</t>
  </si>
  <si>
    <t>Mitigar</t>
  </si>
  <si>
    <t>RSG-002</t>
  </si>
  <si>
    <t>Ransomware</t>
  </si>
  <si>
    <t>Sin backup</t>
  </si>
  <si>
    <t>ALTA</t>
  </si>
  <si>
    <t>RSG-003</t>
  </si>
  <si>
    <t>Fuga datos</t>
  </si>
  <si>
    <t>Sin cifrado</t>
  </si>
  <si>
    <t>En Tratamiento</t>
  </si>
  <si>
    <t>LEYENDA DE NIVELES</t>
  </si>
  <si>
    <t>Crítico (15-25):</t>
  </si>
  <si>
    <t>Alto (10-14):</t>
  </si>
  <si>
    <t>Medio (5-9):</t>
  </si>
  <si>
    <t>Bajo (1-4):</t>
  </si>
  <si>
    <t>ANÁLISIS DETALLADO DE RIESGOS</t>
  </si>
  <si>
    <t>🔥 MAPA DE CALOR DE RIESGOS</t>
  </si>
  <si>
    <t>PROBABILIDAD / IMPACTO</t>
  </si>
  <si>
    <t>Muy Bajo (1)</t>
  </si>
  <si>
    <t>Bajo (2)</t>
  </si>
  <si>
    <t>Medio (3)</t>
  </si>
  <si>
    <t>Alto (4)</t>
  </si>
  <si>
    <t>Muy Alto (5)</t>
  </si>
  <si>
    <t>Muy Alta (5)</t>
  </si>
  <si>
    <t>10</t>
  </si>
  <si>
    <t>15</t>
  </si>
  <si>
    <t>20</t>
  </si>
  <si>
    <t>25</t>
  </si>
  <si>
    <t>LEYENDA</t>
  </si>
  <si>
    <t>Alta (4)</t>
  </si>
  <si>
    <t>8</t>
  </si>
  <si>
    <t>12</t>
  </si>
  <si>
    <t>16</t>
  </si>
  <si>
    <t>Media (3)</t>
  </si>
  <si>
    <t>6</t>
  </si>
  <si>
    <t>Baja (2)</t>
  </si>
  <si>
    <t>Medio-Alto</t>
  </si>
  <si>
    <t>Muy Baja (1)</t>
  </si>
  <si>
    <t>📈 RESUMEN ESTADÍSTICO</t>
  </si>
  <si>
    <t>Total</t>
  </si>
  <si>
    <t>Críticos</t>
  </si>
  <si>
    <t>Altos</t>
  </si>
  <si>
    <t>Medios</t>
  </si>
  <si>
    <t>Bajos</t>
  </si>
  <si>
    <t>% Críticos</t>
  </si>
  <si>
    <t>% Altos</t>
  </si>
  <si>
    <t>Promedio</t>
  </si>
  <si>
    <t>Seguridad de Acceso</t>
  </si>
  <si>
    <t>Protección de Datos</t>
  </si>
  <si>
    <t>Continuidad de Negocio</t>
  </si>
  <si>
    <t>⚠️ TOP 10 RIESGOS CRÍTICOS</t>
  </si>
  <si>
    <t>#</t>
  </si>
  <si>
    <t>ID Riesgo</t>
  </si>
  <si>
    <t>PLAN DE TRATAMIENTO DE RIESGOS</t>
  </si>
  <si>
    <t>ID_Riesgo</t>
  </si>
  <si>
    <t>Medida</t>
  </si>
  <si>
    <t>Avance</t>
  </si>
  <si>
    <t>Presupuesto</t>
  </si>
  <si>
    <t>Fecha Inicio</t>
  </si>
  <si>
    <t>Fecha Límite</t>
  </si>
  <si>
    <t>Progreso %</t>
  </si>
  <si>
    <t>Costo Real</t>
  </si>
  <si>
    <t>Nivel Esperado</t>
  </si>
  <si>
    <t>Observaciones</t>
  </si>
  <si>
    <t>TRT-001</t>
  </si>
  <si>
    <t>Renovar servidor</t>
  </si>
  <si>
    <t>01/11/2025</t>
  </si>
  <si>
    <t>31/12/2025</t>
  </si>
  <si>
    <t>45%</t>
  </si>
  <si>
    <t>5000€</t>
  </si>
  <si>
    <t>2250€</t>
  </si>
  <si>
    <t>En fase de pruebas</t>
  </si>
  <si>
    <t>TRT-002</t>
  </si>
  <si>
    <t>Backup offline</t>
  </si>
  <si>
    <t>TRT-003</t>
  </si>
  <si>
    <t>Cifrado TDE</t>
  </si>
  <si>
    <t>DPO</t>
  </si>
  <si>
    <t>Planificado</t>
  </si>
  <si>
    <t>📊 RESUMEN DEL PLAN DE TRATAMIENTO</t>
  </si>
  <si>
    <t>Total Tratamientos:</t>
  </si>
  <si>
    <t>Implementados:</t>
  </si>
  <si>
    <t>En Progreso:</t>
  </si>
  <si>
    <t>Pendientes:</t>
  </si>
  <si>
    <t>Cancelados:</t>
  </si>
  <si>
    <t>Presupuesto Total:</t>
  </si>
  <si>
    <t>0 €</t>
  </si>
  <si>
    <t>Gastado:</t>
  </si>
  <si>
    <t>Disponible:</t>
  </si>
  <si>
    <t>Progreso General:</t>
  </si>
  <si>
    <t>ESTADOS DE TRATAMIENTO</t>
  </si>
  <si>
    <t>OPCIONES DE TRATAMIENTO</t>
  </si>
  <si>
    <t>Evitar</t>
  </si>
  <si>
    <t>Transferir</t>
  </si>
  <si>
    <t>Aceptar</t>
  </si>
  <si>
    <t>CONFIGURACIÓN: CATEGORÍAS DE ACTIVOS</t>
  </si>
  <si>
    <t>📋 Define las categorías principales para clasificar los activos de información</t>
  </si>
  <si>
    <t>Subcategorías</t>
  </si>
  <si>
    <t>Equipos físicos y dispositivos</t>
  </si>
  <si>
    <t>Servidores, PCs, Portátiles, Móviles</t>
  </si>
  <si>
    <t>Aplicaciones y sistemas operativos</t>
  </si>
  <si>
    <t>Aplicaciones, SO, Herramientas</t>
  </si>
  <si>
    <t>Información</t>
  </si>
  <si>
    <t>Datos y documentación</t>
  </si>
  <si>
    <t>BBDD, Documentos, Registros</t>
  </si>
  <si>
    <t>Red</t>
  </si>
  <si>
    <t>Infraestructura de comunicaciones</t>
  </si>
  <si>
    <t>Routers, Switches, Firewalls</t>
  </si>
  <si>
    <t>Servicios</t>
  </si>
  <si>
    <t>Servicios IT y externos</t>
  </si>
  <si>
    <t>Cloud, Email, Backup</t>
  </si>
  <si>
    <t>Personal</t>
  </si>
  <si>
    <t>Recursos humanos</t>
  </si>
  <si>
    <t>Empleados, Consultores</t>
  </si>
  <si>
    <t>7</t>
  </si>
  <si>
    <t>Instalaciones</t>
  </si>
  <si>
    <t>Ubicaciones físicas</t>
  </si>
  <si>
    <t>CPD, Oficinas, Almacenes</t>
  </si>
  <si>
    <t>CONFIGURACIÓN: ÁREAS DE LA ORGANIZACIÓN</t>
  </si>
  <si>
    <t>🏢 Define las áreas funcionales de la organización</t>
  </si>
  <si>
    <t>TI</t>
  </si>
  <si>
    <t>Tecnologías de la Información</t>
  </si>
  <si>
    <t>CIO</t>
  </si>
  <si>
    <t>RRHH</t>
  </si>
  <si>
    <t>Recursos Humanos</t>
  </si>
  <si>
    <t>Director RRHH</t>
  </si>
  <si>
    <t>Finanzas</t>
  </si>
  <si>
    <t>Departamento Financiero</t>
  </si>
  <si>
    <t>CFO</t>
  </si>
  <si>
    <t>Operaciones</t>
  </si>
  <si>
    <t>Operaciones y Producción</t>
  </si>
  <si>
    <t>COO</t>
  </si>
  <si>
    <t>Comercial</t>
  </si>
  <si>
    <t>Ventas y Marketing</t>
  </si>
  <si>
    <t>Director Comercial</t>
  </si>
  <si>
    <t>Legal</t>
  </si>
  <si>
    <t>Departamento Legal</t>
  </si>
  <si>
    <t>Responsable Legal</t>
  </si>
  <si>
    <t>Seguridad</t>
  </si>
  <si>
    <t>Seguridad de la Información</t>
  </si>
  <si>
    <t>Dirección</t>
  </si>
  <si>
    <t>Dirección General</t>
  </si>
  <si>
    <t>CONFIGURACIÓN: CLASIFICACIÓN DE ACTIVOS</t>
  </si>
  <si>
    <t>🔐 Define los niveles de clasificación según criticidad y sensibilidad</t>
  </si>
  <si>
    <t>Color</t>
  </si>
  <si>
    <t>Esencial para el negocio, interrupción=impacto severo</t>
  </si>
  <si>
    <t>Rojo</t>
  </si>
  <si>
    <t>Muy importante, interrupción=impacto significativo</t>
  </si>
  <si>
    <t>Naranja</t>
  </si>
  <si>
    <t>Importante para operaciones normales</t>
  </si>
  <si>
    <t>Amarillo</t>
  </si>
  <si>
    <t>Necesario pero no crítico</t>
  </si>
  <si>
    <t>Azul</t>
  </si>
  <si>
    <t>Impacto mínimo si no disponible</t>
  </si>
  <si>
    <t>Verde</t>
  </si>
  <si>
    <t>CONTROLES ISO 27001:2022 - ANEXO A</t>
  </si>
  <si>
    <t>📋 93 Controles del Anexo A - ISO/IEC 27001:2022</t>
  </si>
  <si>
    <t>ID Control</t>
  </si>
  <si>
    <t>Evidencia</t>
  </si>
  <si>
    <t>A.5.1</t>
  </si>
  <si>
    <t>Políticas de seguridad</t>
  </si>
  <si>
    <t>Políticas para la seguridad de la información</t>
  </si>
  <si>
    <t>Organizacional</t>
  </si>
  <si>
    <t>Sí</t>
  </si>
  <si>
    <t>Política SGSI v2.0</t>
  </si>
  <si>
    <t>A.5.2</t>
  </si>
  <si>
    <t>Roles de seguridad</t>
  </si>
  <si>
    <t>Asignación de responsabilidades</t>
  </si>
  <si>
    <t>Matriz RACI</t>
  </si>
  <si>
    <t>A.5.3</t>
  </si>
  <si>
    <t>Segregación de funciones</t>
  </si>
  <si>
    <t>Separación de deberes conflictivos</t>
  </si>
  <si>
    <t>Parcial</t>
  </si>
  <si>
    <t>Doc. Roles</t>
  </si>
  <si>
    <t>A.5.7</t>
  </si>
  <si>
    <t>Inteligencia de amenazas</t>
  </si>
  <si>
    <t>Información sobre amenazas</t>
  </si>
  <si>
    <t>No</t>
  </si>
  <si>
    <t>N/A</t>
  </si>
  <si>
    <t>A.5.10</t>
  </si>
  <si>
    <t>Uso aceptable</t>
  </si>
  <si>
    <t>Políticas de uso aceptable de información</t>
  </si>
  <si>
    <t>Política AUP</t>
  </si>
  <si>
    <t>NOTA: Esta hoja debe contener los 93 controles del Anexo A de ISO 27001:2022</t>
  </si>
  <si>
    <t>Categorías: A.5 (37 controles) | A.6 (8) | A.7 (14) | A.8 (34)</t>
  </si>
  <si>
    <t>DECLARACIÓN DE APLICABILIDAD (SOA) - ISO 27001:2022</t>
  </si>
  <si>
    <t>Documento:</t>
  </si>
  <si>
    <t>Statement of Applicability (SOA)</t>
  </si>
  <si>
    <t>Versión:</t>
  </si>
  <si>
    <t>1.0</t>
  </si>
  <si>
    <t>Fecha:</t>
  </si>
  <si>
    <t>Responsable:</t>
  </si>
  <si>
    <t>CONTROLES DEL ANEXO A</t>
  </si>
  <si>
    <t>Control</t>
  </si>
  <si>
    <t>¿Aplicable?</t>
  </si>
  <si>
    <t>Justificación</t>
  </si>
  <si>
    <t>¿Implementado?</t>
  </si>
  <si>
    <t>Método Implementación</t>
  </si>
  <si>
    <t>Referencia</t>
  </si>
  <si>
    <t>Requerido por normativa y negocio</t>
  </si>
  <si>
    <t>Política documentada y aprobada</t>
  </si>
  <si>
    <t>POL-SGSI-001</t>
  </si>
  <si>
    <t>Necesario para gestión del SGSI</t>
  </si>
  <si>
    <t>Matriz RACI + Descripciones</t>
  </si>
  <si>
    <t>DOC-ROLES-001</t>
  </si>
  <si>
    <t>Políticas de uso aceptable</t>
  </si>
  <si>
    <t>Protección de activos de información</t>
  </si>
  <si>
    <t>Política AUP comunicada</t>
  </si>
  <si>
    <t>POL-AUP-001</t>
  </si>
  <si>
    <t>RESUMEN DE APLICABILIDAD</t>
  </si>
  <si>
    <t>Total controles Anexo A:</t>
  </si>
  <si>
    <t>93</t>
  </si>
  <si>
    <t>Controles aplicables:</t>
  </si>
  <si>
    <t>Controles no aplicables:</t>
  </si>
  <si>
    <t>Controles implementados:</t>
  </si>
  <si>
    <t>Porcentaje implementación:</t>
  </si>
  <si>
    <t>INVENTARIO DE AMENAZAS</t>
  </si>
  <si>
    <t>⚠️ Catálogo de amenazas potenciales a la seguridad de la información</t>
  </si>
  <si>
    <t>Origen</t>
  </si>
  <si>
    <t>MITRE ATT&amp;CK</t>
  </si>
  <si>
    <t>AM-001</t>
  </si>
  <si>
    <t>Malware</t>
  </si>
  <si>
    <t>Software malicioso (virus, ransomware, troyanos)</t>
  </si>
  <si>
    <t>Técnica</t>
  </si>
  <si>
    <t>Externo</t>
  </si>
  <si>
    <t>T1486</t>
  </si>
  <si>
    <t>AM-002</t>
  </si>
  <si>
    <t>Phishing</t>
  </si>
  <si>
    <t>Correos fraudulentos para robar credenciales</t>
  </si>
  <si>
    <t>T1566</t>
  </si>
  <si>
    <t>AM-003</t>
  </si>
  <si>
    <t>DDoS</t>
  </si>
  <si>
    <t>Ataque de denegación de servicio distribuido</t>
  </si>
  <si>
    <t>T1498</t>
  </si>
  <si>
    <t>AM-004</t>
  </si>
  <si>
    <t>Acceso no autorizado</t>
  </si>
  <si>
    <t>Intrusión por credenciales comprometidas</t>
  </si>
  <si>
    <t>Externo/Interno</t>
  </si>
  <si>
    <t>T1078</t>
  </si>
  <si>
    <t>AM-005</t>
  </si>
  <si>
    <t>Fuga de información</t>
  </si>
  <si>
    <t>Divulgación no autorizada de datos sensibles</t>
  </si>
  <si>
    <t>Humana</t>
  </si>
  <si>
    <t>Interno</t>
  </si>
  <si>
    <t>T1567</t>
  </si>
  <si>
    <t>AM-006</t>
  </si>
  <si>
    <t>Fallo eléctrico</t>
  </si>
  <si>
    <t>Corte de suministro eléctrico</t>
  </si>
  <si>
    <t>Natural</t>
  </si>
  <si>
    <t>Ambiental</t>
  </si>
  <si>
    <t>AM-007</t>
  </si>
  <si>
    <t>Incendio</t>
  </si>
  <si>
    <t>Fuego en instalaciones</t>
  </si>
  <si>
    <t>AM-008</t>
  </si>
  <si>
    <t>Error humano</t>
  </si>
  <si>
    <t>Eliminación o modificación accidental de datos</t>
  </si>
  <si>
    <t>TIPOS DE AMENAZAS</t>
  </si>
  <si>
    <t>Ataques cibernéticos, exploits, malware</t>
  </si>
  <si>
    <t>Errores, negligencia, acciones maliciosas internas</t>
  </si>
  <si>
    <t>Desastres naturales, fallos ambientales</t>
  </si>
  <si>
    <t>INVENTARIO DE VULNERABILIDADES</t>
  </si>
  <si>
    <t>ID Vuln.</t>
  </si>
  <si>
    <t>Activo Afectado</t>
  </si>
  <si>
    <t>Severidad</t>
  </si>
  <si>
    <t>CVE/CWE</t>
  </si>
  <si>
    <t>Fecha Detección</t>
  </si>
  <si>
    <t>Fecha Resolución</t>
  </si>
  <si>
    <t>Acción Correctiva</t>
  </si>
  <si>
    <t>VULN-001</t>
  </si>
  <si>
    <t>SQL Injection</t>
  </si>
  <si>
    <t>Vulnerabilidad de inyección SQL en formulario</t>
  </si>
  <si>
    <t>App Web</t>
  </si>
  <si>
    <t>CWE-89</t>
  </si>
  <si>
    <t>Dev Team</t>
  </si>
  <si>
    <t>Parametrización de consultas</t>
  </si>
  <si>
    <t>VULN-002</t>
  </si>
  <si>
    <t>Contraseñas débiles</t>
  </si>
  <si>
    <t>Política de contraseñas no reforzada</t>
  </si>
  <si>
    <t>Active Directory</t>
  </si>
  <si>
    <t>Configuración</t>
  </si>
  <si>
    <t>CWE-521</t>
  </si>
  <si>
    <t>En Revisión</t>
  </si>
  <si>
    <t>28/10/2025</t>
  </si>
  <si>
    <t>Implementar política GPO</t>
  </si>
  <si>
    <t>GESTIÓN DE INCIDENTES DE SEGURIDAD</t>
  </si>
  <si>
    <t>ID Incidente</t>
  </si>
  <si>
    <t>Fecha/Hora</t>
  </si>
  <si>
    <t>Activos Afectados</t>
  </si>
  <si>
    <t>Detectado Por</t>
  </si>
  <si>
    <t>Asignado A</t>
  </si>
  <si>
    <t>Tiempo Resolución</t>
  </si>
  <si>
    <t>Causa Raíz</t>
  </si>
  <si>
    <t>Acciones Tomadas</t>
  </si>
  <si>
    <t>Lecciones Aprendidas</t>
  </si>
  <si>
    <t>INC-2025-001</t>
  </si>
  <si>
    <t>05/11/2025 14:30</t>
  </si>
  <si>
    <t>Intento de phishing</t>
  </si>
  <si>
    <t>Email sospechoso reportado por usuario</t>
  </si>
  <si>
    <t>Correo electrónico</t>
  </si>
  <si>
    <t>Usuario RRHH</t>
  </si>
  <si>
    <t>Cerrado</t>
  </si>
  <si>
    <t>Equipo Seguridad</t>
  </si>
  <si>
    <t>05/11/2025 16:00</t>
  </si>
  <si>
    <t>1.5 horas</t>
  </si>
  <si>
    <t>Campaña externa</t>
  </si>
  <si>
    <t>Bloqueado remitente, formación usuario</t>
  </si>
  <si>
    <t>Reforzar formación anti-phishing</t>
  </si>
  <si>
    <t>POLÍTICAS DE SEGURIDAD DE LA INFORMACIÓN</t>
  </si>
  <si>
    <t>Código</t>
  </si>
  <si>
    <t>Título Política</t>
  </si>
  <si>
    <t>Fecha Aprobación</t>
  </si>
  <si>
    <t>Aprobado Por</t>
  </si>
  <si>
    <t>Próxima Revisión</t>
  </si>
  <si>
    <t>Ubicación Documento</t>
  </si>
  <si>
    <t>Control ISO</t>
  </si>
  <si>
    <t>Política General de Seguridad</t>
  </si>
  <si>
    <t>Política marco del SGSI</t>
  </si>
  <si>
    <t>POL-ACC-001</t>
  </si>
  <si>
    <t>Control de Acceso</t>
  </si>
  <si>
    <t>Gestión de accesos y privilegios</t>
  </si>
  <si>
    <t>15/03/2025</t>
  </si>
  <si>
    <t>15/03/2026</t>
  </si>
  <si>
    <t>A.5.15</t>
  </si>
  <si>
    <t>Uso Aceptable</t>
  </si>
  <si>
    <t>Uso apropiado de recursos IT</t>
  </si>
  <si>
    <t>20/02/2025</t>
  </si>
  <si>
    <t>20/02/2026</t>
  </si>
  <si>
    <t>POL-CONT-001</t>
  </si>
  <si>
    <t>Gestión de continuidad</t>
  </si>
  <si>
    <t>10/04/2025</t>
  </si>
  <si>
    <t>10/04/2026</t>
  </si>
  <si>
    <t>A.5.29</t>
  </si>
  <si>
    <t>POL-INC-001</t>
  </si>
  <si>
    <t>Gestión de Incidentes</t>
  </si>
  <si>
    <t>Respuesta a incidentes de seguridad</t>
  </si>
  <si>
    <t>1.2</t>
  </si>
  <si>
    <t>05/05/2025</t>
  </si>
  <si>
    <t>05/05/2026</t>
  </si>
  <si>
    <t>A.5.24</t>
  </si>
  <si>
    <t>PROCEDIMIENTOS DE SEGURIDAD</t>
  </si>
  <si>
    <t>Título Procedimiento</t>
  </si>
  <si>
    <t>Fecha Creación</t>
  </si>
  <si>
    <t>Relacionado Con</t>
  </si>
  <si>
    <t>PROC-ACC-001</t>
  </si>
  <si>
    <t>Alta de Usuario</t>
  </si>
  <si>
    <t>Creación de cuentas de usuario</t>
  </si>
  <si>
    <t>01/02/2025</t>
  </si>
  <si>
    <t>PROC-ACC-002</t>
  </si>
  <si>
    <t>Baja de Usuario</t>
  </si>
  <si>
    <t>Eliminación de cuentas y accesos</t>
  </si>
  <si>
    <t>PROC-BACK-001</t>
  </si>
  <si>
    <t>Backup Diario</t>
  </si>
  <si>
    <t>Copias de seguridad automáticas</t>
  </si>
  <si>
    <t>15/01/2025</t>
  </si>
  <si>
    <t>Admin Sistemas</t>
  </si>
  <si>
    <t>PROC-INC-001</t>
  </si>
  <si>
    <t>Respuesta a Incidentes</t>
  </si>
  <si>
    <t>Gestión y respuesta ante incidentes</t>
  </si>
  <si>
    <t>20/03/2025</t>
  </si>
  <si>
    <t>PROC-PAR-001</t>
  </si>
  <si>
    <t>Instalación de Parches</t>
  </si>
  <si>
    <t>Actualización de sistemas</t>
  </si>
  <si>
    <t>10/02/2025</t>
  </si>
  <si>
    <t>AUDITORÍAS INTERNAS Y EXTERNAS</t>
  </si>
  <si>
    <t>ID Auditoría</t>
  </si>
  <si>
    <t>Alcance</t>
  </si>
  <si>
    <t>Auditor</t>
  </si>
  <si>
    <t>Hallazgos</t>
  </si>
  <si>
    <t>No Conformidades</t>
  </si>
  <si>
    <t>Informe</t>
  </si>
  <si>
    <t>Fecha Cierre</t>
  </si>
  <si>
    <t>Resultado</t>
  </si>
  <si>
    <t>AUD-2025-001</t>
  </si>
  <si>
    <t>Interna</t>
  </si>
  <si>
    <t>Controles A.5 y A.8</t>
  </si>
  <si>
    <t>Auditor Interno</t>
  </si>
  <si>
    <t>Completada</t>
  </si>
  <si>
    <t>INF-AUD-001.pdf</t>
  </si>
  <si>
    <t>30/03/2025</t>
  </si>
  <si>
    <t>Conforme</t>
  </si>
  <si>
    <t>AUD-2024-004</t>
  </si>
  <si>
    <t>20/12/2024</t>
  </si>
  <si>
    <t>Externa</t>
  </si>
  <si>
    <t>Certificación ISO 27001</t>
  </si>
  <si>
    <t>Bureau Veritas</t>
  </si>
  <si>
    <t>Cerrada</t>
  </si>
  <si>
    <t>INF-CERT-2024.pdf</t>
  </si>
  <si>
    <t>10/01/2025</t>
  </si>
  <si>
    <t>Certificado</t>
  </si>
  <si>
    <t>AUD-2025-002</t>
  </si>
  <si>
    <t>15/06/2025</t>
  </si>
  <si>
    <t>Planificada</t>
  </si>
  <si>
    <t>REGISTRO DE FORMACIÓN Y CONCIENCIACIÓN</t>
  </si>
  <si>
    <t>ID Sesión</t>
  </si>
  <si>
    <t>Curso/Tema</t>
  </si>
  <si>
    <t>Instructor</t>
  </si>
  <si>
    <t>Duración (h)</t>
  </si>
  <si>
    <t>Asistentes</t>
  </si>
  <si>
    <t>Departamento</t>
  </si>
  <si>
    <t>Evaluación</t>
  </si>
  <si>
    <t>Material</t>
  </si>
  <si>
    <t>FORM-2025-001</t>
  </si>
  <si>
    <t>Concienciación Seguridad</t>
  </si>
  <si>
    <t>45</t>
  </si>
  <si>
    <t>Todos</t>
  </si>
  <si>
    <t>Obligatoria</t>
  </si>
  <si>
    <t>85%</t>
  </si>
  <si>
    <t>PPT + Video</t>
  </si>
  <si>
    <t>FORM-2025-002</t>
  </si>
  <si>
    <t>Phishing y Ingeniería Social</t>
  </si>
  <si>
    <t>Consultor Externo</t>
  </si>
  <si>
    <t>30</t>
  </si>
  <si>
    <t>Especializada</t>
  </si>
  <si>
    <t>92%</t>
  </si>
  <si>
    <t>Manual + Test</t>
  </si>
  <si>
    <t>FORM-2025-003</t>
  </si>
  <si>
    <t>10/03/2025</t>
  </si>
  <si>
    <t>ISO 27001:2022 Novedades</t>
  </si>
  <si>
    <t>Auditor Lead</t>
  </si>
  <si>
    <t>95%</t>
  </si>
  <si>
    <t>Documentación</t>
  </si>
  <si>
    <t>CLASIFICACIÓN DE INCIDENTES DE SEGURIDAD</t>
  </si>
  <si>
    <t>🔖 Catálogo de tipos y categorías de incidentes según ISO 27035</t>
  </si>
  <si>
    <t>Tipo de Incidente</t>
  </si>
  <si>
    <t>Severidad Base</t>
  </si>
  <si>
    <t>Tiempo Respuesta</t>
  </si>
  <si>
    <t>Escalamiento</t>
  </si>
  <si>
    <t>Ejemplos</t>
  </si>
  <si>
    <t>INC-001</t>
  </si>
  <si>
    <t>Infección por malware</t>
  </si>
  <si>
    <t>Virus, ransomware, troyanos, spyware</t>
  </si>
  <si>
    <t>1 hora</t>
  </si>
  <si>
    <t>Ransomware, cryptolocker</t>
  </si>
  <si>
    <t>INC-002</t>
  </si>
  <si>
    <t>Ataque de phishing</t>
  </si>
  <si>
    <t>Correos o mensajes fraudulentos</t>
  </si>
  <si>
    <t>2 horas</t>
  </si>
  <si>
    <t>Seguridad TI</t>
  </si>
  <si>
    <t>Email falso CEO, spear phishing</t>
  </si>
  <si>
    <t>INC-003</t>
  </si>
  <si>
    <t>Intrusión de sistemas</t>
  </si>
  <si>
    <t>Acceso sin autorización a sistemas/datos</t>
  </si>
  <si>
    <t>30 min</t>
  </si>
  <si>
    <t>CISO + CEO</t>
  </si>
  <si>
    <t>Brute force, credenciales robadas</t>
  </si>
  <si>
    <t>INC-004</t>
  </si>
  <si>
    <t>Denegación de servicio</t>
  </si>
  <si>
    <t>DDoS/DoS</t>
  </si>
  <si>
    <t>Interrupción de disponibilidad de servicios</t>
  </si>
  <si>
    <t>DDoS web, saturación red</t>
  </si>
  <si>
    <t>INC-005</t>
  </si>
  <si>
    <t>Data breach</t>
  </si>
  <si>
    <t>Pérdida o robo de información confidencial</t>
  </si>
  <si>
    <t>15 min</t>
  </si>
  <si>
    <t>CISO + CEO + Legal</t>
  </si>
  <si>
    <t>USB perdido, email erróneo</t>
  </si>
  <si>
    <t>INC-006</t>
  </si>
  <si>
    <t>Vulnerabilidad crítica</t>
  </si>
  <si>
    <t>Fallo de seguridad explotable</t>
  </si>
  <si>
    <t>4 horas</t>
  </si>
  <si>
    <t>Zero-day, CVE crítico</t>
  </si>
  <si>
    <t>INC-007</t>
  </si>
  <si>
    <t>Configuración incorrecta</t>
  </si>
  <si>
    <t>Error en configuración o gestión</t>
  </si>
  <si>
    <t>Permisos incorrectos, borrado</t>
  </si>
  <si>
    <t>INC-008</t>
  </si>
  <si>
    <t>Fraude</t>
  </si>
  <si>
    <t>Actividad fraudulenta</t>
  </si>
  <si>
    <t>Uso indebido de recursos o información</t>
  </si>
  <si>
    <t>CISO + Legal</t>
  </si>
  <si>
    <t>BEC, fraude CEO</t>
  </si>
  <si>
    <t>INC-009</t>
  </si>
  <si>
    <t>Ingeniería social</t>
  </si>
  <si>
    <t>Manipulación psicológica</t>
  </si>
  <si>
    <t>Engaño para obtener información</t>
  </si>
  <si>
    <t>Pretexting, baiting</t>
  </si>
  <si>
    <t>INC-010</t>
  </si>
  <si>
    <t>Físico</t>
  </si>
  <si>
    <t>Incidente físico</t>
  </si>
  <si>
    <t>Acceso físico no autorizado</t>
  </si>
  <si>
    <t>Seguridad Física</t>
  </si>
  <si>
    <t>Robo equipo, entrada CPD</t>
  </si>
  <si>
    <t>INC-011</t>
  </si>
  <si>
    <t>Pérdida de servicio</t>
  </si>
  <si>
    <t>Interrupción operativa</t>
  </si>
  <si>
    <t>Caída de sistemas críticos</t>
  </si>
  <si>
    <t>Servidor caído, red fuera</t>
  </si>
  <si>
    <t>INC-012</t>
  </si>
  <si>
    <t>Incumplimiento</t>
  </si>
  <si>
    <t>Violación normativa</t>
  </si>
  <si>
    <t>Incumplimiento de política o norma</t>
  </si>
  <si>
    <t>8 horas</t>
  </si>
  <si>
    <t>Compliance</t>
  </si>
  <si>
    <t>GDPR, PCI-DSS</t>
  </si>
  <si>
    <t>📊 MATRIZ DE SEVERIDAD DE INCIDENTES</t>
  </si>
  <si>
    <t>Notificación</t>
  </si>
  <si>
    <t>Alto impacto negocio, datos críticos</t>
  </si>
  <si>
    <t>15-30 min</t>
  </si>
  <si>
    <t>Inmediata</t>
  </si>
  <si>
    <t>Impacto significativo, servicio afectado</t>
  </si>
  <si>
    <t>1-2 horas</t>
  </si>
  <si>
    <t>CISO + Gerencia</t>
  </si>
  <si>
    <t>&lt; 1 hora</t>
  </si>
  <si>
    <t>Impacto moderado, servicio degradado</t>
  </si>
  <si>
    <t>2-4 horas</t>
  </si>
  <si>
    <t>Responsable TI</t>
  </si>
  <si>
    <t>&lt; 4 horas</t>
  </si>
  <si>
    <t>Impacto menor, no afecta operaciones</t>
  </si>
  <si>
    <t>8-24 horas</t>
  </si>
  <si>
    <t>Equipo técnico</t>
  </si>
  <si>
    <t>&lt; 24 horas</t>
  </si>
  <si>
    <t>REGISTRO DE EVENTOS DE SEGURIDAD</t>
  </si>
  <si>
    <t>ID Evento</t>
  </si>
  <si>
    <t>Tipo Evento</t>
  </si>
  <si>
    <t>Usuario/Sistema</t>
  </si>
  <si>
    <t>Requiere Acción</t>
  </si>
  <si>
    <t>EVT-001</t>
  </si>
  <si>
    <t>06/11/2025 10:15</t>
  </si>
  <si>
    <t>Login fallido</t>
  </si>
  <si>
    <t>Firewall</t>
  </si>
  <si>
    <t>usuario@empresa.com</t>
  </si>
  <si>
    <t>5 intentos fallidos de login</t>
  </si>
  <si>
    <t>Revisado</t>
  </si>
  <si>
    <t>Usuario bloqueado 30min</t>
  </si>
  <si>
    <t>EVT-002</t>
  </si>
  <si>
    <t>06/11/2025 14:30</t>
  </si>
  <si>
    <t>Cambio permisos</t>
  </si>
  <si>
    <t>admin_ti</t>
  </si>
  <si>
    <t>Elevación privilegios usuario</t>
  </si>
  <si>
    <t>En revisión</t>
  </si>
  <si>
    <t>Verificar autorización</t>
  </si>
  <si>
    <t>INSTRUCCIONES DE USO - SGSI v4.0</t>
  </si>
  <si>
    <t>📋 BIENVENIDO AL SGSI v4.0</t>
  </si>
  <si>
    <t>1. ESTRUCTURA DEL SISTEMA</t>
  </si>
  <si>
    <t>Este Excel contiene 34 hojas organizadas en secciones:</t>
  </si>
  <si>
    <t xml:space="preserve">  • Documentación: Control_Documentos, Políticas, Procedimientos</t>
  </si>
  <si>
    <t xml:space="preserve">  • Gestión de Riesgos: Matriz_Riesgos, Análisis, Plan_Tratamiento</t>
  </si>
  <si>
    <t xml:space="preserve">  • Incidentes: Gestión_Incidentes, Clasificación</t>
  </si>
  <si>
    <t xml:space="preserve">  • Configuración: Categorías, Áreas, Clases</t>
  </si>
  <si>
    <t xml:space="preserve">  • ISO 27001: Controles, SOA, Auditorías</t>
  </si>
  <si>
    <t>2. CÓMO EMPEZAR</t>
  </si>
  <si>
    <t xml:space="preserve">  1) Ir a "Datos_Organizacion" y completar información de la empresa</t>
  </si>
  <si>
    <t xml:space="preserve">  2) Revisar y personalizar las hojas de Configuración</t>
  </si>
  <si>
    <t xml:space="preserve">  3) Agregar activos en la hoja "Activos"</t>
  </si>
  <si>
    <t xml:space="preserve">  4) Identificar riesgos en "Matriz_Riesgos"</t>
  </si>
  <si>
    <t xml:space="preserve">  5) Crear tratamientos en "Plan_Tratamiento"</t>
  </si>
  <si>
    <t>3. MACROS DISPONIBLES (20)</t>
  </si>
  <si>
    <t>Alt+F11 para abrir VBA y ver todas las macros:</t>
  </si>
  <si>
    <t xml:space="preserve">  • NuevoActivo() - Agregar activo al inventario</t>
  </si>
  <si>
    <t xml:space="preserve">  • NuevoRiesgo() - Registrar nuevo riesgo</t>
  </si>
  <si>
    <t xml:space="preserve">  • NuevoTratamiento() - Crear plan de tratamiento</t>
  </si>
  <si>
    <t xml:space="preserve">  • ExportarReporteCompleto() - Exportar a PDF 7 hojas</t>
  </si>
  <si>
    <t xml:space="preserve">  • ActualizarDashboard() - Refrescar métricas</t>
  </si>
  <si>
    <t xml:space="preserve">  • OptimizarTodasLasHojasParaImpresion() - Formato profesional</t>
  </si>
  <si>
    <t>4. EXPORTACIÓN A PDF</t>
  </si>
  <si>
    <t>Usa los botones en Panel_Control o ejecuta las macros:</t>
  </si>
  <si>
    <t xml:space="preserve">  • ExportarReporteCompleto() - Reporte de 7 hojas</t>
  </si>
  <si>
    <t xml:space="preserve">  • ExportarActivosPDF() - Solo inventario de activos</t>
  </si>
  <si>
    <t>5. PANEL DE CONTROL</t>
  </si>
  <si>
    <t>La hoja "Panel_Control" contiene 21 botones para:</t>
  </si>
  <si>
    <t xml:space="preserve">  • Gestión rápida de activos, riesgos y tratamientos</t>
  </si>
  <si>
    <t xml:space="preserve">  • Navegación entre hojas principales</t>
  </si>
  <si>
    <t xml:space="preserve">  • Exportación de reportes</t>
  </si>
  <si>
    <t xml:space="preserve">  • Utilidades (Dashboard, Optimización, Validación)</t>
  </si>
  <si>
    <t>6. CUMPLIMIENTO ISO 27001:2022</t>
  </si>
  <si>
    <t>Hojas clave para certificación:</t>
  </si>
  <si>
    <t xml:space="preserve">  • SOA (Statement of Applicability)</t>
  </si>
  <si>
    <t xml:space="preserve">  • Controles_ISO27001 (93 controles Anexo A)</t>
  </si>
  <si>
    <t xml:space="preserve">  • Declaracion_Aplicabilidad</t>
  </si>
  <si>
    <t xml:space="preserve">  • Auditorias (registro de auditorías internas/externas)</t>
  </si>
  <si>
    <t>PLAN DE CONTINGENCIA Y CONTINUIDAD</t>
  </si>
  <si>
    <t>ID Plan</t>
  </si>
  <si>
    <t>Escenario</t>
  </si>
  <si>
    <t>RTO</t>
  </si>
  <si>
    <t>RPO</t>
  </si>
  <si>
    <t>Acciones Inmediatas</t>
  </si>
  <si>
    <t>Recursos Necesarios</t>
  </si>
  <si>
    <t>CONT-001</t>
  </si>
  <si>
    <t>Caída servidor principal</t>
  </si>
  <si>
    <t>Servidor de aplicaciones no disponible</t>
  </si>
  <si>
    <t>Activar servidor backup, restaurar servicios</t>
  </si>
  <si>
    <t>Servidor DR, equipo técnico</t>
  </si>
  <si>
    <t>CONT-002</t>
  </si>
  <si>
    <t>Ataque de cifrado de datos</t>
  </si>
  <si>
    <t>Aislar sistemas, activar backups</t>
  </si>
  <si>
    <t>Backups offline, forense</t>
  </si>
  <si>
    <t>CONT-003</t>
  </si>
  <si>
    <t>Incendio CPD</t>
  </si>
  <si>
    <t>Fuego en centro de datos</t>
  </si>
  <si>
    <t>Muy baja</t>
  </si>
  <si>
    <t>24 horas</t>
  </si>
  <si>
    <t>Evacuar, activar sitio alterno</t>
  </si>
  <si>
    <t>CPD alterno, seguros</t>
  </si>
  <si>
    <t>RTO = Recovery Time Objective (Tiempo objetivo de recuperación)</t>
  </si>
  <si>
    <t>RPO = Recovery Point Objective (Punto objetivo de recuperación)</t>
  </si>
  <si>
    <t>MÉTRICAS E INDICADORES (KPIs)</t>
  </si>
  <si>
    <t>ID KPI</t>
  </si>
  <si>
    <t>Nombre KPI</t>
  </si>
  <si>
    <t>Fórmula</t>
  </si>
  <si>
    <t>Objetivo</t>
  </si>
  <si>
    <t>Actual</t>
  </si>
  <si>
    <t>Última Medición</t>
  </si>
  <si>
    <t>KPI-001</t>
  </si>
  <si>
    <t>Tiempo medio resolución incidentes</t>
  </si>
  <si>
    <t>Tiempo promedio desde detección hasta cierre</t>
  </si>
  <si>
    <t>Suma tiempos / Total incidentes</t>
  </si>
  <si>
    <t>Mensual</t>
  </si>
  <si>
    <t>&lt; 24h</t>
  </si>
  <si>
    <t>18h</t>
  </si>
  <si>
    <t>✅ OK</t>
  </si>
  <si>
    <t>KPI-002</t>
  </si>
  <si>
    <t>Incidentes críticos</t>
  </si>
  <si>
    <t>Número de incidentes de severidad crítica</t>
  </si>
  <si>
    <t>Count(Severidad=Crítica)</t>
  </si>
  <si>
    <t>&lt; 3</t>
  </si>
  <si>
    <t>KPI-003</t>
  </si>
  <si>
    <t>Vulnerabilidades sin parchear</t>
  </si>
  <si>
    <t>Vulnerabilidades críticas pendientes</t>
  </si>
  <si>
    <t>Count(Estado=Abierta AND Sev=Crítica)</t>
  </si>
  <si>
    <t>Semanal</t>
  </si>
  <si>
    <t>⚠️ Riesgo</t>
  </si>
  <si>
    <t>05/11/2025</t>
  </si>
  <si>
    <t>KPI-004</t>
  </si>
  <si>
    <t>Cumplimiento controles ISO</t>
  </si>
  <si>
    <t>Porcentaje de controles implementados</t>
  </si>
  <si>
    <t>(Implementados / Total) * 100</t>
  </si>
  <si>
    <t>Trimestral</t>
  </si>
  <si>
    <t>&gt; 90%</t>
  </si>
  <si>
    <t>01/10/2025</t>
  </si>
  <si>
    <t>KPI-005</t>
  </si>
  <si>
    <t>Empleados formados</t>
  </si>
  <si>
    <t>Porcentaje con formación actualizada</t>
  </si>
  <si>
    <t>(Formados / Total) * 100</t>
  </si>
  <si>
    <t>Semestral</t>
  </si>
  <si>
    <t>&gt; 95%</t>
  </si>
  <si>
    <t>98%</t>
  </si>
  <si>
    <t>15/09/2025</t>
  </si>
  <si>
    <t>MITRE ATT&amp;CK - TÁCTICAS Y TÉCNICAS</t>
  </si>
  <si>
    <t>Framework MITRE ATT&amp;CK para ICS (Industrial Control Systems)</t>
  </si>
  <si>
    <t>ID Técnica</t>
  </si>
  <si>
    <t>Táctica</t>
  </si>
  <si>
    <t>Riesgo Asociado</t>
  </si>
  <si>
    <t>Mitigación</t>
  </si>
  <si>
    <t>Detección</t>
  </si>
  <si>
    <t>Referencias</t>
  </si>
  <si>
    <t>Initial Access</t>
  </si>
  <si>
    <t>Emails maliciosos con links o adjuntos</t>
  </si>
  <si>
    <t>RIESGO-002</t>
  </si>
  <si>
    <t>Formación usuarios, filtros email</t>
  </si>
  <si>
    <t>Análisis logs email</t>
  </si>
  <si>
    <t>Valid Accounts</t>
  </si>
  <si>
    <t>Uso de credenciales legítimas robadas</t>
  </si>
  <si>
    <t>RIESGO-001</t>
  </si>
  <si>
    <t>MFA, monitoreo accesos</t>
  </si>
  <si>
    <t>Análisis login anómalos</t>
  </si>
  <si>
    <t>Impact</t>
  </si>
  <si>
    <t>Data Encrypted</t>
  </si>
  <si>
    <t>Cifrado de datos (ransomware)</t>
  </si>
  <si>
    <t>RIESGO-003</t>
  </si>
  <si>
    <t>Backups, EDR, segmentación</t>
  </si>
  <si>
    <t>Detección EDR</t>
  </si>
  <si>
    <t>Nota: Integrar con inventario_amenazas.xlsx (MITRE ATT&amp;CK ICS v17.1)</t>
  </si>
  <si>
    <t>LOG DE ACCIONES Y CAMBIOS</t>
  </si>
  <si>
    <t>Acción</t>
  </si>
  <si>
    <t>Módulo/Hoja</t>
  </si>
  <si>
    <t>Detalle</t>
  </si>
  <si>
    <t>IP/Host</t>
  </si>
  <si>
    <t>06/11/2025 15:16</t>
  </si>
  <si>
    <t>Nuevo activo creado</t>
  </si>
  <si>
    <t>Activos</t>
  </si>
  <si>
    <t>ACT-2025-001: Servidor Principal</t>
  </si>
  <si>
    <t>Completado</t>
  </si>
  <si>
    <t>PC-ADMIN-01</t>
  </si>
  <si>
    <t>Registro automático</t>
  </si>
  <si>
    <t>Riesgo actualizado</t>
  </si>
  <si>
    <t>Matriz_Riesgos</t>
  </si>
  <si>
    <t>RIESGO-001: Nivel cambiado a Alto</t>
  </si>
  <si>
    <t>PC-CISO-01</t>
  </si>
  <si>
    <t>Reevaluación trimestral</t>
  </si>
  <si>
    <t>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</si>
</sst>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1" x14ac:knownFonts="1">
    <font>
      <sz val="11"/>
      <color theme="1"/>
      <name val="Calibri"/>
      <family val="2"/>
      <scheme val="minor"/>
    </font>
    <font>
      <b/>
      <sz val="12"/>
      <color rgb="FF009900"/>
      <name val="Calibri"/>
    </font>
    <font>
      <b/>
      <sz val="14"/>
      <color rgb="FFFF6600"/>
      <name val="Calibri"/>
    </font>
    <font>
      <b/>
      <sz val="14"/>
      <color rgb="FF009900"/>
      <name val="Calibri"/>
    </font>
    <font>
      <i/>
      <sz val="9"/>
      <color rgb="FF999999"/>
      <name val="Calibri"/>
    </font>
    <font>
      <b/>
      <sz val="28"/>
      <color rgb="FFFFFFFF"/>
      <name val="Calibri"/>
    </font>
    <font>
      <b/>
      <sz val="20"/>
      <color rgb="FF0066CC"/>
      <name val="Calibri"/>
    </font>
    <font>
      <sz val="14"/>
      <color rgb="FF666666"/>
      <name val="Calibri"/>
    </font>
    <font>
      <b/>
      <sz val="16"/>
      <color rgb="FF333333"/>
      <name val="Calibri"/>
    </font>
    <font>
      <sz val="12"/>
      <color rgb="FF666666"/>
      <name val="Calibri"/>
    </font>
    <font>
      <b/>
      <sz val="14"/>
      <color rgb="FF0066CC"/>
      <name val="Calibri"/>
    </font>
    <font>
      <sz val="11"/>
      <color rgb="FF333333"/>
      <name val="Calibri"/>
    </font>
    <font>
      <i/>
      <sz val="9"/>
      <color rgb="FF999999"/>
      <name val="Calibri"/>
    </font>
    <font>
      <b/>
      <sz val="16"/>
      <color rgb="FFFFFFFF"/>
      <name val="Calibri"/>
    </font>
    <font>
      <b/>
      <sz val="12"/>
      <color rgb="FF70AD47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2"/>
      <color rgb="FF5B9BD5"/>
      <name val="Calibri"/>
    </font>
    <font>
      <b/>
      <sz val="10"/>
      <color rgb="FF666666"/>
      <name val="Calibri"/>
    </font>
    <font>
      <b/>
      <sz val="20"/>
      <color rgb="FF4472C4"/>
      <name val="Calibri"/>
    </font>
    <font>
      <b/>
      <sz val="20"/>
      <color rgb="FFFF6600"/>
      <name val="Calibri"/>
    </font>
    <font>
      <b/>
      <sz val="20"/>
      <color rgb="FFFF0000"/>
      <name val="Calibri"/>
    </font>
    <font>
      <b/>
      <sz val="20"/>
      <color rgb="FF70AD47"/>
      <name val="Calibri"/>
    </font>
    <font>
      <b/>
      <sz val="9"/>
      <color rgb="FFFFFFFF"/>
      <name val="Calibri"/>
    </font>
    <font>
      <b/>
      <sz val="11"/>
      <color rgb="FF000000"/>
      <name val="Calibri"/>
    </font>
    <font>
      <b/>
      <sz val="11"/>
      <color rgb="FFFF6600"/>
      <name val="Calibri"/>
    </font>
    <font>
      <b/>
      <sz val="12"/>
      <color rgb="FFC00000"/>
      <name val="Calibri"/>
    </font>
    <font>
      <b/>
      <sz val="10"/>
      <name val="Calibri"/>
    </font>
    <font>
      <b/>
      <sz val="12"/>
      <color rgb="FF000000"/>
      <name val="Calibri"/>
    </font>
    <font>
      <b/>
      <sz val="12"/>
      <color rgb="FFFFFFFF"/>
      <name val="Calibri"/>
    </font>
    <font>
      <b/>
      <sz val="12"/>
      <color rgb="FFFF0000"/>
      <name val="Calibri"/>
    </font>
    <font>
      <b/>
      <sz val="14"/>
      <color rgb="FF70AD47"/>
      <name val="Calibri"/>
    </font>
    <font>
      <b/>
      <sz val="14"/>
      <color rgb="FFFFC000"/>
      <name val="Calibri"/>
    </font>
    <font>
      <b/>
      <sz val="14"/>
      <color rgb="FFC00000"/>
      <name val="Calibri"/>
    </font>
    <font>
      <b/>
      <sz val="14"/>
      <color rgb="FF4472C4"/>
      <name val="Calibri"/>
    </font>
    <font>
      <b/>
      <sz val="10"/>
      <color rgb="FF009900"/>
      <name val="Calibri"/>
    </font>
    <font>
      <i/>
      <sz val="10"/>
      <color rgb="FF666666"/>
      <name val="Calibri"/>
    </font>
    <font>
      <b/>
      <sz val="11"/>
      <color rgb="FF2E75B5"/>
      <name val="Calibri"/>
    </font>
    <font>
      <i/>
      <sz val="9"/>
      <color rgb="FF666666"/>
      <name val="Calibri"/>
    </font>
    <font>
      <i/>
      <sz val="9"/>
      <color rgb="FF2E75B5"/>
      <name val="Calibri"/>
    </font>
    <font>
      <b/>
      <sz val="12"/>
      <color rgb="FF00B050"/>
      <name val="Calibri"/>
    </font>
    <font>
      <b/>
      <sz val="11"/>
      <color rgb="FF00B050"/>
      <name val="Calibri"/>
    </font>
    <font>
      <b/>
      <sz val="10"/>
      <color rgb="FFE74C3C"/>
      <name val="Calibri"/>
    </font>
    <font>
      <b/>
      <sz val="9"/>
      <color rgb="FF000000"/>
      <name val="Calibri"/>
    </font>
    <font>
      <b/>
      <sz val="12"/>
      <color rgb="FFE67E22"/>
      <name val="Calibri"/>
    </font>
    <font>
      <b/>
      <sz val="12"/>
      <color rgb="FFC65911"/>
      <name val="Calibri"/>
    </font>
    <font>
      <b/>
      <i/>
      <sz val="11"/>
      <color rgb="FFC65911"/>
      <name val="Calibri"/>
    </font>
    <font>
      <b/>
      <sz val="14"/>
      <color rgb="FF00B0F0"/>
      <name val="Calibri"/>
    </font>
    <font>
      <b/>
      <sz val="12"/>
      <color rgb="FF4472C4"/>
      <name val="Calibri"/>
    </font>
    <font>
      <sz val="11"/>
      <color rgb="FF000000"/>
      <name val="Calibri"/>
    </font>
    <font>
      <sz val="10"/>
      <color rgb="FF000000"/>
      <name val="Calibri"/>
    </font>
    <font>
      <i/>
      <sz val="11"/>
      <color rgb="FF666666"/>
      <name val="Calibri"/>
    </font>
    <font>
      <sz val="10"/>
      <color rgb="FF999999"/>
      <name val="Calibri"/>
    </font>
    <font>
      <sz val="11"/>
      <name val="Calibri"/>
    </font>
    <font>
      <b/>
      <sz val="22"/>
      <color rgb="FFFFFFFF"/>
      <name val="Segoe UI"/>
    </font>
    <font>
      <i/>
      <sz val="10"/>
      <color rgb="FF000000"/>
      <name val="Segoe UI"/>
    </font>
    <font>
      <b/>
      <sz val="14"/>
      <color rgb="FFFFFFFF"/>
      <name val="Segoe UI"/>
    </font>
    <font>
      <u/>
      <sz val="9"/>
      <color rgb="FF2E75B6"/>
      <name val="Segoe UI"/>
    </font>
    <font>
      <b/>
      <sz val="13"/>
      <color rgb="FFFFFFFF"/>
      <name val="Segoe UI"/>
    </font>
    <font>
      <b/>
      <sz val="10"/>
      <color rgb="FF4472C4"/>
      <name val="Segoe UI"/>
    </font>
    <font>
      <sz val="9"/>
      <color rgb="FF000000"/>
      <name val="Segoe UI"/>
    </font>
    <font>
      <b/>
      <sz val="10"/>
      <color rgb="FFED7D31"/>
      <name val="Segoe UI"/>
    </font>
    <font>
      <b/>
      <sz val="10"/>
      <color rgb="FF70AD47"/>
      <name val="Segoe UI"/>
    </font>
    <font>
      <b/>
      <sz val="10"/>
      <color rgb="FF5B9BD5"/>
      <name val="Segoe UI"/>
    </font>
    <font>
      <b/>
      <sz val="10"/>
      <color rgb="FF9966CC"/>
      <name val="Segoe UI"/>
    </font>
    <font>
      <i/>
      <sz val="9"/>
      <color rgb="FF000000"/>
      <name val="Segoe UI"/>
    </font>
    <font>
      <b/>
      <sz val="11"/>
      <color rgb="FFFFFFFF"/>
      <name val="Calibri"/>
    </font>
    <font>
      <b/>
      <sz val="13"/>
      <color rgb="FFFFFFFF"/>
      <name val="Calibri"/>
    </font>
    <font>
      <b/>
      <sz val="11"/>
      <color rgb="FF4472C4"/>
      <name val="Calibri"/>
    </font>
    <font>
      <b/>
      <sz val="14"/>
      <color rgb="FF4472C4"/>
      <name val="Calibri"/>
    </font>
    <font>
      <b/>
      <sz val="11"/>
      <color rgb="FFC00000"/>
      <name val="Calibri"/>
    </font>
    <font>
      <b/>
      <sz val="14"/>
      <color rgb="FFFFFFFF"/>
      <name val="Calibri"/>
    </font>
    <font>
      <b/>
      <sz val="11"/>
      <color rgb="FFED7D31"/>
      <name val="Calibri"/>
    </font>
    <font>
      <b/>
      <sz val="14"/>
      <color rgb="FFED7D31"/>
      <name val="Calibri"/>
    </font>
    <font>
      <b/>
      <sz val="11"/>
      <color rgb="FF70AD47"/>
      <name val="Calibri"/>
    </font>
    <font>
      <b/>
      <sz val="14"/>
      <color rgb="FF70AD47"/>
      <name val="Calibri"/>
    </font>
    <font>
      <b/>
      <sz val="11"/>
      <color rgb="FFFFC000"/>
      <name val="Calibri"/>
    </font>
    <font>
      <b/>
      <sz val="14"/>
      <color rgb="FF000000"/>
      <name val="Calibri"/>
    </font>
    <font>
      <i/>
      <sz val="9"/>
      <color rgb="FF7F7F7F"/>
      <name val="Calibri"/>
    </font>
  </fonts>
  <fills count="50">
    <fill>
      <patternFill patternType="none"/>
    </fill>
    <fill>
      <patternFill patternType="gray125"/>
    </fill>
    <fill>
      <patternFill patternType="solid">
        <fgColor rgb="FF0066CC"/>
        <bgColor rgb="FF4472C4"/>
      </patternFill>
    </fill>
    <fill>
      <patternFill patternType="solid">
        <fgColor rgb="FFE7E6E6"/>
        <bgColor rgb="FFE7E6E6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5B9BD5"/>
        <bgColor rgb="FF5B9BD5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FF6600"/>
        <bgColor rgb="FFFF6600"/>
      </patternFill>
    </fill>
    <fill>
      <patternFill patternType="solid">
        <fgColor rgb="FFC00000"/>
        <bgColor rgb="FFC00000"/>
      </patternFill>
    </fill>
    <fill>
      <patternFill patternType="solid">
        <fgColor rgb="FF4472C4"/>
        <bgColor rgb="FF4472C4"/>
      </patternFill>
    </fill>
    <fill>
      <patternFill patternType="solid">
        <fgColor rgb="FF92D050"/>
        <bgColor rgb="FF92D050"/>
      </patternFill>
    </fill>
    <fill>
      <patternFill patternType="solid">
        <fgColor rgb="FF009900"/>
        <bgColor rgb="FF009900"/>
      </patternFill>
    </fill>
    <fill>
      <patternFill patternType="solid">
        <fgColor rgb="FF7030A0"/>
        <bgColor rgb="FF7030A0"/>
      </patternFill>
    </fill>
    <fill>
      <patternFill patternType="solid">
        <fgColor rgb="FF2E75B5"/>
        <bgColor rgb="FF2E75B5"/>
      </patternFill>
    </fill>
    <fill>
      <patternFill patternType="solid">
        <fgColor rgb="FF00B050"/>
        <bgColor rgb="FF00B050"/>
      </patternFill>
    </fill>
    <fill>
      <patternFill patternType="solid">
        <fgColor rgb="FFE74C3C"/>
        <bgColor rgb="FFE74C3C"/>
      </patternFill>
    </fill>
    <fill>
      <patternFill patternType="solid">
        <fgColor rgb="FFFD6A02"/>
        <bgColor rgb="FFFD6A02"/>
      </patternFill>
    </fill>
    <fill>
      <patternFill patternType="solid">
        <fgColor rgb="FF1F4E78"/>
        <bgColor rgb="FF1F4E78"/>
      </patternFill>
    </fill>
    <fill>
      <patternFill patternType="solid">
        <fgColor rgb="FF548235"/>
        <bgColor rgb="FF548235"/>
      </patternFill>
    </fill>
    <fill>
      <patternFill patternType="solid">
        <fgColor rgb="FFF4B183"/>
        <bgColor rgb="FFF4B183"/>
      </patternFill>
    </fill>
    <fill>
      <patternFill patternType="solid">
        <fgColor rgb="FFE67E22"/>
        <bgColor rgb="FFE67E22"/>
      </patternFill>
    </fill>
    <fill>
      <patternFill patternType="solid">
        <fgColor rgb="FF34495E"/>
        <bgColor rgb="FF34495E"/>
      </patternFill>
    </fill>
    <fill>
      <patternFill patternType="solid">
        <fgColor rgb="FF8E44AD"/>
        <bgColor rgb="FF8E44AD"/>
      </patternFill>
    </fill>
    <fill>
      <patternFill patternType="solid">
        <fgColor rgb="FF16A085"/>
        <bgColor rgb="FF16A085"/>
      </patternFill>
    </fill>
    <fill>
      <patternFill patternType="solid">
        <fgColor rgb="FFC65911"/>
        <bgColor rgb="FFC65911"/>
      </patternFill>
    </fill>
    <fill>
      <patternFill patternType="solid">
        <fgColor rgb="FF00B0F0"/>
        <bgColor rgb="FF00B0F0"/>
      </patternFill>
    </fill>
    <fill>
      <patternFill patternType="solid">
        <fgColor rgb="FF7F7F7F"/>
        <bgColor rgb="FF7F7F7F"/>
      </patternFill>
    </fill>
    <fill>
      <patternFill patternType="solid">
        <fgColor rgb="FF203764"/>
        <bgColor rgb="FF203764"/>
      </patternFill>
    </fill>
    <fill>
      <patternFill patternType="solid">
        <fgColor rgb="FFF39C12"/>
        <bgColor rgb="FFF39C12"/>
      </patternFill>
    </fill>
    <fill>
      <patternFill patternType="solid">
        <fgColor rgb="FF1ABC9C"/>
        <bgColor rgb="FF1ABC9C"/>
      </patternFill>
    </fill>
    <fill>
      <patternFill patternType="solid">
        <fgColor rgb="FF9B59B6"/>
        <bgColor rgb="FF9B59B6"/>
      </patternFill>
    </fill>
    <fill>
      <patternFill patternType="solid">
        <fgColor rgb="FF2980B9"/>
        <bgColor rgb="FF2980B9"/>
      </patternFill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2E75B6"/>
        <bgColor rgb="FF2E75B6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70AD47"/>
        <bgColor rgb="FF70AD47"/>
      </patternFill>
    </fill>
    <fill>
      <patternFill patternType="solid">
        <fgColor rgb="FF5B9BD5"/>
        <bgColor rgb="FF5B9BD5"/>
      </patternFill>
    </fill>
    <fill>
      <patternFill patternType="solid">
        <fgColor rgb="FF9966CC"/>
        <bgColor rgb="FF9966CC"/>
      </patternFill>
    </fill>
    <fill>
      <patternFill patternType="solid">
        <fgColor rgb="FF4472C4"/>
      </patternFill>
    </fill>
    <fill>
      <patternFill patternType="solid">
        <fgColor rgb="FFED7D31"/>
      </patternFill>
    </fill>
    <fill>
      <patternFill patternType="solid">
        <fgColor rgb="FF70AD47"/>
      </patternFill>
    </fill>
    <fill>
      <patternFill patternType="solid">
        <fgColor rgb="FFD9E1F2"/>
        <bgColor rgb="FFD9E1F2"/>
      </patternFill>
    </fill>
    <fill>
      <patternFill patternType="solid">
        <fgColor rgb="FFC00000"/>
        <bgColor rgb="FFC00000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C000"/>
        <bgColor rgb="FFFFC0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medium">
        <color rgb="FFED7D31"/>
      </left>
      <right style="medium">
        <color rgb="FFED7D31"/>
      </right>
      <top style="medium">
        <color rgb="FFED7D31"/>
      </top>
      <bottom style="medium">
        <color rgb="FFED7D31"/>
      </bottom>
      <diagonal/>
    </border>
    <border>
      <left style="thin">
        <color rgb="FFED7D31"/>
      </left>
      <right style="thin">
        <color rgb="FFED7D31"/>
      </right>
      <top style="thin">
        <color rgb="FFED7D31"/>
      </top>
      <bottom style="thin">
        <color rgb="FFED7D31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thin">
        <color rgb="FF5B9BD5"/>
      </left>
      <right style="thin">
        <color rgb="FF5B9BD5"/>
      </right>
      <top style="thin">
        <color rgb="FF5B9BD5"/>
      </top>
      <bottom style="thin">
        <color rgb="FF5B9BD5"/>
      </bottom>
      <diagonal/>
    </border>
    <border>
      <left style="medium">
        <color rgb="FF9966CC"/>
      </left>
      <right style="medium">
        <color rgb="FF9966CC"/>
      </right>
      <top style="medium">
        <color rgb="FF9966CC"/>
      </top>
      <bottom style="medium">
        <color rgb="FF9966CC"/>
      </bottom>
      <diagonal/>
    </border>
    <border>
      <left style="thin">
        <color rgb="FF9966CC"/>
      </left>
      <right style="thin">
        <color rgb="FF9966CC"/>
      </right>
      <top style="thin">
        <color rgb="FF9966CC"/>
      </top>
      <bottom style="thin">
        <color rgb="FF9966CC"/>
      </bottom>
      <diagonal/>
    </border>
    <border>
      <left/>
      <right/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/>
      <right/>
      <top style="thin">
        <color rgb="FF9966CC"/>
      </top>
      <bottom style="thin">
        <color rgb="FF9966CC"/>
      </bottom>
      <diagonal/>
    </border>
    <border>
      <left/>
      <right style="thin">
        <color rgb="FF9966CC"/>
      </right>
      <top style="thin">
        <color rgb="FF9966CC"/>
      </top>
      <bottom style="thin">
        <color rgb="FF9966CC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2E75B6"/>
      </top>
      <bottom style="medium">
        <color rgb="FF2E75B6"/>
      </bottom>
      <diagonal/>
    </border>
    <border>
      <left/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/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/>
      <right/>
      <top style="medium">
        <color rgb="FFED7D31"/>
      </top>
      <bottom style="medium">
        <color rgb="FFED7D31"/>
      </bottom>
      <diagonal/>
    </border>
    <border>
      <left/>
      <right style="medium">
        <color rgb="FFED7D31"/>
      </right>
      <top style="medium">
        <color rgb="FFED7D31"/>
      </top>
      <bottom style="medium">
        <color rgb="FFED7D31"/>
      </bottom>
      <diagonal/>
    </border>
    <border>
      <left/>
      <right/>
      <top/>
      <bottom/>
      <diagonal/>
    </border>
    <border>
      <left/>
      <right/>
      <top style="medium">
        <color rgb="FF9966CC"/>
      </top>
      <bottom style="medium">
        <color rgb="FF9966CC"/>
      </bottom>
      <diagonal/>
    </border>
    <border>
      <left/>
      <right style="medium">
        <color rgb="FF9966CC"/>
      </right>
      <top style="medium">
        <color rgb="FF9966CC"/>
      </top>
      <bottom style="medium">
        <color rgb="FF9966CC"/>
      </bottom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39"/>
  </cellStyleXfs>
  <cellXfs count="210">
    <xf numFmtId="0" fontId="0" fillId="0" borderId="0" xfId="0" applyBorder="1"/>
    <xf numFmtId="0" fontId="0" fillId="0" borderId="1" xfId="0" applyBorder="1" applyAlignment="1">
      <alignment horizontal="left" vertical="center"/>
    </xf>
    <xf numFmtId="0" fontId="15" fillId="4" borderId="0" xfId="0" applyFont="1" applyFill="1" applyBorder="1"/>
    <xf numFmtId="0" fontId="16" fillId="0" borderId="1" xfId="0" applyFont="1" applyBorder="1"/>
    <xf numFmtId="0" fontId="0" fillId="0" borderId="1" xfId="0" applyBorder="1"/>
    <xf numFmtId="0" fontId="18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21" fillId="7" borderId="1" xfId="0" applyFont="1" applyFill="1" applyBorder="1" applyAlignment="1">
      <alignment horizontal="center"/>
    </xf>
    <xf numFmtId="0" fontId="22" fillId="7" borderId="1" xfId="0" applyFont="1" applyFill="1" applyBorder="1" applyAlignment="1">
      <alignment horizontal="center"/>
    </xf>
    <xf numFmtId="0" fontId="23" fillId="7" borderId="1" xfId="0" applyFont="1" applyFill="1" applyBorder="1" applyAlignment="1">
      <alignment horizontal="center"/>
    </xf>
    <xf numFmtId="0" fontId="24" fillId="7" borderId="1" xfId="0" applyFont="1" applyFill="1" applyBorder="1" applyAlignment="1">
      <alignment horizontal="center"/>
    </xf>
    <xf numFmtId="0" fontId="18" fillId="6" borderId="1" xfId="0" applyFont="1" applyFill="1" applyBorder="1" applyAlignment="1">
      <alignment horizontal="center"/>
    </xf>
    <xf numFmtId="0" fontId="15" fillId="8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15" fillId="10" borderId="1" xfId="0" applyFont="1" applyFill="1" applyBorder="1" applyAlignment="1">
      <alignment horizontal="center"/>
    </xf>
    <xf numFmtId="0" fontId="25" fillId="9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horizontal="center" vertical="center" wrapText="1"/>
    </xf>
    <xf numFmtId="0" fontId="25" fillId="11" borderId="1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/>
    </xf>
    <xf numFmtId="0" fontId="30" fillId="9" borderId="1" xfId="0" applyFont="1" applyFill="1" applyBorder="1" applyAlignment="1">
      <alignment horizontal="center" vertical="center"/>
    </xf>
    <xf numFmtId="0" fontId="31" fillId="8" borderId="1" xfId="0" applyFont="1" applyFill="1" applyBorder="1" applyAlignment="1">
      <alignment horizontal="center" vertical="center"/>
    </xf>
    <xf numFmtId="0" fontId="31" fillId="10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30" fillId="12" borderId="1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/>
    </xf>
    <xf numFmtId="0" fontId="25" fillId="13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/>
    </xf>
    <xf numFmtId="0" fontId="33" fillId="7" borderId="1" xfId="0" applyFont="1" applyFill="1" applyBorder="1" applyAlignment="1">
      <alignment horizontal="center" vertical="center"/>
    </xf>
    <xf numFmtId="0" fontId="34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5" fillId="7" borderId="1" xfId="0" applyFont="1" applyFill="1" applyBorder="1" applyAlignment="1">
      <alignment horizontal="center" vertical="center"/>
    </xf>
    <xf numFmtId="0" fontId="36" fillId="7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5" fillId="10" borderId="1" xfId="0" applyFont="1" applyFill="1" applyBorder="1" applyAlignment="1">
      <alignment horizontal="left" vertical="center" wrapText="1"/>
    </xf>
    <xf numFmtId="0" fontId="15" fillId="9" borderId="1" xfId="0" applyFont="1" applyFill="1" applyBorder="1" applyAlignment="1">
      <alignment horizontal="left" vertical="center" wrapText="1"/>
    </xf>
    <xf numFmtId="0" fontId="26" fillId="5" borderId="1" xfId="0" applyFont="1" applyFill="1" applyBorder="1" applyAlignment="1">
      <alignment horizontal="left" vertical="center" wrapText="1"/>
    </xf>
    <xf numFmtId="0" fontId="15" fillId="11" borderId="1" xfId="0" applyFont="1" applyFill="1" applyBorder="1" applyAlignment="1">
      <alignment horizontal="left" vertical="center" wrapText="1"/>
    </xf>
    <xf numFmtId="0" fontId="26" fillId="4" borderId="1" xfId="0" applyFont="1" applyFill="1" applyBorder="1" applyAlignment="1">
      <alignment horizontal="left" vertical="center" wrapText="1"/>
    </xf>
    <xf numFmtId="0" fontId="25" fillId="15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6" fillId="3" borderId="1" xfId="0" applyFont="1" applyFill="1" applyBorder="1"/>
    <xf numFmtId="0" fontId="25" fillId="16" borderId="1" xfId="0" applyFont="1" applyFill="1" applyBorder="1" applyAlignment="1">
      <alignment horizontal="center" vertical="center" wrapText="1"/>
    </xf>
    <xf numFmtId="0" fontId="15" fillId="16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/>
    </xf>
    <xf numFmtId="0" fontId="42" fillId="0" borderId="1" xfId="0" applyFont="1" applyBorder="1" applyAlignment="1">
      <alignment horizontal="center"/>
    </xf>
    <xf numFmtId="0" fontId="18" fillId="17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5" fillId="17" borderId="1" xfId="0" applyFont="1" applyFill="1" applyBorder="1" applyAlignment="1">
      <alignment horizontal="center"/>
    </xf>
    <xf numFmtId="0" fontId="25" fillId="18" borderId="1" xfId="0" applyFont="1" applyFill="1" applyBorder="1" applyAlignment="1">
      <alignment horizontal="center" vertical="center" wrapText="1"/>
    </xf>
    <xf numFmtId="0" fontId="25" fillId="10" borderId="1" xfId="0" applyFont="1" applyFill="1" applyBorder="1" applyAlignment="1">
      <alignment horizontal="center" vertical="center" wrapText="1"/>
    </xf>
    <xf numFmtId="0" fontId="25" fillId="19" borderId="1" xfId="0" applyFont="1" applyFill="1" applyBorder="1" applyAlignment="1">
      <alignment horizontal="center" vertical="center" wrapText="1"/>
    </xf>
    <xf numFmtId="0" fontId="25" fillId="20" borderId="1" xfId="0" applyFont="1" applyFill="1" applyBorder="1" applyAlignment="1">
      <alignment horizontal="center" vertical="center" wrapText="1"/>
    </xf>
    <xf numFmtId="0" fontId="25" fillId="14" borderId="1" xfId="0" applyFont="1" applyFill="1" applyBorder="1" applyAlignment="1">
      <alignment horizontal="center" vertical="center" wrapText="1"/>
    </xf>
    <xf numFmtId="0" fontId="45" fillId="21" borderId="1" xfId="0" applyFont="1" applyFill="1" applyBorder="1" applyAlignment="1">
      <alignment horizontal="center" vertical="center" wrapText="1"/>
    </xf>
    <xf numFmtId="0" fontId="25" fillId="22" borderId="1" xfId="0" applyFont="1" applyFill="1" applyBorder="1" applyAlignment="1">
      <alignment horizontal="center" vertical="center" wrapText="1"/>
    </xf>
    <xf numFmtId="0" fontId="25" fillId="22" borderId="1" xfId="0" applyFont="1" applyFill="1" applyBorder="1" applyAlignment="1">
      <alignment horizontal="center" vertical="center"/>
    </xf>
    <xf numFmtId="0" fontId="25" fillId="23" borderId="1" xfId="0" applyFont="1" applyFill="1" applyBorder="1" applyAlignment="1">
      <alignment horizontal="center" vertical="center" wrapText="1"/>
    </xf>
    <xf numFmtId="0" fontId="25" fillId="24" borderId="1" xfId="0" applyFont="1" applyFill="1" applyBorder="1" applyAlignment="1">
      <alignment horizontal="center" vertical="center" wrapText="1"/>
    </xf>
    <xf numFmtId="0" fontId="25" fillId="25" borderId="1" xfId="0" applyFont="1" applyFill="1" applyBorder="1" applyAlignment="1">
      <alignment horizontal="center" vertical="center" wrapText="1"/>
    </xf>
    <xf numFmtId="0" fontId="25" fillId="26" borderId="1" xfId="0" applyFont="1" applyFill="1" applyBorder="1" applyAlignment="1">
      <alignment horizontal="center" vertical="center"/>
    </xf>
    <xf numFmtId="0" fontId="25" fillId="33" borderId="1" xfId="0" applyFont="1" applyFill="1" applyBorder="1" applyAlignment="1">
      <alignment horizontal="center" vertical="center"/>
    </xf>
    <xf numFmtId="0" fontId="25" fillId="28" borderId="1" xfId="0" applyFont="1" applyFill="1" applyBorder="1" applyAlignment="1">
      <alignment horizontal="center" vertical="center"/>
    </xf>
    <xf numFmtId="0" fontId="55" fillId="0" borderId="11" xfId="0" applyFont="1" applyBorder="1"/>
    <xf numFmtId="0" fontId="59" fillId="0" borderId="14" xfId="0" applyFont="1" applyBorder="1" applyAlignment="1">
      <alignment horizontal="left" vertical="center" indent="1"/>
    </xf>
    <xf numFmtId="0" fontId="62" fillId="0" borderId="14" xfId="0" applyFont="1" applyBorder="1" applyAlignment="1">
      <alignment horizontal="left" vertical="center" wrapText="1" indent="1"/>
    </xf>
    <xf numFmtId="0" fontId="68" fillId="42" borderId="1" xfId="0" applyFont="1" applyFill="1" applyBorder="1" applyAlignment="1">
      <alignment horizontal="center" vertical="center"/>
    </xf>
    <xf numFmtId="0" fontId="68" fillId="43" borderId="1" xfId="0" applyFont="1" applyFill="1" applyBorder="1" applyAlignment="1">
      <alignment horizontal="center" vertical="center" wrapText="1"/>
    </xf>
    <xf numFmtId="0" fontId="68" fillId="44" borderId="1" xfId="0" applyFont="1" applyFill="1" applyBorder="1" applyAlignment="1">
      <alignment horizontal="center" vertical="center" wrapText="1"/>
    </xf>
    <xf numFmtId="0" fontId="70" fillId="0" borderId="44" xfId="0" applyFont="1" applyBorder="1" applyAlignment="1">
      <alignment horizontal="left" vertical="center"/>
    </xf>
    <xf numFmtId="0" fontId="71" fillId="45" borderId="44" xfId="0" applyFont="1" applyFill="1" applyBorder="1" applyAlignment="1">
      <alignment horizontal="center" vertical="center"/>
    </xf>
    <xf numFmtId="0" fontId="72" fillId="0" borderId="44" xfId="0" applyFont="1" applyBorder="1" applyAlignment="1">
      <alignment horizontal="left" vertical="center"/>
    </xf>
    <xf numFmtId="0" fontId="73" fillId="46" borderId="44" xfId="0" applyFont="1" applyFill="1" applyBorder="1" applyAlignment="1">
      <alignment horizontal="center" vertical="center"/>
    </xf>
    <xf numFmtId="0" fontId="74" fillId="0" borderId="44" xfId="0" applyFont="1" applyBorder="1" applyAlignment="1">
      <alignment horizontal="left" vertical="center"/>
    </xf>
    <xf numFmtId="0" fontId="75" fillId="47" borderId="44" xfId="0" applyFont="1" applyFill="1" applyBorder="1" applyAlignment="1">
      <alignment horizontal="center" vertical="center"/>
    </xf>
    <xf numFmtId="0" fontId="76" fillId="0" borderId="44" xfId="0" applyFont="1" applyBorder="1" applyAlignment="1">
      <alignment horizontal="left" vertical="center"/>
    </xf>
    <xf numFmtId="0" fontId="77" fillId="48" borderId="44" xfId="0" applyFont="1" applyFill="1" applyBorder="1" applyAlignment="1">
      <alignment horizontal="center" vertical="center"/>
    </xf>
    <xf numFmtId="0" fontId="78" fillId="0" borderId="44" xfId="0" applyFont="1" applyBorder="1" applyAlignment="1">
      <alignment horizontal="left" vertical="center"/>
    </xf>
    <xf numFmtId="0" fontId="79" fillId="49" borderId="44" xfId="0" applyFont="1" applyFill="1" applyBorder="1" applyAlignment="1">
      <alignment horizontal="center" vertical="center"/>
    </xf>
    <xf numFmtId="0" fontId="61" fillId="35" borderId="16" xfId="0" applyFont="1" applyFill="1" applyBorder="1" applyAlignment="1">
      <alignment horizontal="center" vertical="center"/>
    </xf>
    <xf numFmtId="0" fontId="63" fillId="35" borderId="18" xfId="0" applyFont="1" applyFill="1" applyBorder="1" applyAlignment="1">
      <alignment horizontal="center" vertical="center"/>
    </xf>
    <xf numFmtId="0" fontId="65" fillId="35" borderId="22" xfId="0" applyFont="1" applyFill="1" applyBorder="1" applyAlignment="1">
      <alignment horizontal="center" vertical="center"/>
    </xf>
    <xf numFmtId="0" fontId="60" fillId="40" borderId="21" xfId="0" applyFont="1" applyFill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67" fillId="35" borderId="14" xfId="0" applyFont="1" applyFill="1" applyBorder="1" applyAlignment="1">
      <alignment horizontal="center" vertical="center" wrapText="1"/>
    </xf>
    <xf numFmtId="0" fontId="0" fillId="0" borderId="29" xfId="0" applyBorder="1"/>
    <xf numFmtId="0" fontId="0" fillId="0" borderId="30" xfId="0" applyBorder="1"/>
    <xf numFmtId="0" fontId="66" fillId="35" borderId="24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64" fillId="35" borderId="20" xfId="0" applyFont="1" applyFill="1" applyBorder="1" applyAlignment="1">
      <alignment horizontal="center" vertical="center"/>
    </xf>
    <xf numFmtId="0" fontId="58" fillId="36" borderId="13" xfId="0" applyFont="1" applyFill="1" applyBorder="1" applyAlignment="1">
      <alignment horizontal="center" vertical="center"/>
    </xf>
    <xf numFmtId="0" fontId="0" fillId="0" borderId="31" xfId="0" applyBorder="1"/>
    <xf numFmtId="0" fontId="0" fillId="0" borderId="32" xfId="0" applyBorder="1"/>
    <xf numFmtId="0" fontId="56" fillId="34" borderId="12" xfId="0" applyFont="1" applyFill="1" applyBorder="1" applyAlignment="1">
      <alignment horizontal="center" vertical="center"/>
    </xf>
    <xf numFmtId="0" fontId="0" fillId="0" borderId="33" xfId="0" applyBorder="1"/>
    <xf numFmtId="0" fontId="0" fillId="0" borderId="34" xfId="0" applyBorder="1"/>
    <xf numFmtId="0" fontId="80" fillId="0" borderId="39" xfId="0" applyFont="1" applyAlignment="1">
      <alignment horizontal="center" vertical="center"/>
    </xf>
    <xf numFmtId="0" fontId="0" fillId="0" borderId="0" xfId="0" applyBorder="1"/>
    <xf numFmtId="0" fontId="60" fillId="37" borderId="15" xfId="0" applyFont="1" applyFill="1" applyBorder="1" applyAlignment="1">
      <alignment horizontal="center" vertical="center"/>
    </xf>
    <xf numFmtId="0" fontId="0" fillId="0" borderId="35" xfId="0" applyBorder="1"/>
    <xf numFmtId="0" fontId="0" fillId="0" borderId="36" xfId="0" applyBorder="1"/>
    <xf numFmtId="0" fontId="60" fillId="38" borderId="17" xfId="0" applyFont="1" applyFill="1" applyBorder="1" applyAlignment="1">
      <alignment horizontal="center" vertical="center"/>
    </xf>
    <xf numFmtId="0" fontId="0" fillId="0" borderId="37" xfId="0" applyBorder="1"/>
    <xf numFmtId="0" fontId="0" fillId="0" borderId="38" xfId="0" applyBorder="1"/>
    <xf numFmtId="0" fontId="57" fillId="35" borderId="39" xfId="0" applyFont="1" applyFill="1" applyAlignment="1">
      <alignment horizontal="center" vertical="center"/>
    </xf>
    <xf numFmtId="0" fontId="60" fillId="41" borderId="23" xfId="0" applyFont="1" applyFill="1" applyBorder="1" applyAlignment="1">
      <alignment horizontal="center" vertical="center"/>
    </xf>
    <xf numFmtId="0" fontId="0" fillId="0" borderId="40" xfId="0" applyBorder="1"/>
    <xf numFmtId="0" fontId="0" fillId="0" borderId="41" xfId="0" applyBorder="1"/>
    <xf numFmtId="0" fontId="69" fillId="34" borderId="12" xfId="0" applyFont="1" applyFill="1" applyBorder="1" applyAlignment="1">
      <alignment horizontal="center" vertical="center"/>
    </xf>
    <xf numFmtId="0" fontId="60" fillId="39" borderId="19" xfId="0" applyFont="1" applyFill="1" applyBorder="1" applyAlignment="1">
      <alignment horizontal="center" vertical="center"/>
    </xf>
    <xf numFmtId="0" fontId="0" fillId="0" borderId="42" xfId="0" applyBorder="1"/>
    <xf numFmtId="0" fontId="0" fillId="0" borderId="43" xfId="0" applyBorder="1"/>
    <xf numFmtId="0" fontId="17" fillId="15" borderId="39" xfId="0" applyFont="1" applyFill="1" applyAlignment="1">
      <alignment horizontal="center" vertical="center"/>
    </xf>
    <xf numFmtId="0" fontId="11" fillId="0" borderId="39" xfId="0" applyFont="1" applyAlignment="1">
      <alignment horizontal="center" vertical="center"/>
    </xf>
    <xf numFmtId="0" fontId="5" fillId="2" borderId="39" xfId="0" applyFont="1" applyFill="1" applyAlignment="1">
      <alignment horizontal="center" vertical="center" wrapText="1"/>
    </xf>
    <xf numFmtId="0" fontId="6" fillId="0" borderId="39" xfId="0" applyFont="1" applyAlignment="1">
      <alignment horizontal="center" vertical="center"/>
    </xf>
    <xf numFmtId="0" fontId="7" fillId="0" borderId="39" xfId="0" applyFont="1" applyAlignment="1">
      <alignment horizontal="center" vertical="center"/>
    </xf>
    <xf numFmtId="0" fontId="12" fillId="0" borderId="39" xfId="0" applyFont="1" applyAlignment="1">
      <alignment horizontal="center" vertical="center"/>
    </xf>
    <xf numFmtId="0" fontId="8" fillId="3" borderId="39" xfId="0" applyFont="1" applyFill="1" applyAlignment="1">
      <alignment horizontal="center" vertical="center"/>
    </xf>
    <xf numFmtId="0" fontId="9" fillId="0" borderId="39" xfId="0" applyFont="1" applyAlignment="1">
      <alignment horizontal="center" vertical="center"/>
    </xf>
    <xf numFmtId="0" fontId="10" fillId="0" borderId="39" xfId="0" applyFont="1" applyAlignment="1">
      <alignment horizontal="center" vertical="center"/>
    </xf>
    <xf numFmtId="0" fontId="47" fillId="0" borderId="39" xfId="0" applyFont="1"/>
    <xf numFmtId="0" fontId="17" fillId="26" borderId="39" xfId="0" applyFont="1" applyFill="1" applyAlignment="1">
      <alignment horizontal="center" vertical="center"/>
    </xf>
    <xf numFmtId="0" fontId="48" fillId="0" borderId="39" xfId="0" applyFont="1"/>
    <xf numFmtId="0" fontId="53" fillId="0" borderId="39" xfId="0" applyFont="1"/>
    <xf numFmtId="0" fontId="17" fillId="20" borderId="39" xfId="0" applyFont="1" applyFill="1" applyAlignment="1">
      <alignment horizontal="center" vertical="center"/>
    </xf>
    <xf numFmtId="0" fontId="54" fillId="0" borderId="39" xfId="0" applyFont="1"/>
    <xf numFmtId="0" fontId="17" fillId="14" borderId="39" xfId="0" applyFont="1" applyFill="1" applyAlignment="1">
      <alignment horizontal="center" vertical="center"/>
    </xf>
    <xf numFmtId="0" fontId="17" fillId="29" borderId="39" xfId="0" applyFont="1" applyFill="1" applyAlignment="1">
      <alignment horizontal="center" vertical="center"/>
    </xf>
    <xf numFmtId="0" fontId="13" fillId="4" borderId="39" xfId="0" applyFont="1" applyFill="1" applyAlignment="1">
      <alignment horizontal="center" vertical="center"/>
    </xf>
    <xf numFmtId="0" fontId="14" fillId="0" borderId="39" xfId="0" applyFont="1"/>
    <xf numFmtId="0" fontId="0" fillId="0" borderId="1" xfId="0" applyBorder="1" applyAlignment="1">
      <alignment vertical="top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7" fillId="5" borderId="39" xfId="0" applyFont="1" applyFill="1" applyAlignment="1">
      <alignment horizontal="center" vertical="center"/>
    </xf>
    <xf numFmtId="0" fontId="17" fillId="24" borderId="39" xfId="0" applyFont="1" applyFill="1" applyAlignment="1">
      <alignment horizontal="center" vertical="center"/>
    </xf>
    <xf numFmtId="0" fontId="17" fillId="17" borderId="39" xfId="0" applyFont="1" applyFill="1" applyAlignment="1">
      <alignment horizontal="center" vertical="center"/>
    </xf>
    <xf numFmtId="0" fontId="17" fillId="30" borderId="39" xfId="0" applyFont="1" applyFill="1" applyAlignment="1">
      <alignment horizontal="center" vertical="center"/>
    </xf>
    <xf numFmtId="0" fontId="17" fillId="31" borderId="39" xfId="0" applyFont="1" applyFill="1" applyAlignment="1">
      <alignment horizontal="center" vertical="center"/>
    </xf>
    <xf numFmtId="0" fontId="17" fillId="25" borderId="39" xfId="0" applyFont="1" applyFill="1" applyAlignment="1">
      <alignment horizontal="center" vertical="center"/>
    </xf>
    <xf numFmtId="0" fontId="17" fillId="32" borderId="39" xfId="0" applyFont="1" applyFill="1" applyAlignment="1">
      <alignment horizontal="center" vertical="center"/>
    </xf>
    <xf numFmtId="0" fontId="17" fillId="33" borderId="39" xfId="0" applyFont="1" applyFill="1" applyAlignment="1">
      <alignment horizontal="center" vertical="center"/>
    </xf>
    <xf numFmtId="0" fontId="17" fillId="23" borderId="39" xfId="0" applyFont="1" applyFill="1" applyAlignment="1">
      <alignment horizontal="center" vertical="center"/>
    </xf>
    <xf numFmtId="0" fontId="19" fillId="0" borderId="39" xfId="0" applyFont="1"/>
    <xf numFmtId="0" fontId="13" fillId="6" borderId="39" xfId="0" applyFont="1" applyFill="1" applyAlignment="1">
      <alignment horizontal="center" vertical="center"/>
    </xf>
    <xf numFmtId="0" fontId="17" fillId="9" borderId="39" xfId="0" applyFont="1" applyFill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15" fillId="8" borderId="1" xfId="0" applyFont="1" applyFill="1" applyBorder="1" applyAlignment="1">
      <alignment horizontal="center" vertical="center"/>
    </xf>
    <xf numFmtId="0" fontId="27" fillId="0" borderId="39" xfId="0" applyFont="1"/>
    <xf numFmtId="0" fontId="15" fillId="4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0" fontId="17" fillId="10" borderId="39" xfId="0" applyFont="1" applyFill="1" applyAlignment="1">
      <alignment horizontal="center" vertical="center"/>
    </xf>
    <xf numFmtId="0" fontId="29" fillId="0" borderId="39" xfId="0" applyFont="1" applyAlignment="1">
      <alignment horizontal="center" vertical="center"/>
    </xf>
    <xf numFmtId="0" fontId="26" fillId="9" borderId="1" xfId="0" applyFont="1" applyFill="1" applyBorder="1" applyAlignment="1">
      <alignment horizontal="center" vertical="center"/>
    </xf>
    <xf numFmtId="0" fontId="28" fillId="0" borderId="39" xfId="0" applyFont="1"/>
    <xf numFmtId="0" fontId="32" fillId="0" borderId="39" xfId="0" applyFont="1"/>
    <xf numFmtId="0" fontId="15" fillId="10" borderId="1" xfId="0" applyFont="1" applyFill="1" applyBorder="1" applyAlignment="1">
      <alignment horizontal="center" vertical="center"/>
    </xf>
    <xf numFmtId="0" fontId="29" fillId="0" borderId="39" xfId="0" applyFont="1"/>
    <xf numFmtId="0" fontId="37" fillId="0" borderId="39" xfId="0" applyFont="1"/>
    <xf numFmtId="0" fontId="17" fillId="13" borderId="39" xfId="0" applyFont="1" applyFill="1" applyAlignment="1">
      <alignment horizontal="center" vertical="center"/>
    </xf>
    <xf numFmtId="0" fontId="1" fillId="0" borderId="39" xfId="0" applyFont="1"/>
    <xf numFmtId="0" fontId="38" fillId="0" borderId="39" xfId="0" applyFont="1"/>
    <xf numFmtId="0" fontId="40" fillId="0" borderId="39" xfId="0" applyFont="1"/>
    <xf numFmtId="0" fontId="39" fillId="0" borderId="39" xfId="0" applyFont="1"/>
    <xf numFmtId="0" fontId="41" fillId="0" borderId="39" xfId="0" applyFont="1"/>
    <xf numFmtId="0" fontId="17" fillId="16" borderId="39" xfId="0" applyFont="1" applyFill="1" applyAlignment="1">
      <alignment horizontal="center" vertical="center"/>
    </xf>
    <xf numFmtId="0" fontId="42" fillId="0" borderId="39" xfId="0" applyFont="1"/>
    <xf numFmtId="0" fontId="43" fillId="0" borderId="39" xfId="0" applyFont="1"/>
    <xf numFmtId="0" fontId="0" fillId="0" borderId="1" xfId="0" applyBorder="1" applyAlignment="1">
      <alignment horizontal="left"/>
    </xf>
    <xf numFmtId="0" fontId="44" fillId="0" borderId="39" xfId="0" applyFont="1"/>
    <xf numFmtId="0" fontId="17" fillId="18" borderId="39" xfId="0" applyFont="1" applyFill="1" applyAlignment="1">
      <alignment horizontal="center" vertical="center"/>
    </xf>
    <xf numFmtId="0" fontId="17" fillId="19" borderId="39" xfId="0" applyFont="1" applyFill="1" applyAlignment="1">
      <alignment horizontal="center" vertical="center"/>
    </xf>
    <xf numFmtId="0" fontId="17" fillId="21" borderId="39" xfId="0" applyFont="1" applyFill="1" applyAlignment="1">
      <alignment horizontal="center" vertical="center"/>
    </xf>
    <xf numFmtId="0" fontId="46" fillId="0" borderId="39" xfId="0" applyFont="1"/>
    <xf numFmtId="0" fontId="17" fillId="22" borderId="39" xfId="0" applyFont="1" applyFill="1" applyAlignment="1">
      <alignment horizontal="center" vertical="center"/>
    </xf>
    <xf numFmtId="0" fontId="42" fillId="3" borderId="39" xfId="0" applyFont="1" applyFill="1" applyAlignment="1">
      <alignment horizontal="left" vertical="top" wrapText="1"/>
    </xf>
    <xf numFmtId="0" fontId="52" fillId="0" borderId="39" xfId="0" applyFont="1" applyAlignment="1">
      <alignment horizontal="left" vertical="top" wrapText="1"/>
    </xf>
    <xf numFmtId="0" fontId="49" fillId="3" borderId="39" xfId="0" applyFont="1" applyFill="1" applyAlignment="1">
      <alignment horizontal="left" vertical="top" wrapText="1"/>
    </xf>
    <xf numFmtId="0" fontId="50" fillId="3" borderId="39" xfId="0" applyFont="1" applyFill="1" applyAlignment="1">
      <alignment horizontal="left" vertical="top" wrapText="1"/>
    </xf>
    <xf numFmtId="0" fontId="13" fillId="27" borderId="39" xfId="0" applyFont="1" applyFill="1" applyAlignment="1">
      <alignment horizontal="center" vertical="center"/>
    </xf>
    <xf numFmtId="0" fontId="51" fillId="0" borderId="39" xfId="0" applyFont="1" applyAlignment="1">
      <alignment horizontal="left" vertical="top" wrapText="1"/>
    </xf>
    <xf numFmtId="0" fontId="4" fillId="0" borderId="39" xfId="0" applyFont="1"/>
    <xf numFmtId="0" fontId="17" fillId="28" borderId="39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66CC"/>
  </sheetPr>
  <dimension ref="A1:S50"/>
  <sheetViews>
    <sheetView showGridLines="0" tabSelected="1" topLeftCell="A8" workbookViewId="0">
      <selection activeCell="A11" sqref="A11"/>
    </sheetView>
  </sheetViews>
  <sheetFormatPr baseColWidth="10" defaultColWidth="9.140625" defaultRowHeight="15" x14ac:dyDescent="0.25"/>
  <cols>
    <col min="1" max="1" width="3" customWidth="1"/>
    <col min="2" max="2" width="2" customWidth="1"/>
    <col min="3" max="4" width="25" customWidth="1"/>
    <col min="5" max="5" width="2" customWidth="1"/>
    <col min="6" max="7" width="25" customWidth="1"/>
    <col min="8" max="8" width="2" customWidth="1"/>
    <col min="9" max="9" width="25" customWidth="1"/>
    <col min="10" max="10" width="35" customWidth="1"/>
    <col min="11" max="11" width="25" customWidth="1"/>
    <col min="12" max="12" width="2" customWidth="1"/>
    <col min="13" max="13" width="12" customWidth="1"/>
  </cols>
  <sheetData>
    <row r="1" spans="1:19" ht="45" customHeight="1" x14ac:dyDescent="0.25">
      <c r="A1" s="78"/>
      <c r="B1" s="78"/>
      <c r="C1" s="110" t="s">
        <v>0</v>
      </c>
      <c r="D1" s="111"/>
      <c r="E1" s="111"/>
      <c r="F1" s="111"/>
      <c r="G1" s="111"/>
      <c r="H1" s="111"/>
      <c r="I1" s="111"/>
      <c r="J1" s="112"/>
      <c r="K1" s="78"/>
      <c r="L1" s="78"/>
      <c r="M1" s="78"/>
      <c r="N1" s="78"/>
      <c r="O1" s="78"/>
      <c r="P1" s="78"/>
      <c r="Q1" s="78"/>
      <c r="R1" s="78"/>
      <c r="S1" s="78"/>
    </row>
    <row r="2" spans="1:19" ht="24.95" customHeight="1" x14ac:dyDescent="0.25">
      <c r="A2" s="78"/>
      <c r="B2" s="78"/>
      <c r="C2" s="121" t="s">
        <v>1</v>
      </c>
      <c r="D2" s="114"/>
      <c r="E2" s="114"/>
      <c r="F2" s="114"/>
      <c r="G2" s="114"/>
      <c r="H2" s="114"/>
      <c r="I2" s="114"/>
      <c r="J2" s="114"/>
      <c r="K2" s="78"/>
      <c r="L2" s="78"/>
      <c r="M2" s="78"/>
      <c r="N2" s="78"/>
      <c r="O2" s="78"/>
      <c r="P2" s="78"/>
      <c r="Q2" s="78"/>
      <c r="R2" s="78"/>
      <c r="S2" s="78"/>
    </row>
    <row r="3" spans="1:19" ht="8.1" customHeight="1" x14ac:dyDescent="0.25">
      <c r="A3" s="78"/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</row>
    <row r="4" spans="1:19" ht="30" customHeight="1" x14ac:dyDescent="0.25">
      <c r="A4" s="78"/>
      <c r="B4" s="78"/>
      <c r="C4" s="107" t="s">
        <v>2</v>
      </c>
      <c r="D4" s="108"/>
      <c r="E4" s="108"/>
      <c r="F4" s="108"/>
      <c r="G4" s="108"/>
      <c r="H4" s="108"/>
      <c r="I4" s="108"/>
      <c r="J4" s="109"/>
      <c r="K4" s="78"/>
      <c r="L4" s="78"/>
      <c r="M4" s="78"/>
      <c r="N4" s="78"/>
      <c r="O4" s="78"/>
      <c r="P4" s="78"/>
      <c r="Q4" s="78"/>
      <c r="R4" s="78"/>
      <c r="S4" s="78"/>
    </row>
    <row r="5" spans="1:19" ht="21.95" customHeight="1" x14ac:dyDescent="0.25">
      <c r="A5" s="78"/>
      <c r="B5" s="78"/>
      <c r="C5" s="79" t="s">
        <v>3</v>
      </c>
      <c r="D5" s="79" t="s">
        <v>4</v>
      </c>
      <c r="E5" s="78"/>
      <c r="F5" s="79" t="s">
        <v>5</v>
      </c>
      <c r="G5" s="79" t="s">
        <v>6</v>
      </c>
      <c r="H5" s="78"/>
      <c r="I5" s="78"/>
      <c r="J5" s="78"/>
      <c r="K5" s="125" t="s">
        <v>7</v>
      </c>
      <c r="L5" s="111"/>
      <c r="M5" s="112"/>
      <c r="N5" s="78"/>
      <c r="O5" s="78"/>
      <c r="P5" s="78"/>
      <c r="Q5" s="78"/>
      <c r="R5" s="78"/>
      <c r="S5" s="78"/>
    </row>
    <row r="6" spans="1:19" ht="21.95" customHeight="1" x14ac:dyDescent="0.25">
      <c r="A6" s="78"/>
      <c r="B6" s="78"/>
      <c r="C6" s="79" t="s">
        <v>8</v>
      </c>
      <c r="D6" s="79" t="s">
        <v>9</v>
      </c>
      <c r="E6" s="78"/>
      <c r="F6" s="79" t="s">
        <v>10</v>
      </c>
      <c r="G6" s="79" t="s">
        <v>11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</row>
    <row r="7" spans="1:19" ht="21.95" customHeight="1" x14ac:dyDescent="0.25">
      <c r="A7" s="78"/>
      <c r="B7" s="78"/>
      <c r="C7" s="79" t="s">
        <v>12</v>
      </c>
      <c r="D7" s="79" t="s">
        <v>13</v>
      </c>
      <c r="E7" s="78"/>
      <c r="F7" s="79" t="s">
        <v>14</v>
      </c>
      <c r="G7" s="79" t="s">
        <v>15</v>
      </c>
      <c r="H7" s="78"/>
      <c r="I7" s="78"/>
      <c r="J7" s="78"/>
      <c r="K7" s="84" t="s">
        <v>16</v>
      </c>
      <c r="L7" s="78"/>
      <c r="M7" s="85">
        <f>COUNTA(Activos!A4:A1000)</f>
        <v>3</v>
      </c>
      <c r="N7" s="78"/>
      <c r="O7" s="78"/>
      <c r="P7" s="78"/>
      <c r="Q7" s="78"/>
      <c r="R7" s="78"/>
      <c r="S7" s="78"/>
    </row>
    <row r="8" spans="1:19" ht="21.95" customHeight="1" x14ac:dyDescent="0.25">
      <c r="A8" s="78"/>
      <c r="B8" s="78"/>
      <c r="C8" s="79" t="s">
        <v>17</v>
      </c>
      <c r="D8" s="79" t="s">
        <v>18</v>
      </c>
      <c r="E8" s="78"/>
      <c r="F8" s="79" t="s">
        <v>19</v>
      </c>
      <c r="G8" s="79" t="s">
        <v>20</v>
      </c>
      <c r="H8" s="78"/>
      <c r="I8" s="78"/>
      <c r="J8" s="78"/>
      <c r="K8" s="86" t="s">
        <v>21</v>
      </c>
      <c r="L8" s="78"/>
      <c r="M8" s="87">
        <f>COUNTIF(Activos!I4:I1000,"CRITICA")+COUNTIF(Activos!I4:I1000,"CRÍTICA")</f>
        <v>3</v>
      </c>
      <c r="N8" s="78"/>
      <c r="O8" s="78"/>
      <c r="P8" s="78"/>
      <c r="Q8" s="78"/>
      <c r="R8" s="78"/>
      <c r="S8" s="78"/>
    </row>
    <row r="9" spans="1:19" ht="21.95" customHeight="1" x14ac:dyDescent="0.25">
      <c r="A9" s="78"/>
      <c r="B9" s="78"/>
      <c r="C9" s="79" t="s">
        <v>22</v>
      </c>
      <c r="D9" s="79" t="s">
        <v>23</v>
      </c>
      <c r="E9" s="78"/>
      <c r="F9" s="79" t="s">
        <v>24</v>
      </c>
      <c r="G9" s="79" t="s">
        <v>25</v>
      </c>
      <c r="H9" s="78"/>
      <c r="I9" s="78"/>
      <c r="J9" s="78"/>
      <c r="K9" s="88" t="s">
        <v>26</v>
      </c>
      <c r="L9" s="78"/>
      <c r="M9" s="89">
        <f>COUNTA(Matriz_Riesgos!A4:A1000)</f>
        <v>8</v>
      </c>
      <c r="N9" s="78"/>
      <c r="O9" s="78"/>
      <c r="P9" s="78"/>
      <c r="Q9" s="78"/>
      <c r="R9" s="78"/>
      <c r="S9" s="78"/>
    </row>
    <row r="10" spans="1:19" ht="21.95" customHeight="1" x14ac:dyDescent="0.25">
      <c r="A10" s="78"/>
      <c r="B10" s="78"/>
      <c r="C10" s="79" t="s">
        <v>27</v>
      </c>
      <c r="D10" s="79" t="s">
        <v>28</v>
      </c>
      <c r="E10" s="78"/>
      <c r="F10" s="79" t="s">
        <v>29</v>
      </c>
      <c r="G10" s="78"/>
      <c r="H10" s="78"/>
      <c r="I10" s="78"/>
      <c r="J10" s="78"/>
      <c r="K10" s="86" t="s">
        <v>30</v>
      </c>
      <c r="L10" s="78"/>
      <c r="M10" s="87">
        <f>COUNTIF(Matriz_Riesgos!J4:J1000,"CRITICO")+COUNTIF(Matriz_Riesgos!J4:J1000,"CRÍTICO")</f>
        <v>0</v>
      </c>
      <c r="N10" s="78"/>
      <c r="O10" s="78"/>
      <c r="P10" s="78"/>
      <c r="Q10" s="78"/>
      <c r="R10" s="78"/>
      <c r="S10" s="78"/>
    </row>
    <row r="11" spans="1:19" ht="23.25" customHeight="1" x14ac:dyDescent="0.25">
      <c r="A11" s="78" t="s">
        <v>1009</v>
      </c>
      <c r="B11" s="78"/>
      <c r="C11" s="78"/>
      <c r="D11" s="78"/>
      <c r="E11" s="78"/>
      <c r="F11" s="78"/>
      <c r="G11" s="78"/>
      <c r="H11" s="78"/>
      <c r="I11" s="78"/>
      <c r="J11" s="78"/>
      <c r="K11" s="90" t="s">
        <v>31</v>
      </c>
      <c r="L11" s="78"/>
      <c r="M11" s="91">
        <f>COUNTA(Plan_Tratamiento!A4:A1000)</f>
        <v>8</v>
      </c>
      <c r="N11" s="78"/>
      <c r="O11" s="78"/>
      <c r="P11" s="78"/>
      <c r="Q11" s="78"/>
      <c r="R11" s="78"/>
      <c r="S11" s="78"/>
    </row>
    <row r="12" spans="1:19" ht="27.95" customHeight="1" x14ac:dyDescent="0.25">
      <c r="A12" s="78"/>
      <c r="B12" s="78"/>
      <c r="C12" s="115" t="s">
        <v>32</v>
      </c>
      <c r="D12" s="116"/>
      <c r="E12" s="116"/>
      <c r="F12" s="116"/>
      <c r="G12" s="116"/>
      <c r="H12" s="116"/>
      <c r="I12" s="116"/>
      <c r="J12" s="117"/>
      <c r="K12" s="92" t="s">
        <v>33</v>
      </c>
      <c r="L12" s="78"/>
      <c r="M12" s="93">
        <f>COUNTIF(Plan_Tratamiento!I4:I1000,"En Progreso")</f>
        <v>0</v>
      </c>
      <c r="N12" s="78"/>
      <c r="O12" s="78"/>
      <c r="P12" s="78"/>
      <c r="Q12" s="78"/>
      <c r="R12" s="78"/>
      <c r="S12" s="78"/>
    </row>
    <row r="13" spans="1:19" ht="21.95" customHeight="1" x14ac:dyDescent="0.25">
      <c r="A13" s="78"/>
      <c r="B13" s="78"/>
      <c r="C13" s="78"/>
      <c r="D13" s="78"/>
      <c r="E13" s="78"/>
      <c r="F13" s="78"/>
      <c r="G13" s="78"/>
      <c r="H13" s="78"/>
      <c r="I13" s="94" t="s">
        <v>34</v>
      </c>
      <c r="J13" s="80" t="s">
        <v>35</v>
      </c>
      <c r="K13" s="78"/>
      <c r="L13" s="78"/>
      <c r="M13" s="78"/>
      <c r="N13" s="78"/>
      <c r="O13" s="78"/>
      <c r="P13" s="78"/>
      <c r="Q13" s="78"/>
      <c r="R13" s="78"/>
      <c r="S13" s="78"/>
    </row>
    <row r="14" spans="1:19" ht="21.95" customHeight="1" x14ac:dyDescent="0.25">
      <c r="A14" s="78"/>
      <c r="B14" s="78"/>
      <c r="C14" s="78"/>
      <c r="D14" s="78"/>
      <c r="E14" s="78"/>
      <c r="F14" s="78"/>
      <c r="G14" s="78"/>
      <c r="H14" s="78"/>
      <c r="I14" s="94" t="s">
        <v>36</v>
      </c>
      <c r="J14" s="80" t="s">
        <v>37</v>
      </c>
      <c r="K14" s="113" t="s">
        <v>38</v>
      </c>
      <c r="L14" s="114"/>
      <c r="M14" s="114"/>
      <c r="N14" s="78"/>
      <c r="O14" s="78"/>
      <c r="P14" s="78"/>
      <c r="Q14" s="78"/>
      <c r="R14" s="78"/>
      <c r="S14" s="78"/>
    </row>
    <row r="15" spans="1:19" ht="21.95" customHeight="1" x14ac:dyDescent="0.25">
      <c r="A15" s="78"/>
      <c r="B15" s="78"/>
      <c r="C15" s="78"/>
      <c r="D15" s="78"/>
      <c r="E15" s="78"/>
      <c r="F15" s="78"/>
      <c r="G15" s="78"/>
      <c r="H15" s="78"/>
      <c r="I15" s="94" t="s">
        <v>39</v>
      </c>
      <c r="J15" s="80" t="s">
        <v>40</v>
      </c>
      <c r="K15" s="78"/>
      <c r="L15" s="78"/>
      <c r="M15" s="78"/>
      <c r="N15" s="78"/>
      <c r="O15" s="78"/>
      <c r="P15" s="78"/>
      <c r="Q15" s="78"/>
      <c r="R15" s="78"/>
      <c r="S15" s="78"/>
    </row>
    <row r="16" spans="1:19" ht="21.95" customHeight="1" x14ac:dyDescent="0.25">
      <c r="A16" s="78"/>
      <c r="B16" s="78"/>
      <c r="C16" s="78"/>
      <c r="D16" s="78"/>
      <c r="E16" s="78"/>
      <c r="F16" s="78"/>
      <c r="G16" s="78"/>
      <c r="H16" s="78"/>
      <c r="I16" s="94" t="s">
        <v>41</v>
      </c>
      <c r="J16" s="80" t="s">
        <v>42</v>
      </c>
      <c r="K16" s="78"/>
      <c r="L16" s="78"/>
      <c r="M16" s="78"/>
      <c r="N16" s="78"/>
      <c r="O16" s="78"/>
      <c r="P16" s="78"/>
      <c r="Q16" s="78"/>
      <c r="R16" s="78"/>
      <c r="S16" s="78"/>
    </row>
    <row r="17" spans="1:19" ht="21.95" customHeight="1" x14ac:dyDescent="0.25">
      <c r="A17" s="78"/>
      <c r="B17" s="78"/>
      <c r="C17" s="78"/>
      <c r="D17" s="78"/>
      <c r="E17" s="78"/>
      <c r="F17" s="78"/>
      <c r="G17" s="78"/>
      <c r="H17" s="78"/>
      <c r="I17" s="94" t="s">
        <v>43</v>
      </c>
      <c r="J17" s="80" t="s">
        <v>44</v>
      </c>
      <c r="K17" s="78"/>
      <c r="L17" s="78"/>
      <c r="M17" s="78"/>
      <c r="N17" s="78"/>
      <c r="O17" s="78"/>
      <c r="P17" s="78"/>
      <c r="Q17" s="78"/>
      <c r="R17" s="78"/>
      <c r="S17" s="78"/>
    </row>
    <row r="18" spans="1:19" ht="21.95" customHeight="1" x14ac:dyDescent="0.25">
      <c r="A18" s="78"/>
      <c r="B18" s="78"/>
      <c r="C18" s="78"/>
      <c r="D18" s="78"/>
      <c r="E18" s="78"/>
      <c r="F18" s="78"/>
      <c r="G18" s="78"/>
      <c r="H18" s="78"/>
      <c r="I18" s="94" t="s">
        <v>45</v>
      </c>
      <c r="J18" s="80" t="s">
        <v>46</v>
      </c>
      <c r="K18" s="78"/>
      <c r="L18" s="78"/>
      <c r="M18" s="78"/>
      <c r="N18" s="78"/>
      <c r="O18" s="78"/>
      <c r="P18" s="78"/>
      <c r="Q18" s="78"/>
      <c r="R18" s="78"/>
      <c r="S18" s="78"/>
    </row>
    <row r="19" spans="1:19" ht="21.95" customHeight="1" x14ac:dyDescent="0.25">
      <c r="A19" s="78"/>
      <c r="B19" s="78"/>
      <c r="C19" s="78"/>
      <c r="D19" s="78"/>
      <c r="E19" s="78"/>
      <c r="F19" s="78"/>
      <c r="G19" s="78"/>
      <c r="H19" s="78"/>
      <c r="I19" s="94" t="s">
        <v>47</v>
      </c>
      <c r="J19" s="80" t="s">
        <v>48</v>
      </c>
      <c r="K19" s="78"/>
      <c r="L19" s="78"/>
      <c r="M19" s="78"/>
      <c r="N19" s="78"/>
      <c r="O19" s="78"/>
      <c r="P19" s="78"/>
      <c r="Q19" s="78"/>
      <c r="R19" s="78"/>
      <c r="S19" s="78"/>
    </row>
    <row r="20" spans="1:19" ht="5.0999999999999996" customHeight="1" x14ac:dyDescent="0.25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</row>
    <row r="21" spans="1:19" ht="27.95" customHeight="1" x14ac:dyDescent="0.25">
      <c r="A21" s="78"/>
      <c r="B21" s="78"/>
      <c r="C21" s="118" t="s">
        <v>49</v>
      </c>
      <c r="D21" s="119"/>
      <c r="E21" s="119"/>
      <c r="F21" s="119"/>
      <c r="G21" s="119"/>
      <c r="H21" s="119"/>
      <c r="I21" s="119"/>
      <c r="J21" s="120"/>
      <c r="K21" s="78"/>
      <c r="L21" s="78"/>
      <c r="M21" s="78"/>
      <c r="N21" s="78"/>
      <c r="O21" s="78"/>
      <c r="P21" s="78"/>
      <c r="Q21" s="78"/>
      <c r="R21" s="78"/>
      <c r="S21" s="78"/>
    </row>
    <row r="22" spans="1:19" ht="21.95" customHeight="1" x14ac:dyDescent="0.25">
      <c r="A22" s="78"/>
      <c r="B22" s="78"/>
      <c r="C22" s="78"/>
      <c r="D22" s="78"/>
      <c r="E22" s="78"/>
      <c r="F22" s="78"/>
      <c r="G22" s="78"/>
      <c r="H22" s="78"/>
      <c r="I22" s="95" t="s">
        <v>50</v>
      </c>
      <c r="J22" s="80" t="s">
        <v>51</v>
      </c>
      <c r="K22" s="78"/>
      <c r="L22" s="78"/>
      <c r="M22" s="78"/>
      <c r="N22" s="78"/>
      <c r="O22" s="78"/>
      <c r="P22" s="78"/>
      <c r="Q22" s="78"/>
      <c r="R22" s="78"/>
      <c r="S22" s="78"/>
    </row>
    <row r="23" spans="1:19" ht="21.95" customHeight="1" x14ac:dyDescent="0.25">
      <c r="A23" s="78"/>
      <c r="B23" s="78"/>
      <c r="C23" s="78"/>
      <c r="D23" s="78"/>
      <c r="E23" s="78"/>
      <c r="F23" s="78"/>
      <c r="G23" s="78"/>
      <c r="H23" s="78"/>
      <c r="I23" s="95" t="s">
        <v>52</v>
      </c>
      <c r="J23" s="80" t="s">
        <v>53</v>
      </c>
      <c r="K23" s="78"/>
      <c r="L23" s="78"/>
      <c r="M23" s="78"/>
      <c r="N23" s="78"/>
      <c r="O23" s="78"/>
      <c r="P23" s="78"/>
      <c r="Q23" s="78"/>
      <c r="R23" s="78"/>
      <c r="S23" s="78"/>
    </row>
    <row r="24" spans="1:19" ht="21.95" customHeight="1" x14ac:dyDescent="0.25">
      <c r="A24" s="78"/>
      <c r="B24" s="78"/>
      <c r="C24" s="78"/>
      <c r="D24" s="78"/>
      <c r="E24" s="78"/>
      <c r="F24" s="78"/>
      <c r="G24" s="78"/>
      <c r="H24" s="78"/>
      <c r="I24" s="95" t="s">
        <v>54</v>
      </c>
      <c r="J24" s="80" t="s">
        <v>55</v>
      </c>
      <c r="K24" s="78"/>
      <c r="L24" s="78"/>
      <c r="M24" s="78"/>
      <c r="N24" s="78"/>
      <c r="O24" s="78"/>
      <c r="P24" s="78"/>
      <c r="Q24" s="78"/>
      <c r="R24" s="78"/>
      <c r="S24" s="78"/>
    </row>
    <row r="25" spans="1:19" ht="21.95" customHeight="1" x14ac:dyDescent="0.25">
      <c r="A25" s="78"/>
      <c r="B25" s="78"/>
      <c r="C25" s="78"/>
      <c r="D25" s="78"/>
      <c r="E25" s="78"/>
      <c r="F25" s="78"/>
      <c r="G25" s="78"/>
      <c r="H25" s="78"/>
      <c r="I25" s="95" t="s">
        <v>56</v>
      </c>
      <c r="J25" s="80" t="s">
        <v>57</v>
      </c>
      <c r="K25" s="78"/>
      <c r="L25" s="78"/>
      <c r="M25" s="78"/>
      <c r="N25" s="78"/>
      <c r="O25" s="78"/>
      <c r="P25" s="78"/>
      <c r="Q25" s="78"/>
      <c r="R25" s="78"/>
      <c r="S25" s="78"/>
    </row>
    <row r="26" spans="1:19" ht="21.95" customHeight="1" x14ac:dyDescent="0.25">
      <c r="A26" s="78"/>
      <c r="B26" s="78"/>
      <c r="C26" s="78"/>
      <c r="D26" s="78"/>
      <c r="E26" s="78"/>
      <c r="F26" s="78"/>
      <c r="G26" s="78"/>
      <c r="H26" s="78"/>
      <c r="I26" s="95" t="s">
        <v>58</v>
      </c>
      <c r="J26" s="80" t="s">
        <v>59</v>
      </c>
      <c r="K26" s="78"/>
      <c r="L26" s="78"/>
      <c r="M26" s="78"/>
      <c r="N26" s="78"/>
      <c r="O26" s="78"/>
      <c r="P26" s="78"/>
      <c r="Q26" s="78"/>
      <c r="R26" s="78"/>
      <c r="S26" s="78"/>
    </row>
    <row r="27" spans="1:19" ht="5.0999999999999996" customHeight="1" x14ac:dyDescent="0.25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</row>
    <row r="28" spans="1:19" ht="27.95" customHeight="1" x14ac:dyDescent="0.25">
      <c r="A28" s="78"/>
      <c r="B28" s="78"/>
      <c r="C28" s="126" t="s">
        <v>60</v>
      </c>
      <c r="D28" s="127"/>
      <c r="E28" s="127"/>
      <c r="F28" s="127"/>
      <c r="G28" s="127"/>
      <c r="H28" s="127"/>
      <c r="I28" s="127"/>
      <c r="J28" s="128"/>
      <c r="K28" s="78"/>
      <c r="L28" s="78"/>
      <c r="M28" s="78"/>
      <c r="N28" s="78"/>
      <c r="O28" s="78"/>
      <c r="P28" s="78"/>
      <c r="Q28" s="78"/>
      <c r="R28" s="78"/>
      <c r="S28" s="78"/>
    </row>
    <row r="29" spans="1:19" ht="21.95" customHeight="1" x14ac:dyDescent="0.25">
      <c r="A29" s="78"/>
      <c r="B29" s="78"/>
      <c r="C29" s="78"/>
      <c r="D29" s="78"/>
      <c r="E29" s="78"/>
      <c r="F29" s="78"/>
      <c r="G29" s="78"/>
      <c r="H29" s="78"/>
      <c r="I29" s="106" t="s">
        <v>61</v>
      </c>
      <c r="J29" s="80" t="s">
        <v>62</v>
      </c>
      <c r="K29" s="78"/>
      <c r="L29" s="78"/>
      <c r="M29" s="78"/>
      <c r="N29" s="78"/>
      <c r="O29" s="78"/>
      <c r="P29" s="78"/>
      <c r="Q29" s="78"/>
      <c r="R29" s="78"/>
      <c r="S29" s="78"/>
    </row>
    <row r="30" spans="1:19" ht="21.95" customHeight="1" x14ac:dyDescent="0.25">
      <c r="A30" s="78"/>
      <c r="B30" s="78"/>
      <c r="C30" s="78"/>
      <c r="D30" s="78"/>
      <c r="E30" s="78"/>
      <c r="F30" s="78"/>
      <c r="G30" s="78"/>
      <c r="H30" s="78"/>
      <c r="I30" s="106" t="s">
        <v>63</v>
      </c>
      <c r="J30" s="80" t="s">
        <v>64</v>
      </c>
      <c r="K30" s="78"/>
      <c r="L30" s="78"/>
      <c r="M30" s="78"/>
      <c r="N30" s="78"/>
      <c r="O30" s="78"/>
      <c r="P30" s="78"/>
      <c r="Q30" s="78"/>
      <c r="R30" s="78"/>
      <c r="S30" s="78"/>
    </row>
    <row r="31" spans="1:19" ht="21.95" customHeight="1" x14ac:dyDescent="0.25">
      <c r="A31" s="78"/>
      <c r="B31" s="78"/>
      <c r="C31" s="78"/>
      <c r="D31" s="78"/>
      <c r="E31" s="78"/>
      <c r="F31" s="78"/>
      <c r="G31" s="78"/>
      <c r="H31" s="78"/>
      <c r="I31" s="106" t="s">
        <v>65</v>
      </c>
      <c r="J31" s="80" t="s">
        <v>66</v>
      </c>
      <c r="K31" s="78"/>
      <c r="L31" s="78"/>
      <c r="M31" s="78"/>
      <c r="N31" s="78"/>
      <c r="O31" s="78"/>
      <c r="P31" s="78"/>
      <c r="Q31" s="78"/>
      <c r="R31" s="78"/>
      <c r="S31" s="78"/>
    </row>
    <row r="32" spans="1:19" ht="5.0999999999999996" customHeight="1" x14ac:dyDescent="0.25">
      <c r="A32" s="78" t="s">
        <v>67</v>
      </c>
      <c r="B32" s="78"/>
      <c r="C32" s="78" t="s">
        <v>68</v>
      </c>
      <c r="D32" s="78"/>
      <c r="E32" s="78" t="s">
        <v>69</v>
      </c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</row>
    <row r="33" spans="1:19" ht="27.95" customHeight="1" x14ac:dyDescent="0.25">
      <c r="A33" s="78"/>
      <c r="B33" s="78"/>
      <c r="C33" s="97" t="s">
        <v>70</v>
      </c>
      <c r="D33" s="98"/>
      <c r="E33" s="98"/>
      <c r="F33" s="98"/>
      <c r="G33" s="98"/>
      <c r="H33" s="98"/>
      <c r="I33" s="98"/>
      <c r="J33" s="99"/>
      <c r="K33" s="78"/>
      <c r="L33" s="78"/>
      <c r="M33" s="78"/>
      <c r="N33" s="78"/>
      <c r="O33" s="78"/>
      <c r="P33" s="78"/>
      <c r="Q33" s="78"/>
      <c r="R33" s="78"/>
      <c r="S33" s="78"/>
    </row>
    <row r="34" spans="1:19" ht="21.95" customHeight="1" x14ac:dyDescent="0.25">
      <c r="A34" s="78"/>
      <c r="B34" s="78"/>
      <c r="C34" s="78"/>
      <c r="D34" s="78"/>
      <c r="E34" s="78"/>
      <c r="F34" s="78"/>
      <c r="G34" s="78"/>
      <c r="H34" s="78"/>
      <c r="I34" s="96" t="s">
        <v>71</v>
      </c>
      <c r="J34" s="80" t="s">
        <v>72</v>
      </c>
      <c r="K34" s="78"/>
      <c r="L34" s="78"/>
      <c r="M34" s="78"/>
      <c r="N34" s="78"/>
      <c r="O34" s="78"/>
      <c r="P34" s="78"/>
      <c r="Q34" s="78"/>
      <c r="R34" s="78"/>
      <c r="S34" s="78"/>
    </row>
    <row r="35" spans="1:19" ht="21.95" customHeight="1" x14ac:dyDescent="0.25">
      <c r="A35" s="78"/>
      <c r="B35" s="78"/>
      <c r="C35" s="78"/>
      <c r="D35" s="78"/>
      <c r="E35" s="78"/>
      <c r="F35" s="78"/>
      <c r="G35" s="78"/>
      <c r="H35" s="78"/>
      <c r="I35" s="96" t="s">
        <v>73</v>
      </c>
      <c r="J35" s="80" t="s">
        <v>74</v>
      </c>
      <c r="K35" s="78"/>
      <c r="L35" s="78"/>
      <c r="M35" s="78"/>
      <c r="N35" s="78"/>
      <c r="O35" s="78"/>
      <c r="P35" s="78"/>
      <c r="Q35" s="78"/>
      <c r="R35" s="78"/>
      <c r="S35" s="78"/>
    </row>
    <row r="36" spans="1:19" ht="21.95" customHeight="1" x14ac:dyDescent="0.25">
      <c r="A36" s="78"/>
      <c r="B36" s="78"/>
      <c r="C36" s="78"/>
      <c r="D36" s="78"/>
      <c r="E36" s="78"/>
      <c r="F36" s="78"/>
      <c r="G36" s="78"/>
      <c r="H36" s="78"/>
      <c r="I36" s="96" t="s">
        <v>75</v>
      </c>
      <c r="J36" s="80" t="s">
        <v>76</v>
      </c>
      <c r="K36" s="78"/>
      <c r="L36" s="78"/>
      <c r="M36" s="78"/>
      <c r="N36" s="78"/>
      <c r="O36" s="78"/>
      <c r="P36" s="78"/>
      <c r="Q36" s="78"/>
      <c r="R36" s="78"/>
      <c r="S36" s="78"/>
    </row>
    <row r="37" spans="1:19" ht="21.95" customHeight="1" x14ac:dyDescent="0.25">
      <c r="A37" s="78"/>
      <c r="B37" s="78"/>
      <c r="C37" s="78"/>
      <c r="D37" s="78"/>
      <c r="E37" s="78"/>
      <c r="F37" s="78"/>
      <c r="G37" s="78"/>
      <c r="H37" s="78"/>
      <c r="I37" s="96" t="s">
        <v>77</v>
      </c>
      <c r="J37" s="80" t="s">
        <v>78</v>
      </c>
      <c r="K37" s="78"/>
      <c r="L37" s="78"/>
      <c r="M37" s="78"/>
      <c r="N37" s="78"/>
      <c r="O37" s="78"/>
      <c r="P37" s="78"/>
      <c r="Q37" s="78"/>
      <c r="R37" s="78"/>
      <c r="S37" s="78"/>
    </row>
    <row r="38" spans="1:19" ht="5.0999999999999996" customHeight="1" x14ac:dyDescent="0.25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</row>
    <row r="39" spans="1:19" ht="27.95" customHeight="1" x14ac:dyDescent="0.25">
      <c r="A39" s="78"/>
      <c r="B39" s="78"/>
      <c r="C39" s="122" t="s">
        <v>79</v>
      </c>
      <c r="D39" s="123"/>
      <c r="E39" s="123"/>
      <c r="F39" s="123"/>
      <c r="G39" s="123"/>
      <c r="H39" s="123"/>
      <c r="I39" s="123"/>
      <c r="J39" s="124"/>
      <c r="K39" s="78"/>
      <c r="L39" s="78"/>
      <c r="M39" s="78"/>
      <c r="N39" s="78"/>
      <c r="O39" s="78"/>
      <c r="P39" s="78"/>
      <c r="Q39" s="78"/>
      <c r="R39" s="78"/>
      <c r="S39" s="78"/>
    </row>
    <row r="40" spans="1:19" ht="21.95" customHeight="1" x14ac:dyDescent="0.25">
      <c r="A40" s="78"/>
      <c r="B40" s="78"/>
      <c r="C40" s="103" t="s">
        <v>80</v>
      </c>
      <c r="D40" s="104"/>
      <c r="E40" s="105"/>
      <c r="F40" s="78"/>
      <c r="G40" s="103" t="s">
        <v>81</v>
      </c>
      <c r="H40" s="104"/>
      <c r="I40" s="104"/>
      <c r="J40" s="105"/>
      <c r="K40" s="78"/>
      <c r="L40" s="78"/>
      <c r="M40" s="78"/>
      <c r="N40" s="78"/>
      <c r="O40" s="78"/>
      <c r="P40" s="78"/>
      <c r="Q40" s="78"/>
      <c r="R40" s="78"/>
      <c r="S40" s="78"/>
    </row>
    <row r="41" spans="1:19" ht="8.1" customHeight="1" x14ac:dyDescent="0.25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</row>
    <row r="42" spans="1:19" ht="30" customHeight="1" x14ac:dyDescent="0.25">
      <c r="A42" s="78"/>
      <c r="B42" s="78"/>
      <c r="C42" s="100" t="s">
        <v>82</v>
      </c>
      <c r="D42" s="101"/>
      <c r="E42" s="101"/>
      <c r="F42" s="101"/>
      <c r="G42" s="101"/>
      <c r="H42" s="101"/>
      <c r="I42" s="101"/>
      <c r="J42" s="102"/>
      <c r="K42" s="78"/>
      <c r="L42" s="78"/>
      <c r="M42" s="78"/>
      <c r="N42" s="78"/>
      <c r="O42" s="78"/>
      <c r="P42" s="78"/>
      <c r="Q42" s="78"/>
      <c r="R42" s="78"/>
      <c r="S42" s="78"/>
    </row>
    <row r="43" spans="1:19" x14ac:dyDescent="0.25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</row>
    <row r="44" spans="1:19" x14ac:dyDescent="0.25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</row>
    <row r="45" spans="1:19" x14ac:dyDescent="0.25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</row>
    <row r="46" spans="1:19" x14ac:dyDescent="0.25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</row>
    <row r="47" spans="1:19" x14ac:dyDescent="0.25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</row>
    <row r="48" spans="1:19" x14ac:dyDescent="0.25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</row>
    <row r="49" spans="1:19" x14ac:dyDescent="0.25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</row>
    <row r="50" spans="1:19" x14ac:dyDescent="0.25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</row>
  </sheetData>
  <mergeCells count="32">
    <mergeCell ref="C1:J1"/>
    <mergeCell ref="K14:M14"/>
    <mergeCell ref="I30"/>
    <mergeCell ref="I15"/>
    <mergeCell ref="I36"/>
    <mergeCell ref="C12:J12"/>
    <mergeCell ref="C21:J21"/>
    <mergeCell ref="I26"/>
    <mergeCell ref="C2:J2"/>
    <mergeCell ref="I25"/>
    <mergeCell ref="I16"/>
    <mergeCell ref="I22"/>
    <mergeCell ref="I18"/>
    <mergeCell ref="K5:M5"/>
    <mergeCell ref="C28:J28"/>
    <mergeCell ref="I24"/>
    <mergeCell ref="I13"/>
    <mergeCell ref="C4:J4"/>
    <mergeCell ref="G40:J40"/>
    <mergeCell ref="I31"/>
    <mergeCell ref="I34"/>
    <mergeCell ref="C39:J39"/>
    <mergeCell ref="I37"/>
    <mergeCell ref="I14"/>
    <mergeCell ref="I17"/>
    <mergeCell ref="I23"/>
    <mergeCell ref="I35"/>
    <mergeCell ref="C33:J33"/>
    <mergeCell ref="C42:J42"/>
    <mergeCell ref="C40:E40"/>
    <mergeCell ref="I29"/>
    <mergeCell ref="I19"/>
  </mergeCells>
  <hyperlinks>
    <hyperlink ref="C5" location="'Inventario_Activos'!A1" display="📦 Inventario de Activos" xr:uid="{00000000-0004-0000-0000-000000000000}"/>
    <hyperlink ref="D5" location="'Clasificacion_Activos'!A1" display="🏷️ Clasificación de Activos" xr:uid="{00000000-0004-0000-0000-000001000000}"/>
    <hyperlink ref="F5" location="'Valoracion_Activos'!A1" display="💰 Valoración de Activos" xr:uid="{00000000-0004-0000-0000-000002000000}"/>
    <hyperlink ref="G5" location="'Identificacion_Riesgos'!A1" display="⚠️ Identificación de Riesgos" xr:uid="{00000000-0004-0000-0000-000003000000}"/>
    <hyperlink ref="C6" location="'Analisis_Riesgos'!A1" display="📊 Análisis de Riesgos" xr:uid="{00000000-0004-0000-0000-000004000000}"/>
    <hyperlink ref="D6" location="'Evaluacion_Riesgos'!A1" display="🎯 Evaluación de Riesgos" xr:uid="{00000000-0004-0000-0000-000005000000}"/>
    <hyperlink ref="F6" location="'Plan_Tratamiento'!A1" display="🛡️ Plan de Tratamiento" xr:uid="{00000000-0004-0000-0000-000006000000}"/>
    <hyperlink ref="G6" location="'Seguimiento_Tratamiento'!A1" display="📈 Seguimiento Tratamiento" xr:uid="{00000000-0004-0000-0000-000007000000}"/>
    <hyperlink ref="C7" location="'Controles_Implementados'!A1" display="✅ Controles Implementados" xr:uid="{00000000-0004-0000-0000-000008000000}"/>
    <hyperlink ref="D7" location="'Declaracion_Aplicabilidad'!A1" display="📋 Declaración Aplicabilidad" xr:uid="{00000000-0004-0000-0000-000009000000}"/>
    <hyperlink ref="F7" location="'Politicas_Seguridad'!A1" display="📜 Políticas de Seguridad" xr:uid="{00000000-0004-0000-0000-00000A000000}"/>
    <hyperlink ref="G7" location="'Procedimientos_Operativos'!A1" display="⚙️ Procedimientos Operativos" xr:uid="{00000000-0004-0000-0000-00000B000000}"/>
    <hyperlink ref="C8" location="'Roles_Responsabilidades'!A1" display="👥 Roles y Responsabilidades" xr:uid="{00000000-0004-0000-0000-00000C000000}"/>
    <hyperlink ref="D8" location="'Indicadores_Desempeno'!A1" display="📊 Indicadores KPI" xr:uid="{00000000-0004-0000-0000-00000D000000}"/>
    <hyperlink ref="F8" location="'Auditoria_Interna'!A1" display="🔍 Auditoría Interna" xr:uid="{00000000-0004-0000-0000-00000E000000}"/>
    <hyperlink ref="G8" location="'Revision_Direccion'!A1" display="👔 Revisión Dirección" xr:uid="{00000000-0004-0000-0000-00000F000000}"/>
    <hyperlink ref="C9" location="'Incidentes_Seguridad'!A1" display="🚨 Incidentes de Seguridad" xr:uid="{00000000-0004-0000-0000-000010000000}"/>
    <hyperlink ref="D9" location="'Gestion_Cambios'!A1" display="🔄 Gestión de Cambios" xr:uid="{00000000-0004-0000-0000-000011000000}"/>
    <hyperlink ref="F9" location="'Capacitacion'!A1" display="🎓 Capacitación" xr:uid="{00000000-0004-0000-0000-000012000000}"/>
    <hyperlink ref="G9" location="'Cumplimiento_Legal'!A1" display="⚖️ Cumplimiento Legal" xr:uid="{00000000-0004-0000-0000-000013000000}"/>
    <hyperlink ref="C10" location="'Mejora_Continua'!A1" display="♻️ Mejora Continua" xr:uid="{00000000-0004-0000-0000-000014000000}"/>
    <hyperlink ref="D10" location="'Dashboard_Ejecutivo'!A1" display="📊 Dashboard Ejecutivo" xr:uid="{00000000-0004-0000-0000-000015000000}"/>
    <hyperlink ref="F10" location="'Instrucciones'!A1" display="📖 Instrucciones" xr:uid="{00000000-0004-0000-0000-000016000000}"/>
    <hyperlink ref="I22" location="Dashboard!A1" display="#Dashboard!A1" xr:uid="{00000000-0004-0000-0000-000017000000}"/>
    <hyperlink ref="A32" location="Instrucciones!A1" display="▶ Botón:" xr:uid="{00000000-0004-0000-0000-000018000000}"/>
    <hyperlink ref="C32" location="Control_Documentos!A1" display="#Control_Documentos!A1" xr:uid="{00000000-0004-0000-0000-000019000000}"/>
    <hyperlink ref="E32" location="NDA_Proveedores!A1" display="Verifica integridad de fórmulas y enlaces entre hojas (mantenimiento trimestral)." xr:uid="{00000000-0004-0000-0000-00001A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2E75B5"/>
  </sheetPr>
  <dimension ref="A1:K5"/>
  <sheetViews>
    <sheetView showGridLines="0" workbookViewId="0">
      <selection sqref="A1:K1"/>
    </sheetView>
  </sheetViews>
  <sheetFormatPr baseColWidth="10" defaultColWidth="9.140625" defaultRowHeight="15" x14ac:dyDescent="0.25"/>
  <cols>
    <col min="1" max="1" width="14" customWidth="1"/>
    <col min="2" max="2" width="30" customWidth="1"/>
    <col min="3" max="3" width="15" customWidth="1"/>
    <col min="4" max="4" width="8" customWidth="1"/>
    <col min="5" max="7" width="12" customWidth="1"/>
    <col min="8" max="8" width="10" customWidth="1"/>
    <col min="9" max="9" width="25" customWidth="1"/>
    <col min="10" max="10" width="12" customWidth="1"/>
    <col min="11" max="11" width="22" customWidth="1"/>
  </cols>
  <sheetData>
    <row r="1" spans="1:11" ht="24.95" customHeight="1" x14ac:dyDescent="0.25">
      <c r="A1" s="129" t="s">
        <v>83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3" spans="1:11" ht="30" customHeight="1" x14ac:dyDescent="0.25">
      <c r="A3" s="53" t="s">
        <v>84</v>
      </c>
      <c r="B3" s="53" t="s">
        <v>85</v>
      </c>
      <c r="C3" s="53" t="s">
        <v>86</v>
      </c>
      <c r="D3" s="53" t="s">
        <v>87</v>
      </c>
      <c r="E3" s="53" t="s">
        <v>88</v>
      </c>
      <c r="F3" s="53" t="s">
        <v>89</v>
      </c>
      <c r="G3" s="53" t="s">
        <v>90</v>
      </c>
      <c r="H3" s="53" t="s">
        <v>91</v>
      </c>
      <c r="I3" s="53" t="s">
        <v>92</v>
      </c>
      <c r="J3" s="53" t="s">
        <v>93</v>
      </c>
      <c r="K3" s="53" t="s">
        <v>94</v>
      </c>
    </row>
    <row r="4" spans="1:11" x14ac:dyDescent="0.25">
      <c r="A4" s="20" t="s">
        <v>95</v>
      </c>
      <c r="B4" s="47" t="s">
        <v>96</v>
      </c>
      <c r="C4" s="20" t="s">
        <v>97</v>
      </c>
      <c r="D4" s="20" t="s">
        <v>98</v>
      </c>
      <c r="E4" s="47" t="s">
        <v>99</v>
      </c>
      <c r="F4" s="47" t="s">
        <v>100</v>
      </c>
      <c r="G4" s="47" t="s">
        <v>101</v>
      </c>
      <c r="H4" s="20" t="s">
        <v>102</v>
      </c>
      <c r="I4" s="47" t="s">
        <v>103</v>
      </c>
      <c r="J4" s="47" t="s">
        <v>104</v>
      </c>
      <c r="K4" s="47" t="s">
        <v>105</v>
      </c>
    </row>
    <row r="5" spans="1:11" ht="30" customHeight="1" x14ac:dyDescent="0.25">
      <c r="A5" s="20" t="s">
        <v>106</v>
      </c>
      <c r="B5" s="47" t="s">
        <v>107</v>
      </c>
      <c r="C5" s="20" t="s">
        <v>108</v>
      </c>
      <c r="D5" s="20" t="s">
        <v>109</v>
      </c>
      <c r="E5" s="47" t="s">
        <v>110</v>
      </c>
      <c r="F5" s="47" t="s">
        <v>111</v>
      </c>
      <c r="G5" s="47" t="s">
        <v>100</v>
      </c>
      <c r="H5" s="20" t="s">
        <v>102</v>
      </c>
      <c r="I5" s="47" t="s">
        <v>112</v>
      </c>
      <c r="J5" s="47" t="s">
        <v>113</v>
      </c>
      <c r="K5" s="47" t="s">
        <v>114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4472C4"/>
  </sheetPr>
  <dimension ref="A5:F40"/>
  <sheetViews>
    <sheetView showGridLines="0" workbookViewId="0"/>
  </sheetViews>
  <sheetFormatPr baseColWidth="10" defaultColWidth="9.140625" defaultRowHeight="15" x14ac:dyDescent="0.25"/>
  <cols>
    <col min="1" max="6" width="18" customWidth="1"/>
  </cols>
  <sheetData>
    <row r="5" spans="1:6" x14ac:dyDescent="0.25">
      <c r="A5" s="131" t="s">
        <v>115</v>
      </c>
      <c r="B5" s="114"/>
      <c r="C5" s="114"/>
      <c r="D5" s="114"/>
      <c r="E5" s="114"/>
      <c r="F5" s="114"/>
    </row>
    <row r="6" spans="1:6" x14ac:dyDescent="0.25">
      <c r="A6" s="114"/>
      <c r="B6" s="114"/>
      <c r="C6" s="114"/>
      <c r="D6" s="114"/>
      <c r="E6" s="114"/>
      <c r="F6" s="114"/>
    </row>
    <row r="7" spans="1:6" x14ac:dyDescent="0.25">
      <c r="A7" s="114"/>
      <c r="B7" s="114"/>
      <c r="C7" s="114"/>
      <c r="D7" s="114"/>
      <c r="E7" s="114"/>
      <c r="F7" s="114"/>
    </row>
    <row r="8" spans="1:6" x14ac:dyDescent="0.25">
      <c r="A8" s="114"/>
      <c r="B8" s="114"/>
      <c r="C8" s="114"/>
      <c r="D8" s="114"/>
      <c r="E8" s="114"/>
      <c r="F8" s="114"/>
    </row>
    <row r="10" spans="1:6" x14ac:dyDescent="0.25">
      <c r="A10" s="132" t="s">
        <v>116</v>
      </c>
      <c r="B10" s="114"/>
      <c r="C10" s="114"/>
      <c r="D10" s="114"/>
      <c r="E10" s="114"/>
      <c r="F10" s="114"/>
    </row>
    <row r="11" spans="1:6" x14ac:dyDescent="0.25">
      <c r="A11" s="114"/>
      <c r="B11" s="114"/>
      <c r="C11" s="114"/>
      <c r="D11" s="114"/>
      <c r="E11" s="114"/>
      <c r="F11" s="114"/>
    </row>
    <row r="13" spans="1:6" ht="18.75" customHeight="1" x14ac:dyDescent="0.25">
      <c r="A13" s="133" t="s">
        <v>117</v>
      </c>
      <c r="B13" s="114"/>
      <c r="C13" s="114"/>
      <c r="D13" s="114"/>
      <c r="E13" s="114"/>
      <c r="F13" s="114"/>
    </row>
    <row r="18" spans="1:6" ht="21" customHeight="1" x14ac:dyDescent="0.25">
      <c r="A18" s="135" t="s">
        <v>118</v>
      </c>
      <c r="B18" s="114"/>
      <c r="C18" s="114"/>
      <c r="D18" s="114"/>
      <c r="E18" s="114"/>
      <c r="F18" s="114"/>
    </row>
    <row r="20" spans="1:6" ht="15.75" customHeight="1" x14ac:dyDescent="0.25">
      <c r="A20" s="136" t="s">
        <v>119</v>
      </c>
      <c r="B20" s="114"/>
      <c r="C20" s="114"/>
      <c r="D20" s="114"/>
      <c r="E20" s="114"/>
      <c r="F20" s="114"/>
    </row>
    <row r="25" spans="1:6" ht="18.75" customHeight="1" x14ac:dyDescent="0.25">
      <c r="A25" s="137" t="s">
        <v>120</v>
      </c>
      <c r="B25" s="114"/>
      <c r="C25" s="114"/>
      <c r="D25" s="114"/>
      <c r="E25" s="114"/>
      <c r="F25" s="114"/>
    </row>
    <row r="27" spans="1:6" x14ac:dyDescent="0.25">
      <c r="A27" s="130" t="s">
        <v>121</v>
      </c>
      <c r="B27" s="114"/>
      <c r="C27" s="114"/>
      <c r="D27" s="114"/>
      <c r="E27" s="114"/>
      <c r="F27" s="114"/>
    </row>
    <row r="28" spans="1:6" x14ac:dyDescent="0.25">
      <c r="A28" s="130" t="s">
        <v>122</v>
      </c>
      <c r="B28" s="114"/>
      <c r="C28" s="114"/>
      <c r="D28" s="114"/>
      <c r="E28" s="114"/>
      <c r="F28" s="114"/>
    </row>
    <row r="29" spans="1:6" x14ac:dyDescent="0.25">
      <c r="A29" s="130" t="s">
        <v>123</v>
      </c>
      <c r="B29" s="114"/>
      <c r="C29" s="114"/>
      <c r="D29" s="114"/>
      <c r="E29" s="114"/>
      <c r="F29" s="114"/>
    </row>
    <row r="30" spans="1:6" x14ac:dyDescent="0.25">
      <c r="A30" s="130" t="s">
        <v>124</v>
      </c>
      <c r="B30" s="114"/>
      <c r="C30" s="114"/>
      <c r="D30" s="114"/>
      <c r="E30" s="114"/>
      <c r="F30" s="114"/>
    </row>
    <row r="31" spans="1:6" x14ac:dyDescent="0.25">
      <c r="A31" s="130" t="s">
        <v>125</v>
      </c>
      <c r="B31" s="114"/>
      <c r="C31" s="114"/>
      <c r="D31" s="114"/>
      <c r="E31" s="114"/>
      <c r="F31" s="114"/>
    </row>
    <row r="32" spans="1:6" x14ac:dyDescent="0.25">
      <c r="A32" s="130" t="s">
        <v>126</v>
      </c>
      <c r="B32" s="114"/>
      <c r="C32" s="114"/>
      <c r="D32" s="114"/>
      <c r="E32" s="114"/>
      <c r="F32" s="114"/>
    </row>
    <row r="40" spans="1:6" x14ac:dyDescent="0.25">
      <c r="A40" s="134" t="s">
        <v>127</v>
      </c>
      <c r="B40" s="114"/>
      <c r="C40" s="114"/>
      <c r="D40" s="114"/>
      <c r="E40" s="114"/>
      <c r="F40" s="114"/>
    </row>
  </sheetData>
  <mergeCells count="13">
    <mergeCell ref="A40:F40"/>
    <mergeCell ref="A18:F18"/>
    <mergeCell ref="A20:F20"/>
    <mergeCell ref="A30:F30"/>
    <mergeCell ref="A29:F29"/>
    <mergeCell ref="A25:F25"/>
    <mergeCell ref="A28:F28"/>
    <mergeCell ref="A5:F8"/>
    <mergeCell ref="A10:F11"/>
    <mergeCell ref="A13:F13"/>
    <mergeCell ref="A32:F32"/>
    <mergeCell ref="A27:F27"/>
    <mergeCell ref="A31:F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C65911"/>
  </sheetPr>
  <dimension ref="A1:F23"/>
  <sheetViews>
    <sheetView showGridLines="0" workbookViewId="0"/>
  </sheetViews>
  <sheetFormatPr baseColWidth="10" defaultColWidth="9.140625" defaultRowHeight="15" x14ac:dyDescent="0.25"/>
  <cols>
    <col min="1" max="1" width="12" customWidth="1"/>
    <col min="2" max="2" width="35" customWidth="1"/>
    <col min="3" max="3" width="30" customWidth="1"/>
    <col min="4" max="4" width="8" customWidth="1"/>
    <col min="5" max="6" width="15" customWidth="1"/>
  </cols>
  <sheetData>
    <row r="1" spans="1:6" ht="24.95" customHeight="1" x14ac:dyDescent="0.25">
      <c r="A1" s="139" t="s">
        <v>128</v>
      </c>
      <c r="B1" s="114"/>
      <c r="C1" s="114"/>
      <c r="D1" s="114"/>
      <c r="E1" s="114"/>
      <c r="F1" s="114"/>
    </row>
    <row r="3" spans="1:6" ht="15.75" customHeight="1" x14ac:dyDescent="0.25">
      <c r="A3" s="138" t="s">
        <v>129</v>
      </c>
      <c r="B3" s="114"/>
      <c r="C3" s="114"/>
      <c r="D3" s="114"/>
      <c r="E3" s="114"/>
      <c r="F3" s="114"/>
    </row>
    <row r="5" spans="1:6" x14ac:dyDescent="0.25">
      <c r="A5" s="75" t="s">
        <v>130</v>
      </c>
      <c r="B5" s="75" t="s">
        <v>131</v>
      </c>
      <c r="C5" s="75" t="s">
        <v>132</v>
      </c>
      <c r="D5" s="75" t="s">
        <v>133</v>
      </c>
    </row>
    <row r="6" spans="1:6" x14ac:dyDescent="0.25">
      <c r="A6" s="20" t="s">
        <v>134</v>
      </c>
      <c r="B6" s="47" t="s">
        <v>135</v>
      </c>
      <c r="C6" s="47" t="s">
        <v>136</v>
      </c>
      <c r="D6" s="20" t="s">
        <v>137</v>
      </c>
    </row>
    <row r="7" spans="1:6" x14ac:dyDescent="0.25">
      <c r="A7" s="20" t="s">
        <v>138</v>
      </c>
      <c r="B7" s="47" t="s">
        <v>139</v>
      </c>
      <c r="C7" s="47" t="s">
        <v>140</v>
      </c>
      <c r="D7" s="20" t="s">
        <v>141</v>
      </c>
    </row>
    <row r="8" spans="1:6" x14ac:dyDescent="0.25">
      <c r="A8" s="20" t="s">
        <v>142</v>
      </c>
      <c r="B8" s="47" t="s">
        <v>143</v>
      </c>
      <c r="C8" s="47" t="s">
        <v>144</v>
      </c>
      <c r="D8" s="20" t="s">
        <v>145</v>
      </c>
    </row>
    <row r="9" spans="1:6" x14ac:dyDescent="0.25">
      <c r="A9" s="20" t="s">
        <v>146</v>
      </c>
      <c r="B9" s="47" t="s">
        <v>147</v>
      </c>
      <c r="C9" s="47" t="s">
        <v>148</v>
      </c>
      <c r="D9" s="20" t="s">
        <v>149</v>
      </c>
    </row>
    <row r="10" spans="1:6" x14ac:dyDescent="0.25">
      <c r="A10" s="20" t="s">
        <v>150</v>
      </c>
      <c r="B10" s="47" t="s">
        <v>151</v>
      </c>
      <c r="C10" s="47" t="s">
        <v>152</v>
      </c>
      <c r="D10" s="20" t="s">
        <v>153</v>
      </c>
    </row>
    <row r="13" spans="1:6" ht="15.75" customHeight="1" x14ac:dyDescent="0.25">
      <c r="A13" s="138" t="s">
        <v>154</v>
      </c>
      <c r="B13" s="114"/>
      <c r="C13" s="114"/>
      <c r="D13" s="114"/>
      <c r="E13" s="114"/>
      <c r="F13" s="114"/>
    </row>
    <row r="15" spans="1:6" x14ac:dyDescent="0.25">
      <c r="A15" s="75" t="s">
        <v>130</v>
      </c>
      <c r="B15" s="75" t="s">
        <v>131</v>
      </c>
      <c r="C15" s="75" t="s">
        <v>155</v>
      </c>
      <c r="D15" s="75" t="s">
        <v>133</v>
      </c>
    </row>
    <row r="16" spans="1:6" x14ac:dyDescent="0.25">
      <c r="A16" s="20" t="s">
        <v>156</v>
      </c>
      <c r="B16" s="47" t="s">
        <v>157</v>
      </c>
      <c r="C16" s="47" t="s">
        <v>158</v>
      </c>
      <c r="D16" s="20" t="s">
        <v>137</v>
      </c>
    </row>
    <row r="17" spans="1:6" x14ac:dyDescent="0.25">
      <c r="A17" s="20" t="s">
        <v>159</v>
      </c>
      <c r="B17" s="47" t="s">
        <v>160</v>
      </c>
      <c r="C17" s="47" t="s">
        <v>161</v>
      </c>
      <c r="D17" s="20" t="s">
        <v>141</v>
      </c>
    </row>
    <row r="18" spans="1:6" x14ac:dyDescent="0.25">
      <c r="A18" s="20" t="s">
        <v>162</v>
      </c>
      <c r="B18" s="47" t="s">
        <v>163</v>
      </c>
      <c r="C18" s="47" t="s">
        <v>164</v>
      </c>
      <c r="D18" s="20" t="s">
        <v>145</v>
      </c>
    </row>
    <row r="19" spans="1:6" x14ac:dyDescent="0.25">
      <c r="A19" s="20" t="s">
        <v>165</v>
      </c>
      <c r="B19" s="47" t="s">
        <v>166</v>
      </c>
      <c r="C19" s="47" t="s">
        <v>167</v>
      </c>
      <c r="D19" s="20" t="s">
        <v>149</v>
      </c>
    </row>
    <row r="20" spans="1:6" x14ac:dyDescent="0.25">
      <c r="A20" s="20" t="s">
        <v>168</v>
      </c>
      <c r="B20" s="47" t="s">
        <v>169</v>
      </c>
      <c r="C20" s="47" t="s">
        <v>170</v>
      </c>
      <c r="D20" s="20" t="s">
        <v>153</v>
      </c>
    </row>
    <row r="23" spans="1:6" x14ac:dyDescent="0.25">
      <c r="A23" s="140" t="s">
        <v>171</v>
      </c>
      <c r="B23" s="114"/>
      <c r="C23" s="114"/>
      <c r="D23" s="114"/>
      <c r="E23" s="114"/>
      <c r="F23" s="114"/>
    </row>
  </sheetData>
  <mergeCells count="4">
    <mergeCell ref="A3:F3"/>
    <mergeCell ref="A13:F13"/>
    <mergeCell ref="A1:F1"/>
    <mergeCell ref="A23:F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rgb="FF548235"/>
  </sheetPr>
  <dimension ref="A1:F5"/>
  <sheetViews>
    <sheetView showGridLines="0" workbookViewId="0"/>
  </sheetViews>
  <sheetFormatPr baseColWidth="10" defaultColWidth="9.140625" defaultRowHeight="15" x14ac:dyDescent="0.25"/>
  <sheetData>
    <row r="1" spans="1:6" ht="24.95" customHeight="1" x14ac:dyDescent="0.25">
      <c r="A1" s="142" t="s">
        <v>172</v>
      </c>
      <c r="B1" s="114"/>
      <c r="C1" s="114"/>
      <c r="D1" s="114"/>
      <c r="E1" s="114"/>
      <c r="F1" s="114"/>
    </row>
    <row r="3" spans="1:6" x14ac:dyDescent="0.25">
      <c r="A3" s="141" t="s">
        <v>173</v>
      </c>
      <c r="B3" s="114"/>
      <c r="C3" s="114"/>
      <c r="D3" s="114"/>
      <c r="E3" s="114"/>
      <c r="F3" s="114"/>
    </row>
    <row r="5" spans="1:6" x14ac:dyDescent="0.25">
      <c r="A5" s="143" t="s">
        <v>174</v>
      </c>
      <c r="B5" s="114"/>
      <c r="C5" s="114"/>
      <c r="D5" s="114"/>
      <c r="E5" s="114"/>
      <c r="F5" s="114"/>
    </row>
  </sheetData>
  <mergeCells count="3">
    <mergeCell ref="A3:F3"/>
    <mergeCell ref="A1:F1"/>
    <mergeCell ref="A5:F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rgb="FF7030A0"/>
  </sheetPr>
  <dimension ref="A1:F5"/>
  <sheetViews>
    <sheetView showGridLines="0" workbookViewId="0"/>
  </sheetViews>
  <sheetFormatPr baseColWidth="10" defaultColWidth="9.140625" defaultRowHeight="15" x14ac:dyDescent="0.25"/>
  <sheetData>
    <row r="1" spans="1:6" ht="24.95" customHeight="1" x14ac:dyDescent="0.25">
      <c r="A1" s="144" t="s">
        <v>175</v>
      </c>
      <c r="B1" s="114"/>
      <c r="C1" s="114"/>
      <c r="D1" s="114"/>
      <c r="E1" s="114"/>
      <c r="F1" s="114"/>
    </row>
    <row r="3" spans="1:6" x14ac:dyDescent="0.25">
      <c r="A3" s="141" t="s">
        <v>176</v>
      </c>
      <c r="B3" s="114"/>
      <c r="C3" s="114"/>
      <c r="D3" s="114"/>
      <c r="E3" s="114"/>
      <c r="F3" s="114"/>
    </row>
    <row r="5" spans="1:6" x14ac:dyDescent="0.25">
      <c r="A5" s="143" t="s">
        <v>174</v>
      </c>
      <c r="B5" s="114"/>
      <c r="C5" s="114"/>
      <c r="D5" s="114"/>
      <c r="E5" s="114"/>
      <c r="F5" s="114"/>
    </row>
  </sheetData>
  <mergeCells count="3">
    <mergeCell ref="A3:F3"/>
    <mergeCell ref="A1:F1"/>
    <mergeCell ref="A5:F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rgb="FF203764"/>
  </sheetPr>
  <dimension ref="A1:F5"/>
  <sheetViews>
    <sheetView showGridLines="0" workbookViewId="0"/>
  </sheetViews>
  <sheetFormatPr baseColWidth="10" defaultColWidth="9.140625" defaultRowHeight="15" x14ac:dyDescent="0.25"/>
  <sheetData>
    <row r="1" spans="1:6" ht="24.95" customHeight="1" x14ac:dyDescent="0.25">
      <c r="A1" s="145" t="s">
        <v>177</v>
      </c>
      <c r="B1" s="114"/>
      <c r="C1" s="114"/>
      <c r="D1" s="114"/>
      <c r="E1" s="114"/>
      <c r="F1" s="114"/>
    </row>
    <row r="3" spans="1:6" x14ac:dyDescent="0.25">
      <c r="A3" s="141" t="s">
        <v>178</v>
      </c>
      <c r="B3" s="114"/>
      <c r="C3" s="114"/>
      <c r="D3" s="114"/>
      <c r="E3" s="114"/>
      <c r="F3" s="114"/>
    </row>
    <row r="5" spans="1:6" x14ac:dyDescent="0.25">
      <c r="A5" s="143" t="s">
        <v>174</v>
      </c>
      <c r="B5" s="114"/>
      <c r="C5" s="114"/>
      <c r="D5" s="114"/>
      <c r="E5" s="114"/>
      <c r="F5" s="114"/>
    </row>
  </sheetData>
  <mergeCells count="3">
    <mergeCell ref="A3:F3"/>
    <mergeCell ref="A1:F1"/>
    <mergeCell ref="A5:F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rgb="FFC65911"/>
  </sheetPr>
  <dimension ref="A1:F5"/>
  <sheetViews>
    <sheetView showGridLines="0" workbookViewId="0">
      <selection sqref="A1:F1"/>
    </sheetView>
  </sheetViews>
  <sheetFormatPr baseColWidth="10" defaultColWidth="9.140625" defaultRowHeight="15" x14ac:dyDescent="0.25"/>
  <sheetData>
    <row r="1" spans="1:6" ht="24.95" customHeight="1" x14ac:dyDescent="0.25">
      <c r="A1" s="139" t="s">
        <v>179</v>
      </c>
      <c r="B1" s="114"/>
      <c r="C1" s="114"/>
      <c r="D1" s="114"/>
      <c r="E1" s="114"/>
      <c r="F1" s="114"/>
    </row>
    <row r="3" spans="1:6" x14ac:dyDescent="0.25">
      <c r="A3" s="141" t="s">
        <v>180</v>
      </c>
      <c r="B3" s="114"/>
      <c r="C3" s="114"/>
      <c r="D3" s="114"/>
      <c r="E3" s="114"/>
      <c r="F3" s="114"/>
    </row>
    <row r="5" spans="1:6" x14ac:dyDescent="0.25">
      <c r="A5" s="143" t="s">
        <v>174</v>
      </c>
      <c r="B5" s="114"/>
      <c r="C5" s="114"/>
      <c r="D5" s="114"/>
      <c r="E5" s="114"/>
      <c r="F5" s="114"/>
    </row>
  </sheetData>
  <mergeCells count="3">
    <mergeCell ref="A3:F3"/>
    <mergeCell ref="A1:F1"/>
    <mergeCell ref="A5:F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tabColor rgb="FF70AD47"/>
  </sheetPr>
  <dimension ref="A1:D28"/>
  <sheetViews>
    <sheetView showGridLines="0" workbookViewId="0">
      <selection sqref="A1:D1"/>
    </sheetView>
  </sheetViews>
  <sheetFormatPr baseColWidth="10" defaultColWidth="9.140625" defaultRowHeight="15" x14ac:dyDescent="0.25"/>
  <cols>
    <col min="1" max="1" width="20" customWidth="1"/>
    <col min="2" max="2" width="5" customWidth="1"/>
    <col min="3" max="3" width="25" customWidth="1"/>
    <col min="4" max="4" width="15" customWidth="1"/>
  </cols>
  <sheetData>
    <row r="1" spans="1:4" ht="30" customHeight="1" x14ac:dyDescent="0.25">
      <c r="A1" s="146" t="s">
        <v>181</v>
      </c>
      <c r="B1" s="114"/>
      <c r="C1" s="114"/>
      <c r="D1" s="114"/>
    </row>
    <row r="3" spans="1:4" ht="15.75" customHeight="1" x14ac:dyDescent="0.25">
      <c r="A3" s="147" t="s">
        <v>182</v>
      </c>
      <c r="B3" s="114"/>
      <c r="C3" s="114"/>
      <c r="D3" s="114"/>
    </row>
    <row r="5" spans="1:4" x14ac:dyDescent="0.25">
      <c r="A5" s="2" t="s">
        <v>183</v>
      </c>
      <c r="C5" s="2" t="s">
        <v>133</v>
      </c>
    </row>
    <row r="6" spans="1:4" x14ac:dyDescent="0.25">
      <c r="A6" s="3" t="s">
        <v>184</v>
      </c>
      <c r="C6" s="4" t="s">
        <v>185</v>
      </c>
    </row>
    <row r="7" spans="1:4" x14ac:dyDescent="0.25">
      <c r="A7" s="3" t="s">
        <v>186</v>
      </c>
      <c r="C7" s="4" t="s">
        <v>187</v>
      </c>
    </row>
    <row r="8" spans="1:4" x14ac:dyDescent="0.25">
      <c r="A8" s="3" t="s">
        <v>188</v>
      </c>
      <c r="C8" s="4" t="s">
        <v>189</v>
      </c>
    </row>
    <row r="9" spans="1:4" x14ac:dyDescent="0.25">
      <c r="A9" s="3" t="s">
        <v>190</v>
      </c>
      <c r="C9" s="4" t="s">
        <v>191</v>
      </c>
    </row>
    <row r="10" spans="1:4" x14ac:dyDescent="0.25">
      <c r="A10" s="3" t="s">
        <v>192</v>
      </c>
      <c r="C10" s="4" t="s">
        <v>193</v>
      </c>
    </row>
    <row r="11" spans="1:4" x14ac:dyDescent="0.25">
      <c r="A11" s="3" t="s">
        <v>194</v>
      </c>
      <c r="C11" s="4" t="s">
        <v>195</v>
      </c>
    </row>
    <row r="12" spans="1:4" x14ac:dyDescent="0.25">
      <c r="A12" s="3" t="s">
        <v>196</v>
      </c>
      <c r="C12" s="4" t="s">
        <v>197</v>
      </c>
    </row>
    <row r="13" spans="1:4" x14ac:dyDescent="0.25">
      <c r="A13" s="3" t="s">
        <v>198</v>
      </c>
      <c r="C13" s="4" t="s">
        <v>199</v>
      </c>
    </row>
    <row r="14" spans="1:4" x14ac:dyDescent="0.25">
      <c r="A14" s="3" t="s">
        <v>200</v>
      </c>
      <c r="C14" s="4" t="s">
        <v>201</v>
      </c>
    </row>
    <row r="16" spans="1:4" ht="15.75" customHeight="1" x14ac:dyDescent="0.25">
      <c r="A16" s="147" t="s">
        <v>202</v>
      </c>
      <c r="B16" s="114"/>
      <c r="C16" s="114"/>
      <c r="D16" s="114"/>
    </row>
    <row r="18" spans="1:4" x14ac:dyDescent="0.25">
      <c r="A18" s="3" t="s">
        <v>203</v>
      </c>
      <c r="C18" s="4" t="s">
        <v>204</v>
      </c>
    </row>
    <row r="19" spans="1:4" x14ac:dyDescent="0.25">
      <c r="A19" s="3" t="s">
        <v>205</v>
      </c>
      <c r="C19" s="4" t="s">
        <v>206</v>
      </c>
    </row>
    <row r="20" spans="1:4" x14ac:dyDescent="0.25">
      <c r="A20" s="3" t="s">
        <v>198</v>
      </c>
      <c r="C20" s="4" t="s">
        <v>199</v>
      </c>
    </row>
    <row r="21" spans="1:4" x14ac:dyDescent="0.25">
      <c r="A21" s="3" t="s">
        <v>196</v>
      </c>
      <c r="C21" s="4" t="s">
        <v>197</v>
      </c>
    </row>
    <row r="23" spans="1:4" ht="15.75" customHeight="1" x14ac:dyDescent="0.25">
      <c r="A23" s="147" t="s">
        <v>207</v>
      </c>
      <c r="B23" s="114"/>
      <c r="C23" s="114"/>
      <c r="D23" s="114"/>
    </row>
    <row r="25" spans="1:4" x14ac:dyDescent="0.25">
      <c r="A25" s="148" t="s">
        <v>208</v>
      </c>
      <c r="B25" s="149"/>
      <c r="C25" s="149"/>
      <c r="D25" s="150"/>
    </row>
    <row r="26" spans="1:4" x14ac:dyDescent="0.25">
      <c r="A26" s="151"/>
      <c r="B26" s="114"/>
      <c r="C26" s="114"/>
      <c r="D26" s="152"/>
    </row>
    <row r="27" spans="1:4" x14ac:dyDescent="0.25">
      <c r="A27" s="151"/>
      <c r="B27" s="114"/>
      <c r="C27" s="114"/>
      <c r="D27" s="152"/>
    </row>
    <row r="28" spans="1:4" x14ac:dyDescent="0.25">
      <c r="A28" s="153"/>
      <c r="B28" s="154"/>
      <c r="C28" s="154"/>
      <c r="D28" s="155"/>
    </row>
  </sheetData>
  <mergeCells count="5">
    <mergeCell ref="A1:D1"/>
    <mergeCell ref="A23:D23"/>
    <mergeCell ref="A3:D3"/>
    <mergeCell ref="A16:D16"/>
    <mergeCell ref="A25:D2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tabColor rgb="FFFFC000"/>
  </sheetPr>
  <dimension ref="A1:T6"/>
  <sheetViews>
    <sheetView showGridLines="0" workbookViewId="0">
      <selection activeCell="A2" sqref="A2:XFD2"/>
    </sheetView>
  </sheetViews>
  <sheetFormatPr baseColWidth="10" defaultColWidth="9.140625" defaultRowHeight="15" x14ac:dyDescent="0.25"/>
  <cols>
    <col min="1" max="1" width="12" customWidth="1"/>
    <col min="2" max="2" width="25" customWidth="1"/>
    <col min="3" max="3" width="35" customWidth="1"/>
    <col min="4" max="5" width="15" customWidth="1"/>
    <col min="6" max="7" width="12" customWidth="1"/>
    <col min="8" max="9" width="15" customWidth="1"/>
    <col min="10" max="11" width="12" customWidth="1"/>
    <col min="12" max="14" width="8" customWidth="1"/>
    <col min="15" max="17" width="10" customWidth="1"/>
    <col min="18" max="19" width="12" customWidth="1"/>
    <col min="20" max="20" width="15" customWidth="1"/>
  </cols>
  <sheetData>
    <row r="1" spans="1:20" ht="24.95" customHeight="1" x14ac:dyDescent="0.25">
      <c r="A1" s="156" t="s">
        <v>209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</row>
    <row r="2" spans="1:20" ht="30" customHeight="1" x14ac:dyDescent="0.25">
      <c r="A2" s="5" t="s">
        <v>210</v>
      </c>
      <c r="B2" s="5" t="s">
        <v>211</v>
      </c>
      <c r="C2" s="5" t="s">
        <v>131</v>
      </c>
      <c r="D2" s="5" t="s">
        <v>212</v>
      </c>
      <c r="E2" s="5" t="s">
        <v>213</v>
      </c>
      <c r="F2" s="5" t="s">
        <v>214</v>
      </c>
      <c r="G2" s="5" t="s">
        <v>94</v>
      </c>
      <c r="H2" s="5" t="s">
        <v>215</v>
      </c>
      <c r="I2" s="5" t="s">
        <v>216</v>
      </c>
      <c r="J2" s="5" t="s">
        <v>217</v>
      </c>
      <c r="K2" s="5" t="s">
        <v>218</v>
      </c>
      <c r="L2" s="5" t="s">
        <v>219</v>
      </c>
      <c r="M2" s="5" t="s">
        <v>220</v>
      </c>
      <c r="N2" s="5" t="s">
        <v>221</v>
      </c>
      <c r="O2" s="5" t="s">
        <v>222</v>
      </c>
      <c r="P2" s="5" t="s">
        <v>223</v>
      </c>
      <c r="Q2" s="5" t="s">
        <v>91</v>
      </c>
      <c r="R2" s="5" t="s">
        <v>224</v>
      </c>
      <c r="S2" s="5" t="s">
        <v>225</v>
      </c>
      <c r="T2" s="5" t="s">
        <v>226</v>
      </c>
    </row>
    <row r="3" spans="1:20" x14ac:dyDescent="0.25">
      <c r="A3" s="81" t="s">
        <v>210</v>
      </c>
      <c r="B3" s="81" t="s">
        <v>227</v>
      </c>
      <c r="C3" s="81" t="s">
        <v>211</v>
      </c>
      <c r="D3" s="81" t="s">
        <v>228</v>
      </c>
      <c r="E3" s="81" t="s">
        <v>86</v>
      </c>
      <c r="F3" s="81" t="s">
        <v>229</v>
      </c>
      <c r="G3" s="81" t="s">
        <v>230</v>
      </c>
      <c r="H3" s="81" t="s">
        <v>91</v>
      </c>
      <c r="I3" s="81" t="s">
        <v>223</v>
      </c>
      <c r="J3" s="81" t="s">
        <v>133</v>
      </c>
      <c r="K3" s="81" t="s">
        <v>231</v>
      </c>
      <c r="L3" s="6" t="s">
        <v>232</v>
      </c>
      <c r="M3" s="6" t="s">
        <v>232</v>
      </c>
      <c r="N3" s="6" t="s">
        <v>232</v>
      </c>
      <c r="O3" s="6" t="s">
        <v>138</v>
      </c>
      <c r="P3" s="6" t="s">
        <v>233</v>
      </c>
      <c r="Q3" s="6" t="s">
        <v>234</v>
      </c>
      <c r="R3" s="6" t="s">
        <v>99</v>
      </c>
      <c r="S3" s="6" t="s">
        <v>235</v>
      </c>
      <c r="T3" s="6" t="s">
        <v>236</v>
      </c>
    </row>
    <row r="4" spans="1:20" x14ac:dyDescent="0.25">
      <c r="A4" t="s">
        <v>237</v>
      </c>
      <c r="B4" t="s">
        <v>238</v>
      </c>
      <c r="C4" t="s">
        <v>239</v>
      </c>
      <c r="D4" t="s">
        <v>240</v>
      </c>
      <c r="E4" t="s">
        <v>241</v>
      </c>
      <c r="F4" t="s">
        <v>242</v>
      </c>
      <c r="G4" t="s">
        <v>243</v>
      </c>
      <c r="H4" t="s">
        <v>234</v>
      </c>
      <c r="I4" t="s">
        <v>244</v>
      </c>
      <c r="J4">
        <v>25000</v>
      </c>
      <c r="K4" t="s">
        <v>245</v>
      </c>
    </row>
    <row r="5" spans="1:20" x14ac:dyDescent="0.25">
      <c r="A5" t="s">
        <v>246</v>
      </c>
      <c r="B5" t="s">
        <v>247</v>
      </c>
      <c r="C5" t="s">
        <v>248</v>
      </c>
      <c r="D5" t="s">
        <v>249</v>
      </c>
      <c r="E5" t="s">
        <v>250</v>
      </c>
      <c r="F5" t="s">
        <v>241</v>
      </c>
      <c r="G5" t="s">
        <v>251</v>
      </c>
      <c r="H5" t="s">
        <v>234</v>
      </c>
      <c r="I5" t="s">
        <v>244</v>
      </c>
      <c r="J5">
        <v>150000</v>
      </c>
      <c r="K5" t="s">
        <v>252</v>
      </c>
    </row>
    <row r="6" spans="1:20" x14ac:dyDescent="0.25">
      <c r="A6" t="s">
        <v>253</v>
      </c>
      <c r="B6" t="s">
        <v>254</v>
      </c>
      <c r="C6" t="s">
        <v>255</v>
      </c>
      <c r="D6" t="s">
        <v>256</v>
      </c>
      <c r="E6" t="s">
        <v>257</v>
      </c>
      <c r="F6" t="s">
        <v>258</v>
      </c>
      <c r="G6" t="s">
        <v>259</v>
      </c>
      <c r="H6" t="s">
        <v>234</v>
      </c>
      <c r="I6" t="s">
        <v>244</v>
      </c>
      <c r="J6">
        <v>500000</v>
      </c>
      <c r="K6" t="s">
        <v>260</v>
      </c>
    </row>
  </sheetData>
  <mergeCells count="1">
    <mergeCell ref="A1:T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tabColor rgb="FF8E44AD"/>
  </sheetPr>
  <dimension ref="A1:F5"/>
  <sheetViews>
    <sheetView showGridLines="0" workbookViewId="0"/>
  </sheetViews>
  <sheetFormatPr baseColWidth="10" defaultColWidth="9.140625" defaultRowHeight="15" x14ac:dyDescent="0.25"/>
  <sheetData>
    <row r="1" spans="1:6" ht="24.95" customHeight="1" x14ac:dyDescent="0.25">
      <c r="A1" s="157" t="s">
        <v>261</v>
      </c>
      <c r="B1" s="114"/>
      <c r="C1" s="114"/>
      <c r="D1" s="114"/>
      <c r="E1" s="114"/>
      <c r="F1" s="114"/>
    </row>
    <row r="3" spans="1:6" x14ac:dyDescent="0.25">
      <c r="A3" s="141" t="s">
        <v>262</v>
      </c>
      <c r="B3" s="114"/>
      <c r="C3" s="114"/>
      <c r="D3" s="114"/>
      <c r="E3" s="114"/>
      <c r="F3" s="114"/>
    </row>
    <row r="5" spans="1:6" x14ac:dyDescent="0.25">
      <c r="A5" s="143" t="s">
        <v>174</v>
      </c>
      <c r="B5" s="114"/>
      <c r="C5" s="114"/>
      <c r="D5" s="114"/>
      <c r="E5" s="114"/>
      <c r="F5" s="114"/>
    </row>
  </sheetData>
  <mergeCells count="3">
    <mergeCell ref="A3:F3"/>
    <mergeCell ref="A1:F1"/>
    <mergeCell ref="A5:F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>
    <tabColor rgb="FFE74C3C"/>
  </sheetPr>
  <dimension ref="A1:F5"/>
  <sheetViews>
    <sheetView showGridLines="0" workbookViewId="0"/>
  </sheetViews>
  <sheetFormatPr baseColWidth="10" defaultColWidth="9.140625" defaultRowHeight="15" x14ac:dyDescent="0.25"/>
  <sheetData>
    <row r="1" spans="1:6" ht="24.95" customHeight="1" x14ac:dyDescent="0.25">
      <c r="A1" s="158" t="s">
        <v>263</v>
      </c>
      <c r="B1" s="114"/>
      <c r="C1" s="114"/>
      <c r="D1" s="114"/>
      <c r="E1" s="114"/>
      <c r="F1" s="114"/>
    </row>
    <row r="3" spans="1:6" x14ac:dyDescent="0.25">
      <c r="A3" s="141" t="s">
        <v>264</v>
      </c>
      <c r="B3" s="114"/>
      <c r="C3" s="114"/>
      <c r="D3" s="114"/>
      <c r="E3" s="114"/>
      <c r="F3" s="114"/>
    </row>
    <row r="5" spans="1:6" x14ac:dyDescent="0.25">
      <c r="A5" s="143" t="s">
        <v>174</v>
      </c>
      <c r="B5" s="114"/>
      <c r="C5" s="114"/>
      <c r="D5" s="114"/>
      <c r="E5" s="114"/>
      <c r="F5" s="114"/>
    </row>
  </sheetData>
  <mergeCells count="3">
    <mergeCell ref="A3:F3"/>
    <mergeCell ref="A1:F1"/>
    <mergeCell ref="A5:F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>
    <tabColor rgb="FFF39C12"/>
  </sheetPr>
  <dimension ref="A1:F5"/>
  <sheetViews>
    <sheetView showGridLines="0" workbookViewId="0"/>
  </sheetViews>
  <sheetFormatPr baseColWidth="10" defaultColWidth="9.140625" defaultRowHeight="15" x14ac:dyDescent="0.25"/>
  <sheetData>
    <row r="1" spans="1:6" ht="24.95" customHeight="1" x14ac:dyDescent="0.25">
      <c r="A1" s="159" t="s">
        <v>265</v>
      </c>
      <c r="B1" s="114"/>
      <c r="C1" s="114"/>
      <c r="D1" s="114"/>
      <c r="E1" s="114"/>
      <c r="F1" s="114"/>
    </row>
    <row r="3" spans="1:6" x14ac:dyDescent="0.25">
      <c r="A3" s="141" t="s">
        <v>266</v>
      </c>
      <c r="B3" s="114"/>
      <c r="C3" s="114"/>
      <c r="D3" s="114"/>
      <c r="E3" s="114"/>
      <c r="F3" s="114"/>
    </row>
    <row r="5" spans="1:6" x14ac:dyDescent="0.25">
      <c r="A5" s="143" t="s">
        <v>174</v>
      </c>
      <c r="B5" s="114"/>
      <c r="C5" s="114"/>
      <c r="D5" s="114"/>
      <c r="E5" s="114"/>
      <c r="F5" s="114"/>
    </row>
  </sheetData>
  <mergeCells count="3">
    <mergeCell ref="A3:F3"/>
    <mergeCell ref="A1:F1"/>
    <mergeCell ref="A5:F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>
    <tabColor rgb="FF1ABC9C"/>
  </sheetPr>
  <dimension ref="A1:F5"/>
  <sheetViews>
    <sheetView showGridLines="0" workbookViewId="0"/>
  </sheetViews>
  <sheetFormatPr baseColWidth="10" defaultColWidth="9.140625" defaultRowHeight="15" x14ac:dyDescent="0.25"/>
  <sheetData>
    <row r="1" spans="1:6" ht="24.95" customHeight="1" x14ac:dyDescent="0.25">
      <c r="A1" s="160" t="s">
        <v>267</v>
      </c>
      <c r="B1" s="114"/>
      <c r="C1" s="114"/>
      <c r="D1" s="114"/>
      <c r="E1" s="114"/>
      <c r="F1" s="114"/>
    </row>
    <row r="3" spans="1:6" x14ac:dyDescent="0.25">
      <c r="A3" s="141" t="s">
        <v>268</v>
      </c>
      <c r="B3" s="114"/>
      <c r="C3" s="114"/>
      <c r="D3" s="114"/>
      <c r="E3" s="114"/>
      <c r="F3" s="114"/>
    </row>
    <row r="5" spans="1:6" x14ac:dyDescent="0.25">
      <c r="A5" s="143" t="s">
        <v>174</v>
      </c>
      <c r="B5" s="114"/>
      <c r="C5" s="114"/>
      <c r="D5" s="114"/>
      <c r="E5" s="114"/>
      <c r="F5" s="114"/>
    </row>
  </sheetData>
  <mergeCells count="3">
    <mergeCell ref="A3:F3"/>
    <mergeCell ref="A1:F1"/>
    <mergeCell ref="A5:F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>
    <tabColor rgb="FF16A085"/>
  </sheetPr>
  <dimension ref="A1:F5"/>
  <sheetViews>
    <sheetView showGridLines="0" workbookViewId="0"/>
  </sheetViews>
  <sheetFormatPr baseColWidth="10" defaultColWidth="9.140625" defaultRowHeight="15" x14ac:dyDescent="0.25"/>
  <sheetData>
    <row r="1" spans="1:6" ht="24.95" customHeight="1" x14ac:dyDescent="0.25">
      <c r="A1" s="161" t="s">
        <v>269</v>
      </c>
      <c r="B1" s="114"/>
      <c r="C1" s="114"/>
      <c r="D1" s="114"/>
      <c r="E1" s="114"/>
      <c r="F1" s="114"/>
    </row>
    <row r="3" spans="1:6" x14ac:dyDescent="0.25">
      <c r="A3" s="141" t="s">
        <v>270</v>
      </c>
      <c r="B3" s="114"/>
      <c r="C3" s="114"/>
      <c r="D3" s="114"/>
      <c r="E3" s="114"/>
      <c r="F3" s="114"/>
    </row>
    <row r="5" spans="1:6" x14ac:dyDescent="0.25">
      <c r="A5" s="143" t="s">
        <v>174</v>
      </c>
      <c r="B5" s="114"/>
      <c r="C5" s="114"/>
      <c r="D5" s="114"/>
      <c r="E5" s="114"/>
      <c r="F5" s="114"/>
    </row>
  </sheetData>
  <mergeCells count="3">
    <mergeCell ref="A3:F3"/>
    <mergeCell ref="A1:F1"/>
    <mergeCell ref="A5:F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>
    <tabColor rgb="FF9B59B6"/>
  </sheetPr>
  <dimension ref="A1:F5"/>
  <sheetViews>
    <sheetView showGridLines="0" workbookViewId="0">
      <selection sqref="A1:F1"/>
    </sheetView>
  </sheetViews>
  <sheetFormatPr baseColWidth="10" defaultColWidth="9.140625" defaultRowHeight="15" x14ac:dyDescent="0.25"/>
  <sheetData>
    <row r="1" spans="1:6" ht="24.95" customHeight="1" x14ac:dyDescent="0.25">
      <c r="A1" s="162" t="s">
        <v>271</v>
      </c>
      <c r="B1" s="114"/>
      <c r="C1" s="114"/>
      <c r="D1" s="114"/>
      <c r="E1" s="114"/>
      <c r="F1" s="114"/>
    </row>
    <row r="3" spans="1:6" x14ac:dyDescent="0.25">
      <c r="A3" s="141" t="s">
        <v>272</v>
      </c>
      <c r="B3" s="114"/>
      <c r="C3" s="114"/>
      <c r="D3" s="114"/>
      <c r="E3" s="114"/>
      <c r="F3" s="114"/>
    </row>
    <row r="5" spans="1:6" x14ac:dyDescent="0.25">
      <c r="A5" s="143" t="s">
        <v>174</v>
      </c>
      <c r="B5" s="114"/>
      <c r="C5" s="114"/>
      <c r="D5" s="114"/>
      <c r="E5" s="114"/>
      <c r="F5" s="114"/>
    </row>
  </sheetData>
  <mergeCells count="3">
    <mergeCell ref="A3:F3"/>
    <mergeCell ref="A1:F1"/>
    <mergeCell ref="A5:F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7">
    <tabColor rgb="FF2980B9"/>
  </sheetPr>
  <dimension ref="A1:H3"/>
  <sheetViews>
    <sheetView showGridLines="0" workbookViewId="0">
      <selection sqref="A1:H1"/>
    </sheetView>
  </sheetViews>
  <sheetFormatPr baseColWidth="10" defaultColWidth="9.140625" defaultRowHeight="15" x14ac:dyDescent="0.25"/>
  <sheetData>
    <row r="1" spans="1:8" ht="24.95" customHeight="1" x14ac:dyDescent="0.25">
      <c r="A1" s="163" t="s">
        <v>273</v>
      </c>
      <c r="B1" s="114"/>
      <c r="C1" s="114"/>
      <c r="D1" s="114"/>
      <c r="E1" s="114"/>
      <c r="F1" s="114"/>
      <c r="G1" s="114"/>
      <c r="H1" s="114"/>
    </row>
    <row r="3" spans="1:8" x14ac:dyDescent="0.25">
      <c r="A3" s="76" t="s">
        <v>274</v>
      </c>
      <c r="B3" s="76" t="s">
        <v>275</v>
      </c>
      <c r="C3" s="76" t="s">
        <v>86</v>
      </c>
      <c r="D3" s="76" t="s">
        <v>215</v>
      </c>
      <c r="E3" s="76" t="s">
        <v>91</v>
      </c>
      <c r="F3" s="76" t="s">
        <v>87</v>
      </c>
      <c r="G3" s="76" t="s">
        <v>94</v>
      </c>
      <c r="H3" s="76" t="s">
        <v>276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>
    <tabColor rgb="FF34495E"/>
  </sheetPr>
  <dimension ref="A1:F1"/>
  <sheetViews>
    <sheetView showGridLines="0" workbookViewId="0">
      <selection sqref="A1:F1"/>
    </sheetView>
  </sheetViews>
  <sheetFormatPr baseColWidth="10" defaultColWidth="9.140625" defaultRowHeight="15" x14ac:dyDescent="0.25"/>
  <sheetData>
    <row r="1" spans="1:6" ht="24.95" customHeight="1" x14ac:dyDescent="0.25">
      <c r="A1" s="164" t="s">
        <v>277</v>
      </c>
      <c r="B1" s="114"/>
      <c r="C1" s="114"/>
      <c r="D1" s="114"/>
      <c r="E1" s="114"/>
      <c r="F1" s="114"/>
    </row>
  </sheetData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9">
    <tabColor rgb="FF34495E"/>
  </sheetPr>
  <dimension ref="A1:F1"/>
  <sheetViews>
    <sheetView showGridLines="0" workbookViewId="0">
      <selection sqref="A1:F1"/>
    </sheetView>
  </sheetViews>
  <sheetFormatPr baseColWidth="10" defaultColWidth="9.140625" defaultRowHeight="15" x14ac:dyDescent="0.25"/>
  <sheetData>
    <row r="1" spans="1:6" ht="24.95" customHeight="1" x14ac:dyDescent="0.25">
      <c r="A1" s="164" t="s">
        <v>278</v>
      </c>
      <c r="B1" s="114"/>
      <c r="C1" s="114"/>
      <c r="D1" s="114"/>
      <c r="E1" s="114"/>
      <c r="F1" s="114"/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0">
    <tabColor rgb="FF34495E"/>
  </sheetPr>
  <dimension ref="A1:F1"/>
  <sheetViews>
    <sheetView showGridLines="0" workbookViewId="0">
      <selection sqref="A1:F1"/>
    </sheetView>
  </sheetViews>
  <sheetFormatPr baseColWidth="10" defaultColWidth="9.140625" defaultRowHeight="15" x14ac:dyDescent="0.25"/>
  <sheetData>
    <row r="1" spans="1:6" ht="24.95" customHeight="1" x14ac:dyDescent="0.25">
      <c r="A1" s="164" t="s">
        <v>279</v>
      </c>
      <c r="B1" s="114"/>
      <c r="C1" s="114"/>
      <c r="D1" s="114"/>
      <c r="E1" s="114"/>
      <c r="F1" s="114"/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1">
    <tabColor rgb="FF34495E"/>
  </sheetPr>
  <dimension ref="A1:F1"/>
  <sheetViews>
    <sheetView showGridLines="0" workbookViewId="0">
      <selection sqref="A1:F1"/>
    </sheetView>
  </sheetViews>
  <sheetFormatPr baseColWidth="10" defaultColWidth="9.140625" defaultRowHeight="15" x14ac:dyDescent="0.25"/>
  <sheetData>
    <row r="1" spans="1:6" ht="24.95" customHeight="1" x14ac:dyDescent="0.25">
      <c r="A1" s="164" t="s">
        <v>280</v>
      </c>
      <c r="B1" s="114"/>
      <c r="C1" s="114"/>
      <c r="D1" s="114"/>
      <c r="E1" s="114"/>
      <c r="F1" s="114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2">
    <tabColor rgb="FF34495E"/>
  </sheetPr>
  <dimension ref="A1:F1"/>
  <sheetViews>
    <sheetView showGridLines="0" workbookViewId="0">
      <selection sqref="A1:F1"/>
    </sheetView>
  </sheetViews>
  <sheetFormatPr baseColWidth="10" defaultColWidth="9.140625" defaultRowHeight="15" x14ac:dyDescent="0.25"/>
  <sheetData>
    <row r="1" spans="1:6" ht="24.95" customHeight="1" x14ac:dyDescent="0.25">
      <c r="A1" s="164" t="s">
        <v>281</v>
      </c>
      <c r="B1" s="114"/>
      <c r="C1" s="114"/>
      <c r="D1" s="114"/>
      <c r="E1" s="114"/>
      <c r="F1" s="114"/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3">
    <tabColor rgb="FF5B9BD5"/>
  </sheetPr>
  <dimension ref="A1:H15"/>
  <sheetViews>
    <sheetView showGridLines="0" workbookViewId="0">
      <selection sqref="A1:H1"/>
    </sheetView>
  </sheetViews>
  <sheetFormatPr baseColWidth="10" defaultColWidth="9.140625" defaultRowHeight="15" x14ac:dyDescent="0.25"/>
  <cols>
    <col min="1" max="4" width="15" customWidth="1"/>
    <col min="5" max="5" width="5" customWidth="1"/>
    <col min="6" max="8" width="15" customWidth="1"/>
  </cols>
  <sheetData>
    <row r="1" spans="1:8" ht="30" customHeight="1" x14ac:dyDescent="0.25">
      <c r="A1" s="166" t="s">
        <v>282</v>
      </c>
      <c r="B1" s="114"/>
      <c r="C1" s="114"/>
      <c r="D1" s="114"/>
      <c r="E1" s="114"/>
      <c r="F1" s="114"/>
      <c r="G1" s="114"/>
      <c r="H1" s="114"/>
    </row>
    <row r="3" spans="1:8" ht="15.75" customHeight="1" x14ac:dyDescent="0.25">
      <c r="A3" s="165" t="s">
        <v>283</v>
      </c>
      <c r="B3" s="114"/>
      <c r="C3" s="114"/>
      <c r="D3" s="114"/>
      <c r="E3" s="114"/>
      <c r="F3" s="114"/>
      <c r="G3" s="114"/>
      <c r="H3" s="114"/>
    </row>
    <row r="5" spans="1:8" x14ac:dyDescent="0.25">
      <c r="B5" s="7" t="s">
        <v>284</v>
      </c>
      <c r="D5" s="7" t="s">
        <v>285</v>
      </c>
      <c r="F5" s="7" t="s">
        <v>286</v>
      </c>
      <c r="H5" s="7" t="s">
        <v>287</v>
      </c>
    </row>
    <row r="6" spans="1:8" ht="35.1" customHeight="1" x14ac:dyDescent="0.4">
      <c r="B6" s="8" t="s">
        <v>288</v>
      </c>
      <c r="D6" s="9" t="s">
        <v>288</v>
      </c>
      <c r="F6" s="10" t="s">
        <v>288</v>
      </c>
      <c r="H6" s="11" t="s">
        <v>289</v>
      </c>
    </row>
    <row r="9" spans="1:8" ht="15.75" customHeight="1" x14ac:dyDescent="0.25">
      <c r="A9" s="165" t="s">
        <v>290</v>
      </c>
      <c r="B9" s="114"/>
      <c r="C9" s="114"/>
      <c r="D9" s="114"/>
      <c r="F9" s="165" t="s">
        <v>291</v>
      </c>
      <c r="G9" s="114"/>
      <c r="H9" s="114"/>
    </row>
    <row r="11" spans="1:8" x14ac:dyDescent="0.25">
      <c r="A11" s="12" t="s">
        <v>130</v>
      </c>
      <c r="B11" s="12" t="s">
        <v>292</v>
      </c>
      <c r="C11" s="12" t="s">
        <v>293</v>
      </c>
      <c r="D11" s="12" t="s">
        <v>91</v>
      </c>
      <c r="F11" s="12" t="s">
        <v>91</v>
      </c>
      <c r="G11" s="12" t="s">
        <v>292</v>
      </c>
      <c r="H11" s="12" t="s">
        <v>294</v>
      </c>
    </row>
    <row r="12" spans="1:8" x14ac:dyDescent="0.25">
      <c r="A12" s="13" t="s">
        <v>295</v>
      </c>
      <c r="B12" s="14" t="s">
        <v>288</v>
      </c>
      <c r="C12" s="14" t="s">
        <v>289</v>
      </c>
      <c r="D12" s="14" t="s">
        <v>296</v>
      </c>
      <c r="F12" s="15" t="s">
        <v>297</v>
      </c>
      <c r="G12" s="14" t="s">
        <v>288</v>
      </c>
      <c r="H12" s="14" t="s">
        <v>289</v>
      </c>
    </row>
    <row r="13" spans="1:8" x14ac:dyDescent="0.25">
      <c r="A13" s="16" t="s">
        <v>159</v>
      </c>
      <c r="B13" s="14" t="s">
        <v>288</v>
      </c>
      <c r="C13" s="14" t="s">
        <v>289</v>
      </c>
      <c r="D13" s="14" t="s">
        <v>296</v>
      </c>
      <c r="F13" s="17" t="s">
        <v>298</v>
      </c>
      <c r="G13" s="14" t="s">
        <v>288</v>
      </c>
      <c r="H13" s="14" t="s">
        <v>289</v>
      </c>
    </row>
    <row r="14" spans="1:8" x14ac:dyDescent="0.25">
      <c r="A14" s="17" t="s">
        <v>162</v>
      </c>
      <c r="B14" s="14" t="s">
        <v>288</v>
      </c>
      <c r="C14" s="14" t="s">
        <v>289</v>
      </c>
      <c r="D14" s="14" t="s">
        <v>299</v>
      </c>
      <c r="F14" s="16" t="s">
        <v>300</v>
      </c>
      <c r="G14" s="14" t="s">
        <v>288</v>
      </c>
      <c r="H14" s="14" t="s">
        <v>289</v>
      </c>
    </row>
    <row r="15" spans="1:8" x14ac:dyDescent="0.25">
      <c r="A15" s="15" t="s">
        <v>165</v>
      </c>
      <c r="B15" s="14" t="s">
        <v>288</v>
      </c>
      <c r="C15" s="14" t="s">
        <v>289</v>
      </c>
      <c r="D15" s="14" t="s">
        <v>301</v>
      </c>
      <c r="F15" s="18" t="s">
        <v>302</v>
      </c>
      <c r="G15" s="14" t="s">
        <v>288</v>
      </c>
      <c r="H15" s="14" t="s">
        <v>289</v>
      </c>
    </row>
  </sheetData>
  <mergeCells count="4">
    <mergeCell ref="A3:H3"/>
    <mergeCell ref="A9:D9"/>
    <mergeCell ref="F9:H9"/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4">
    <tabColor rgb="FFFF6600"/>
  </sheetPr>
  <dimension ref="A1:W50"/>
  <sheetViews>
    <sheetView showGridLines="0" workbookViewId="0">
      <selection sqref="A1:W1"/>
    </sheetView>
  </sheetViews>
  <sheetFormatPr baseColWidth="10" defaultColWidth="9.140625" defaultRowHeight="15" x14ac:dyDescent="0.25"/>
  <cols>
    <col min="1" max="1" width="12" customWidth="1"/>
    <col min="2" max="2" width="25" customWidth="1"/>
    <col min="3" max="3" width="35" customWidth="1"/>
    <col min="4" max="6" width="20" customWidth="1"/>
    <col min="7" max="7" width="15" customWidth="1"/>
    <col min="8" max="8" width="10" customWidth="1"/>
    <col min="9" max="11" width="8" customWidth="1"/>
    <col min="12" max="12" width="10" customWidth="1"/>
    <col min="13" max="14" width="12" customWidth="1"/>
    <col min="15" max="15" width="25" customWidth="1"/>
    <col min="16" max="18" width="10" customWidth="1"/>
    <col min="19" max="20" width="12" customWidth="1"/>
    <col min="21" max="22" width="15" customWidth="1"/>
    <col min="23" max="23" width="12" customWidth="1"/>
  </cols>
  <sheetData>
    <row r="1" spans="1:23" ht="24.95" customHeight="1" x14ac:dyDescent="0.25">
      <c r="A1" s="167" t="s">
        <v>303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</row>
    <row r="3" spans="1:23" ht="39.950000000000003" customHeight="1" x14ac:dyDescent="0.25">
      <c r="A3" s="82" t="s">
        <v>210</v>
      </c>
      <c r="B3" s="82" t="s">
        <v>304</v>
      </c>
      <c r="C3" s="82" t="s">
        <v>305</v>
      </c>
      <c r="D3" s="82" t="s">
        <v>306</v>
      </c>
      <c r="E3" s="82" t="s">
        <v>307</v>
      </c>
      <c r="F3" s="82" t="s">
        <v>308</v>
      </c>
      <c r="G3" s="82" t="s">
        <v>130</v>
      </c>
      <c r="H3" s="82" t="s">
        <v>91</v>
      </c>
      <c r="I3" s="19" t="s">
        <v>309</v>
      </c>
      <c r="J3" s="19" t="s">
        <v>310</v>
      </c>
      <c r="K3" s="19" t="s">
        <v>311</v>
      </c>
      <c r="L3" s="19" t="s">
        <v>312</v>
      </c>
      <c r="M3" s="19" t="s">
        <v>313</v>
      </c>
      <c r="N3" s="19" t="s">
        <v>314</v>
      </c>
      <c r="O3" s="19" t="s">
        <v>315</v>
      </c>
      <c r="P3" s="19" t="s">
        <v>316</v>
      </c>
      <c r="Q3" s="19" t="s">
        <v>317</v>
      </c>
      <c r="R3" s="19" t="s">
        <v>318</v>
      </c>
      <c r="S3" s="19" t="s">
        <v>319</v>
      </c>
      <c r="T3" s="19" t="s">
        <v>320</v>
      </c>
      <c r="U3" s="19" t="s">
        <v>321</v>
      </c>
      <c r="V3" s="19" t="s">
        <v>215</v>
      </c>
      <c r="W3" s="19" t="s">
        <v>91</v>
      </c>
    </row>
    <row r="4" spans="1:23" ht="30" customHeight="1" x14ac:dyDescent="0.25">
      <c r="A4" s="20" t="s">
        <v>322</v>
      </c>
      <c r="B4" s="20" t="s">
        <v>237</v>
      </c>
      <c r="C4" s="20" t="s">
        <v>323</v>
      </c>
      <c r="D4" s="20" t="s">
        <v>324</v>
      </c>
      <c r="E4" s="20" t="s">
        <v>325</v>
      </c>
      <c r="F4" s="20" t="s">
        <v>326</v>
      </c>
      <c r="G4" s="20" t="s">
        <v>327</v>
      </c>
      <c r="H4" s="20" t="s">
        <v>328</v>
      </c>
      <c r="I4" s="20" t="s">
        <v>145</v>
      </c>
      <c r="J4" s="20" t="s">
        <v>145</v>
      </c>
      <c r="K4" s="20" t="s">
        <v>145</v>
      </c>
      <c r="L4" s="20" t="s">
        <v>145</v>
      </c>
      <c r="M4" s="20" t="s">
        <v>329</v>
      </c>
      <c r="N4" s="21" t="s">
        <v>159</v>
      </c>
      <c r="O4" s="20" t="s">
        <v>330</v>
      </c>
      <c r="P4" s="20" t="s">
        <v>331</v>
      </c>
      <c r="Q4" s="20" t="s">
        <v>149</v>
      </c>
      <c r="R4" s="20" t="s">
        <v>149</v>
      </c>
      <c r="S4" s="20" t="s">
        <v>141</v>
      </c>
      <c r="T4" s="22" t="s">
        <v>162</v>
      </c>
      <c r="U4" s="20" t="s">
        <v>332</v>
      </c>
      <c r="V4" s="20" t="s">
        <v>100</v>
      </c>
      <c r="W4" s="20" t="s">
        <v>234</v>
      </c>
    </row>
    <row r="5" spans="1:23" x14ac:dyDescent="0.25">
      <c r="A5" t="s">
        <v>333</v>
      </c>
      <c r="B5" t="s">
        <v>246</v>
      </c>
      <c r="C5" t="s">
        <v>334</v>
      </c>
      <c r="D5" t="s">
        <v>335</v>
      </c>
      <c r="E5" t="s">
        <v>336</v>
      </c>
      <c r="F5" t="s">
        <v>326</v>
      </c>
      <c r="G5" t="s">
        <v>326</v>
      </c>
      <c r="H5" t="s">
        <v>328</v>
      </c>
    </row>
    <row r="6" spans="1:23" x14ac:dyDescent="0.25">
      <c r="A6" t="s">
        <v>337</v>
      </c>
      <c r="B6" t="s">
        <v>253</v>
      </c>
      <c r="C6" t="s">
        <v>338</v>
      </c>
      <c r="D6" t="s">
        <v>339</v>
      </c>
      <c r="E6" t="s">
        <v>325</v>
      </c>
      <c r="F6" t="s">
        <v>326</v>
      </c>
      <c r="G6" t="s">
        <v>327</v>
      </c>
      <c r="H6" t="s">
        <v>340</v>
      </c>
    </row>
    <row r="45" spans="1:3" x14ac:dyDescent="0.25">
      <c r="A45" s="172" t="s">
        <v>341</v>
      </c>
      <c r="B45" s="114"/>
      <c r="C45" s="114"/>
    </row>
    <row r="47" spans="1:3" x14ac:dyDescent="0.25">
      <c r="A47" s="171" t="s">
        <v>342</v>
      </c>
      <c r="B47" s="169"/>
      <c r="C47" s="170"/>
    </row>
    <row r="48" spans="1:3" x14ac:dyDescent="0.25">
      <c r="A48" s="174" t="s">
        <v>343</v>
      </c>
      <c r="B48" s="169"/>
      <c r="C48" s="170"/>
    </row>
    <row r="49" spans="1:3" x14ac:dyDescent="0.25">
      <c r="A49" s="168" t="s">
        <v>344</v>
      </c>
      <c r="B49" s="169"/>
      <c r="C49" s="170"/>
    </row>
    <row r="50" spans="1:3" x14ac:dyDescent="0.25">
      <c r="A50" s="173" t="s">
        <v>345</v>
      </c>
      <c r="B50" s="169"/>
      <c r="C50" s="170"/>
    </row>
  </sheetData>
  <mergeCells count="6">
    <mergeCell ref="A1:W1"/>
    <mergeCell ref="A49:C49"/>
    <mergeCell ref="A47:C47"/>
    <mergeCell ref="A45:C45"/>
    <mergeCell ref="A50:C50"/>
    <mergeCell ref="A48:C4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tabColor rgb="FFC00000"/>
  </sheetPr>
  <dimension ref="A1:L23"/>
  <sheetViews>
    <sheetView showGridLines="0" workbookViewId="0">
      <selection sqref="A1:L1"/>
    </sheetView>
  </sheetViews>
  <sheetFormatPr baseColWidth="10" defaultColWidth="9.140625" defaultRowHeight="15" x14ac:dyDescent="0.25"/>
  <cols>
    <col min="1" max="2" width="15" customWidth="1"/>
    <col min="3" max="3" width="30" customWidth="1"/>
    <col min="4" max="4" width="20" customWidth="1"/>
    <col min="5" max="7" width="12" customWidth="1"/>
    <col min="8" max="8" width="15" customWidth="1"/>
    <col min="9" max="12" width="12" customWidth="1"/>
  </cols>
  <sheetData>
    <row r="1" spans="1:12" ht="24.95" customHeight="1" x14ac:dyDescent="0.25">
      <c r="A1" s="178" t="s">
        <v>346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</row>
    <row r="3" spans="1:12" ht="15.75" customHeight="1" x14ac:dyDescent="0.25">
      <c r="A3" s="181" t="s">
        <v>347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</row>
    <row r="5" spans="1:12" x14ac:dyDescent="0.25">
      <c r="A5" s="179" t="s">
        <v>348</v>
      </c>
      <c r="B5" s="114"/>
      <c r="C5" s="26" t="s">
        <v>349</v>
      </c>
      <c r="D5" s="26" t="s">
        <v>350</v>
      </c>
      <c r="E5" s="26" t="s">
        <v>351</v>
      </c>
      <c r="F5" s="26" t="s">
        <v>352</v>
      </c>
      <c r="G5" s="26" t="s">
        <v>353</v>
      </c>
    </row>
    <row r="6" spans="1:12" ht="15.75" customHeight="1" x14ac:dyDescent="0.25">
      <c r="A6" s="175" t="s">
        <v>354</v>
      </c>
      <c r="B6" s="170"/>
      <c r="C6" s="28" t="s">
        <v>137</v>
      </c>
      <c r="D6" s="29" t="s">
        <v>355</v>
      </c>
      <c r="E6" s="30" t="s">
        <v>356</v>
      </c>
      <c r="F6" s="30" t="s">
        <v>357</v>
      </c>
      <c r="G6" s="31" t="s">
        <v>358</v>
      </c>
      <c r="I6" s="184" t="s">
        <v>359</v>
      </c>
      <c r="J6" s="114"/>
      <c r="K6" s="114"/>
    </row>
    <row r="7" spans="1:12" ht="15.75" customHeight="1" x14ac:dyDescent="0.25">
      <c r="A7" s="175" t="s">
        <v>360</v>
      </c>
      <c r="B7" s="170"/>
      <c r="C7" s="32" t="s">
        <v>141</v>
      </c>
      <c r="D7" s="28" t="s">
        <v>361</v>
      </c>
      <c r="E7" s="29" t="s">
        <v>362</v>
      </c>
      <c r="F7" s="30" t="s">
        <v>363</v>
      </c>
      <c r="G7" s="30" t="s">
        <v>357</v>
      </c>
      <c r="I7" s="183" t="s">
        <v>295</v>
      </c>
      <c r="J7" s="169"/>
      <c r="K7" s="170"/>
    </row>
    <row r="8" spans="1:12" ht="15.75" customHeight="1" x14ac:dyDescent="0.25">
      <c r="A8" s="175" t="s">
        <v>364</v>
      </c>
      <c r="B8" s="170"/>
      <c r="C8" s="32" t="s">
        <v>145</v>
      </c>
      <c r="D8" s="28" t="s">
        <v>365</v>
      </c>
      <c r="E8" s="29" t="s">
        <v>329</v>
      </c>
      <c r="F8" s="29" t="s">
        <v>362</v>
      </c>
      <c r="G8" s="30" t="s">
        <v>356</v>
      </c>
      <c r="I8" s="171" t="s">
        <v>159</v>
      </c>
      <c r="J8" s="169"/>
      <c r="K8" s="170"/>
    </row>
    <row r="9" spans="1:12" ht="15.75" customHeight="1" x14ac:dyDescent="0.25">
      <c r="A9" s="175" t="s">
        <v>366</v>
      </c>
      <c r="B9" s="170"/>
      <c r="C9" s="32" t="s">
        <v>149</v>
      </c>
      <c r="D9" s="34" t="s">
        <v>141</v>
      </c>
      <c r="E9" s="28" t="s">
        <v>365</v>
      </c>
      <c r="F9" s="28" t="s">
        <v>361</v>
      </c>
      <c r="G9" s="29" t="s">
        <v>355</v>
      </c>
      <c r="I9" s="180" t="s">
        <v>367</v>
      </c>
      <c r="J9" s="169"/>
      <c r="K9" s="170"/>
    </row>
    <row r="10" spans="1:12" ht="15.75" customHeight="1" x14ac:dyDescent="0.25">
      <c r="A10" s="175" t="s">
        <v>368</v>
      </c>
      <c r="B10" s="170"/>
      <c r="C10" s="32" t="s">
        <v>153</v>
      </c>
      <c r="D10" s="34" t="s">
        <v>149</v>
      </c>
      <c r="E10" s="34" t="s">
        <v>145</v>
      </c>
      <c r="F10" s="28" t="s">
        <v>141</v>
      </c>
      <c r="G10" s="28" t="s">
        <v>137</v>
      </c>
      <c r="I10" s="177" t="s">
        <v>162</v>
      </c>
      <c r="J10" s="169"/>
      <c r="K10" s="170"/>
    </row>
    <row r="11" spans="1:12" x14ac:dyDescent="0.25">
      <c r="I11" s="176" t="s">
        <v>165</v>
      </c>
      <c r="J11" s="169"/>
      <c r="K11" s="170"/>
    </row>
    <row r="13" spans="1:12" ht="15.75" customHeight="1" x14ac:dyDescent="0.25">
      <c r="A13" s="181" t="s">
        <v>369</v>
      </c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</row>
    <row r="15" spans="1:12" x14ac:dyDescent="0.25">
      <c r="A15" s="27" t="s">
        <v>212</v>
      </c>
      <c r="B15" s="27" t="s">
        <v>370</v>
      </c>
      <c r="C15" s="27" t="s">
        <v>371</v>
      </c>
      <c r="D15" s="27" t="s">
        <v>372</v>
      </c>
      <c r="E15" s="27" t="s">
        <v>373</v>
      </c>
      <c r="F15" s="27" t="s">
        <v>374</v>
      </c>
      <c r="G15" s="27" t="s">
        <v>375</v>
      </c>
      <c r="H15" s="27" t="s">
        <v>376</v>
      </c>
      <c r="I15" s="27" t="s">
        <v>377</v>
      </c>
    </row>
    <row r="16" spans="1:12" x14ac:dyDescent="0.25">
      <c r="A16" s="1" t="s">
        <v>378</v>
      </c>
      <c r="B16" s="6" t="s">
        <v>288</v>
      </c>
      <c r="C16" s="6" t="s">
        <v>288</v>
      </c>
      <c r="D16" s="6" t="s">
        <v>288</v>
      </c>
      <c r="E16" s="6" t="s">
        <v>288</v>
      </c>
      <c r="F16" s="6" t="s">
        <v>288</v>
      </c>
      <c r="G16" s="6" t="s">
        <v>289</v>
      </c>
      <c r="H16" s="6" t="s">
        <v>289</v>
      </c>
      <c r="I16" s="6" t="s">
        <v>288</v>
      </c>
    </row>
    <row r="17" spans="1:12" x14ac:dyDescent="0.25">
      <c r="A17" s="1" t="s">
        <v>379</v>
      </c>
      <c r="B17" s="6" t="s">
        <v>288</v>
      </c>
      <c r="C17" s="6" t="s">
        <v>288</v>
      </c>
      <c r="D17" s="6" t="s">
        <v>288</v>
      </c>
      <c r="E17" s="6" t="s">
        <v>288</v>
      </c>
      <c r="F17" s="6" t="s">
        <v>288</v>
      </c>
      <c r="G17" s="6" t="s">
        <v>289</v>
      </c>
      <c r="H17" s="6" t="s">
        <v>289</v>
      </c>
      <c r="I17" s="6" t="s">
        <v>288</v>
      </c>
    </row>
    <row r="18" spans="1:12" x14ac:dyDescent="0.25">
      <c r="A18" s="1" t="s">
        <v>380</v>
      </c>
      <c r="B18" s="6" t="s">
        <v>288</v>
      </c>
      <c r="C18" s="6" t="s">
        <v>288</v>
      </c>
      <c r="D18" s="6" t="s">
        <v>288</v>
      </c>
      <c r="E18" s="6" t="s">
        <v>288</v>
      </c>
      <c r="F18" s="6" t="s">
        <v>288</v>
      </c>
      <c r="G18" s="6" t="s">
        <v>289</v>
      </c>
      <c r="H18" s="6" t="s">
        <v>289</v>
      </c>
      <c r="I18" s="6" t="s">
        <v>288</v>
      </c>
    </row>
    <row r="21" spans="1:12" ht="15.75" customHeight="1" x14ac:dyDescent="0.25">
      <c r="A21" s="182" t="s">
        <v>381</v>
      </c>
      <c r="B21" s="114"/>
      <c r="C21" s="114"/>
      <c r="D21" s="114"/>
      <c r="E21" s="114"/>
      <c r="F21" s="114"/>
      <c r="G21" s="114"/>
      <c r="H21" s="114"/>
      <c r="I21" s="114"/>
      <c r="J21" s="114"/>
      <c r="K21" s="114"/>
      <c r="L21" s="114"/>
    </row>
    <row r="23" spans="1:12" x14ac:dyDescent="0.25">
      <c r="A23" s="35" t="s">
        <v>382</v>
      </c>
      <c r="B23" s="35" t="s">
        <v>383</v>
      </c>
      <c r="C23" s="35" t="s">
        <v>211</v>
      </c>
      <c r="D23" s="35" t="s">
        <v>234</v>
      </c>
      <c r="E23" s="35" t="s">
        <v>130</v>
      </c>
      <c r="F23" s="35" t="s">
        <v>307</v>
      </c>
      <c r="G23" s="35" t="s">
        <v>308</v>
      </c>
      <c r="H23" s="35" t="s">
        <v>215</v>
      </c>
      <c r="I23" s="35" t="s">
        <v>91</v>
      </c>
    </row>
  </sheetData>
  <mergeCells count="16">
    <mergeCell ref="A13:L13"/>
    <mergeCell ref="A9:B9"/>
    <mergeCell ref="A3:L3"/>
    <mergeCell ref="A21:L21"/>
    <mergeCell ref="A8:B8"/>
    <mergeCell ref="I7:K7"/>
    <mergeCell ref="I6:K6"/>
    <mergeCell ref="A6:B6"/>
    <mergeCell ref="I11:K11"/>
    <mergeCell ref="I10:K10"/>
    <mergeCell ref="A7:B7"/>
    <mergeCell ref="A1:L1"/>
    <mergeCell ref="A10:B10"/>
    <mergeCell ref="A5:B5"/>
    <mergeCell ref="I8:K8"/>
    <mergeCell ref="I9:K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tabColor rgb="FF009900"/>
  </sheetPr>
  <dimension ref="A1:P49"/>
  <sheetViews>
    <sheetView showGridLines="0" workbookViewId="0">
      <selection sqref="A1:P1"/>
    </sheetView>
  </sheetViews>
  <sheetFormatPr baseColWidth="10" defaultColWidth="9.140625" defaultRowHeight="15" x14ac:dyDescent="0.25"/>
  <cols>
    <col min="1" max="1" width="15" customWidth="1"/>
    <col min="2" max="2" width="12" customWidth="1"/>
    <col min="3" max="3" width="25" customWidth="1"/>
    <col min="4" max="4" width="12" customWidth="1"/>
    <col min="5" max="5" width="15" customWidth="1"/>
    <col min="6" max="6" width="35" customWidth="1"/>
    <col min="7" max="8" width="15" customWidth="1"/>
    <col min="9" max="11" width="12" customWidth="1"/>
    <col min="12" max="12" width="10" customWidth="1"/>
    <col min="13" max="15" width="12" customWidth="1"/>
    <col min="16" max="16" width="30" customWidth="1"/>
  </cols>
  <sheetData>
    <row r="1" spans="1:16" ht="24.95" customHeight="1" x14ac:dyDescent="0.25">
      <c r="A1" s="186" t="s">
        <v>384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</row>
    <row r="3" spans="1:16" ht="35.1" customHeight="1" x14ac:dyDescent="0.25">
      <c r="A3" s="83" t="s">
        <v>210</v>
      </c>
      <c r="B3" s="83" t="s">
        <v>385</v>
      </c>
      <c r="C3" s="83" t="s">
        <v>386</v>
      </c>
      <c r="D3" s="83" t="s">
        <v>230</v>
      </c>
      <c r="E3" s="83" t="s">
        <v>91</v>
      </c>
      <c r="F3" s="83" t="s">
        <v>387</v>
      </c>
      <c r="G3" s="83" t="s">
        <v>388</v>
      </c>
      <c r="H3" s="36" t="s">
        <v>230</v>
      </c>
      <c r="I3" s="36" t="s">
        <v>389</v>
      </c>
      <c r="J3" s="36" t="s">
        <v>390</v>
      </c>
      <c r="K3" s="36" t="s">
        <v>91</v>
      </c>
      <c r="L3" s="36" t="s">
        <v>391</v>
      </c>
      <c r="M3" s="36" t="s">
        <v>388</v>
      </c>
      <c r="N3" s="36" t="s">
        <v>392</v>
      </c>
      <c r="O3" s="36" t="s">
        <v>393</v>
      </c>
      <c r="P3" s="36" t="s">
        <v>394</v>
      </c>
    </row>
    <row r="4" spans="1:16" ht="30" customHeight="1" x14ac:dyDescent="0.25">
      <c r="A4" s="20" t="s">
        <v>395</v>
      </c>
      <c r="B4" s="20" t="s">
        <v>322</v>
      </c>
      <c r="C4" s="20" t="s">
        <v>396</v>
      </c>
      <c r="D4" s="21" t="s">
        <v>243</v>
      </c>
      <c r="E4" s="20" t="s">
        <v>298</v>
      </c>
      <c r="F4" s="20">
        <v>60</v>
      </c>
      <c r="G4" s="20">
        <v>30000</v>
      </c>
      <c r="H4" s="20" t="s">
        <v>111</v>
      </c>
      <c r="I4" s="20" t="s">
        <v>397</v>
      </c>
      <c r="J4" s="20" t="s">
        <v>398</v>
      </c>
      <c r="K4" s="22" t="s">
        <v>298</v>
      </c>
      <c r="L4" s="37" t="s">
        <v>399</v>
      </c>
      <c r="M4" s="20" t="s">
        <v>400</v>
      </c>
      <c r="N4" s="20" t="s">
        <v>401</v>
      </c>
      <c r="O4" s="22" t="s">
        <v>162</v>
      </c>
      <c r="P4" s="20" t="s">
        <v>402</v>
      </c>
    </row>
    <row r="5" spans="1:16" x14ac:dyDescent="0.25">
      <c r="A5" t="s">
        <v>403</v>
      </c>
      <c r="B5" t="s">
        <v>333</v>
      </c>
      <c r="C5" t="s">
        <v>404</v>
      </c>
      <c r="D5" t="s">
        <v>100</v>
      </c>
      <c r="E5" t="s">
        <v>298</v>
      </c>
      <c r="F5">
        <v>40</v>
      </c>
      <c r="G5">
        <v>15000</v>
      </c>
    </row>
    <row r="6" spans="1:16" x14ac:dyDescent="0.25">
      <c r="A6" t="s">
        <v>405</v>
      </c>
      <c r="B6" t="s">
        <v>337</v>
      </c>
      <c r="C6" t="s">
        <v>406</v>
      </c>
      <c r="D6" t="s">
        <v>407</v>
      </c>
      <c r="E6" t="s">
        <v>408</v>
      </c>
      <c r="F6">
        <v>10</v>
      </c>
      <c r="G6">
        <v>8000</v>
      </c>
    </row>
    <row r="40" spans="1:16" ht="15.75" customHeight="1" x14ac:dyDescent="0.25">
      <c r="A40" s="187" t="s">
        <v>409</v>
      </c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</row>
    <row r="42" spans="1:16" ht="18.75" customHeight="1" x14ac:dyDescent="0.25">
      <c r="A42" s="38" t="s">
        <v>410</v>
      </c>
      <c r="B42" s="39" t="s">
        <v>288</v>
      </c>
      <c r="D42" s="38" t="s">
        <v>411</v>
      </c>
      <c r="E42" s="40" t="s">
        <v>288</v>
      </c>
      <c r="G42" s="38" t="s">
        <v>412</v>
      </c>
      <c r="H42" s="41" t="s">
        <v>288</v>
      </c>
      <c r="J42" s="38" t="s">
        <v>413</v>
      </c>
      <c r="K42" s="42" t="s">
        <v>288</v>
      </c>
      <c r="M42" s="38" t="s">
        <v>414</v>
      </c>
      <c r="N42" s="43" t="s">
        <v>288</v>
      </c>
    </row>
    <row r="44" spans="1:16" ht="18.75" customHeight="1" x14ac:dyDescent="0.25">
      <c r="A44" s="38" t="s">
        <v>415</v>
      </c>
      <c r="B44" s="44" t="s">
        <v>416</v>
      </c>
      <c r="D44" s="38" t="s">
        <v>417</v>
      </c>
      <c r="E44" s="42" t="s">
        <v>416</v>
      </c>
      <c r="G44" s="38" t="s">
        <v>418</v>
      </c>
      <c r="H44" s="40" t="s">
        <v>416</v>
      </c>
      <c r="J44" s="38" t="s">
        <v>419</v>
      </c>
      <c r="K44" s="39" t="s">
        <v>289</v>
      </c>
    </row>
    <row r="47" spans="1:16" x14ac:dyDescent="0.25">
      <c r="A47" s="185" t="s">
        <v>420</v>
      </c>
      <c r="B47" s="114"/>
      <c r="C47" s="114"/>
      <c r="D47" s="114"/>
      <c r="F47" s="185" t="s">
        <v>421</v>
      </c>
      <c r="G47" s="114"/>
      <c r="H47" s="114"/>
      <c r="I47" s="114"/>
    </row>
    <row r="49" spans="1:9" x14ac:dyDescent="0.25">
      <c r="A49" s="25" t="s">
        <v>297</v>
      </c>
      <c r="B49" s="24" t="s">
        <v>298</v>
      </c>
      <c r="C49" s="23" t="s">
        <v>300</v>
      </c>
      <c r="D49" s="33" t="s">
        <v>302</v>
      </c>
      <c r="F49" s="45" t="s">
        <v>332</v>
      </c>
      <c r="G49" s="33" t="s">
        <v>422</v>
      </c>
      <c r="H49" s="24" t="s">
        <v>423</v>
      </c>
      <c r="I49" s="25" t="s">
        <v>424</v>
      </c>
    </row>
  </sheetData>
  <mergeCells count="4">
    <mergeCell ref="F47:I47"/>
    <mergeCell ref="A47:D47"/>
    <mergeCell ref="A1:P1"/>
    <mergeCell ref="A40:P40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27">
    <tabColor rgb="FF7030A0"/>
  </sheetPr>
  <dimension ref="A1:E12"/>
  <sheetViews>
    <sheetView showGridLines="0" workbookViewId="0">
      <selection sqref="A1:E1"/>
    </sheetView>
  </sheetViews>
  <sheetFormatPr baseColWidth="10" defaultColWidth="9.140625" defaultRowHeight="15" x14ac:dyDescent="0.25"/>
  <cols>
    <col min="1" max="1" width="8" customWidth="1"/>
    <col min="2" max="2" width="20" customWidth="1"/>
    <col min="3" max="3" width="35" customWidth="1"/>
    <col min="4" max="4" width="40" customWidth="1"/>
    <col min="5" max="5" width="12" customWidth="1"/>
  </cols>
  <sheetData>
    <row r="1" spans="1:5" ht="24.95" customHeight="1" x14ac:dyDescent="0.25">
      <c r="A1" s="144" t="s">
        <v>425</v>
      </c>
      <c r="B1" s="114"/>
      <c r="C1" s="114"/>
      <c r="D1" s="114"/>
      <c r="E1" s="114"/>
    </row>
    <row r="3" spans="1:5" x14ac:dyDescent="0.25">
      <c r="A3" s="188" t="s">
        <v>426</v>
      </c>
      <c r="B3" s="114"/>
      <c r="C3" s="114"/>
      <c r="D3" s="114"/>
      <c r="E3" s="114"/>
    </row>
    <row r="5" spans="1:5" x14ac:dyDescent="0.25">
      <c r="A5" s="46" t="s">
        <v>210</v>
      </c>
      <c r="B5" s="46" t="s">
        <v>212</v>
      </c>
      <c r="C5" s="46" t="s">
        <v>131</v>
      </c>
      <c r="D5" s="46" t="s">
        <v>427</v>
      </c>
      <c r="E5" s="46" t="s">
        <v>91</v>
      </c>
    </row>
    <row r="6" spans="1:5" x14ac:dyDescent="0.25">
      <c r="A6" s="20" t="s">
        <v>153</v>
      </c>
      <c r="B6" s="47" t="s">
        <v>240</v>
      </c>
      <c r="C6" s="47" t="s">
        <v>428</v>
      </c>
      <c r="D6" s="47" t="s">
        <v>429</v>
      </c>
      <c r="E6" s="20" t="s">
        <v>234</v>
      </c>
    </row>
    <row r="7" spans="1:5" x14ac:dyDescent="0.25">
      <c r="A7" s="20" t="s">
        <v>149</v>
      </c>
      <c r="B7" s="47" t="s">
        <v>249</v>
      </c>
      <c r="C7" s="47" t="s">
        <v>430</v>
      </c>
      <c r="D7" s="47" t="s">
        <v>431</v>
      </c>
      <c r="E7" s="20" t="s">
        <v>234</v>
      </c>
    </row>
    <row r="8" spans="1:5" x14ac:dyDescent="0.25">
      <c r="A8" s="20" t="s">
        <v>145</v>
      </c>
      <c r="B8" s="47" t="s">
        <v>432</v>
      </c>
      <c r="C8" s="47" t="s">
        <v>433</v>
      </c>
      <c r="D8" s="47" t="s">
        <v>434</v>
      </c>
      <c r="E8" s="20" t="s">
        <v>234</v>
      </c>
    </row>
    <row r="9" spans="1:5" x14ac:dyDescent="0.25">
      <c r="A9" s="20" t="s">
        <v>141</v>
      </c>
      <c r="B9" s="47" t="s">
        <v>435</v>
      </c>
      <c r="C9" s="47" t="s">
        <v>436</v>
      </c>
      <c r="D9" s="47" t="s">
        <v>437</v>
      </c>
      <c r="E9" s="20" t="s">
        <v>234</v>
      </c>
    </row>
    <row r="10" spans="1:5" x14ac:dyDescent="0.25">
      <c r="A10" s="20" t="s">
        <v>137</v>
      </c>
      <c r="B10" s="47" t="s">
        <v>438</v>
      </c>
      <c r="C10" s="47" t="s">
        <v>439</v>
      </c>
      <c r="D10" s="47" t="s">
        <v>440</v>
      </c>
      <c r="E10" s="20" t="s">
        <v>234</v>
      </c>
    </row>
    <row r="11" spans="1:5" x14ac:dyDescent="0.25">
      <c r="A11" s="20" t="s">
        <v>365</v>
      </c>
      <c r="B11" s="47" t="s">
        <v>441</v>
      </c>
      <c r="C11" s="47" t="s">
        <v>442</v>
      </c>
      <c r="D11" s="47" t="s">
        <v>443</v>
      </c>
      <c r="E11" s="20" t="s">
        <v>234</v>
      </c>
    </row>
    <row r="12" spans="1:5" x14ac:dyDescent="0.25">
      <c r="A12" s="20" t="s">
        <v>444</v>
      </c>
      <c r="B12" s="47" t="s">
        <v>445</v>
      </c>
      <c r="C12" s="47" t="s">
        <v>446</v>
      </c>
      <c r="D12" s="47" t="s">
        <v>447</v>
      </c>
      <c r="E12" s="20" t="s">
        <v>234</v>
      </c>
    </row>
  </sheetData>
  <mergeCells count="2">
    <mergeCell ref="A1:E1"/>
    <mergeCell ref="A3:E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28">
    <tabColor rgb="FF7030A0"/>
  </sheetPr>
  <dimension ref="A1:E13"/>
  <sheetViews>
    <sheetView showGridLines="0" workbookViewId="0">
      <selection sqref="A1:E1"/>
    </sheetView>
  </sheetViews>
  <sheetFormatPr baseColWidth="10" defaultColWidth="9.140625" defaultRowHeight="15" x14ac:dyDescent="0.25"/>
  <cols>
    <col min="1" max="1" width="8" customWidth="1"/>
    <col min="2" max="2" width="18" customWidth="1"/>
    <col min="3" max="3" width="35" customWidth="1"/>
    <col min="4" max="4" width="25" customWidth="1"/>
    <col min="5" max="5" width="12" customWidth="1"/>
  </cols>
  <sheetData>
    <row r="1" spans="1:5" ht="24.95" customHeight="1" x14ac:dyDescent="0.25">
      <c r="A1" s="144" t="s">
        <v>448</v>
      </c>
      <c r="B1" s="114"/>
      <c r="C1" s="114"/>
      <c r="D1" s="114"/>
      <c r="E1" s="114"/>
    </row>
    <row r="3" spans="1:5" x14ac:dyDescent="0.25">
      <c r="A3" s="188" t="s">
        <v>449</v>
      </c>
      <c r="B3" s="114"/>
      <c r="C3" s="114"/>
      <c r="D3" s="114"/>
      <c r="E3" s="114"/>
    </row>
    <row r="5" spans="1:5" x14ac:dyDescent="0.25">
      <c r="A5" s="46" t="s">
        <v>210</v>
      </c>
      <c r="B5" s="46" t="s">
        <v>214</v>
      </c>
      <c r="C5" s="46" t="s">
        <v>131</v>
      </c>
      <c r="D5" s="46" t="s">
        <v>230</v>
      </c>
      <c r="E5" s="46" t="s">
        <v>91</v>
      </c>
    </row>
    <row r="6" spans="1:5" x14ac:dyDescent="0.25">
      <c r="A6" s="6" t="s">
        <v>153</v>
      </c>
      <c r="B6" s="1" t="s">
        <v>450</v>
      </c>
      <c r="C6" s="1" t="s">
        <v>451</v>
      </c>
      <c r="D6" s="1" t="s">
        <v>452</v>
      </c>
      <c r="E6" s="6" t="s">
        <v>234</v>
      </c>
    </row>
    <row r="7" spans="1:5" x14ac:dyDescent="0.25">
      <c r="A7" s="6" t="s">
        <v>149</v>
      </c>
      <c r="B7" s="1" t="s">
        <v>453</v>
      </c>
      <c r="C7" s="1" t="s">
        <v>454</v>
      </c>
      <c r="D7" s="1" t="s">
        <v>455</v>
      </c>
      <c r="E7" s="6" t="s">
        <v>234</v>
      </c>
    </row>
    <row r="8" spans="1:5" x14ac:dyDescent="0.25">
      <c r="A8" s="6" t="s">
        <v>145</v>
      </c>
      <c r="B8" s="1" t="s">
        <v>456</v>
      </c>
      <c r="C8" s="1" t="s">
        <v>457</v>
      </c>
      <c r="D8" s="1" t="s">
        <v>458</v>
      </c>
      <c r="E8" s="6" t="s">
        <v>234</v>
      </c>
    </row>
    <row r="9" spans="1:5" x14ac:dyDescent="0.25">
      <c r="A9" s="6" t="s">
        <v>141</v>
      </c>
      <c r="B9" s="1" t="s">
        <v>459</v>
      </c>
      <c r="C9" s="1" t="s">
        <v>460</v>
      </c>
      <c r="D9" s="1" t="s">
        <v>461</v>
      </c>
      <c r="E9" s="6" t="s">
        <v>234</v>
      </c>
    </row>
    <row r="10" spans="1:5" x14ac:dyDescent="0.25">
      <c r="A10" s="6" t="s">
        <v>137</v>
      </c>
      <c r="B10" s="1" t="s">
        <v>462</v>
      </c>
      <c r="C10" s="1" t="s">
        <v>463</v>
      </c>
      <c r="D10" s="1" t="s">
        <v>464</v>
      </c>
      <c r="E10" s="6" t="s">
        <v>234</v>
      </c>
    </row>
    <row r="11" spans="1:5" x14ac:dyDescent="0.25">
      <c r="A11" s="6" t="s">
        <v>365</v>
      </c>
      <c r="B11" s="1" t="s">
        <v>465</v>
      </c>
      <c r="C11" s="1" t="s">
        <v>466</v>
      </c>
      <c r="D11" s="1" t="s">
        <v>467</v>
      </c>
      <c r="E11" s="6" t="s">
        <v>234</v>
      </c>
    </row>
    <row r="12" spans="1:5" x14ac:dyDescent="0.25">
      <c r="A12" s="6" t="s">
        <v>444</v>
      </c>
      <c r="B12" s="1" t="s">
        <v>468</v>
      </c>
      <c r="C12" s="1" t="s">
        <v>469</v>
      </c>
      <c r="D12" s="1" t="s">
        <v>100</v>
      </c>
      <c r="E12" s="6" t="s">
        <v>234</v>
      </c>
    </row>
    <row r="13" spans="1:5" x14ac:dyDescent="0.25">
      <c r="A13" s="6" t="s">
        <v>361</v>
      </c>
      <c r="B13" s="1" t="s">
        <v>470</v>
      </c>
      <c r="C13" s="1" t="s">
        <v>471</v>
      </c>
      <c r="D13" s="1" t="s">
        <v>101</v>
      </c>
      <c r="E13" s="6" t="s">
        <v>234</v>
      </c>
    </row>
  </sheetData>
  <mergeCells count="2">
    <mergeCell ref="A1:E1"/>
    <mergeCell ref="A3:E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29">
    <tabColor rgb="FF7030A0"/>
  </sheetPr>
  <dimension ref="A1:F10"/>
  <sheetViews>
    <sheetView showGridLines="0" workbookViewId="0">
      <selection sqref="A1:F1"/>
    </sheetView>
  </sheetViews>
  <sheetFormatPr baseColWidth="10" defaultColWidth="9.140625" defaultRowHeight="15" x14ac:dyDescent="0.25"/>
  <cols>
    <col min="1" max="1" width="8" customWidth="1"/>
    <col min="2" max="2" width="15" customWidth="1"/>
    <col min="3" max="3" width="45" customWidth="1"/>
    <col min="4" max="4" width="10" customWidth="1"/>
    <col min="5" max="6" width="12" customWidth="1"/>
  </cols>
  <sheetData>
    <row r="1" spans="1:6" ht="24.95" customHeight="1" x14ac:dyDescent="0.25">
      <c r="A1" s="144" t="s">
        <v>472</v>
      </c>
      <c r="B1" s="114"/>
      <c r="C1" s="114"/>
      <c r="D1" s="114"/>
      <c r="E1" s="114"/>
      <c r="F1" s="114"/>
    </row>
    <row r="3" spans="1:6" x14ac:dyDescent="0.25">
      <c r="A3" s="188" t="s">
        <v>473</v>
      </c>
      <c r="B3" s="114"/>
      <c r="C3" s="114"/>
      <c r="D3" s="114"/>
      <c r="E3" s="114"/>
      <c r="F3" s="114"/>
    </row>
    <row r="5" spans="1:6" x14ac:dyDescent="0.25">
      <c r="A5" s="46" t="s">
        <v>210</v>
      </c>
      <c r="B5" s="46" t="s">
        <v>217</v>
      </c>
      <c r="C5" s="46" t="s">
        <v>131</v>
      </c>
      <c r="D5" s="46" t="s">
        <v>130</v>
      </c>
      <c r="E5" s="46" t="s">
        <v>474</v>
      </c>
      <c r="F5" s="46" t="s">
        <v>91</v>
      </c>
    </row>
    <row r="6" spans="1:6" ht="30" customHeight="1" x14ac:dyDescent="0.25">
      <c r="A6" s="20" t="s">
        <v>153</v>
      </c>
      <c r="B6" s="47" t="s">
        <v>295</v>
      </c>
      <c r="C6" s="47" t="s">
        <v>475</v>
      </c>
      <c r="D6" s="20" t="s">
        <v>137</v>
      </c>
      <c r="E6" s="48" t="s">
        <v>476</v>
      </c>
      <c r="F6" s="20" t="s">
        <v>234</v>
      </c>
    </row>
    <row r="7" spans="1:6" ht="30" customHeight="1" x14ac:dyDescent="0.25">
      <c r="A7" s="20" t="s">
        <v>149</v>
      </c>
      <c r="B7" s="47" t="s">
        <v>156</v>
      </c>
      <c r="C7" s="47" t="s">
        <v>477</v>
      </c>
      <c r="D7" s="20" t="s">
        <v>141</v>
      </c>
      <c r="E7" s="49" t="s">
        <v>478</v>
      </c>
      <c r="F7" s="20" t="s">
        <v>234</v>
      </c>
    </row>
    <row r="8" spans="1:6" x14ac:dyDescent="0.25">
      <c r="A8" s="20" t="s">
        <v>145</v>
      </c>
      <c r="B8" s="47" t="s">
        <v>159</v>
      </c>
      <c r="C8" s="47" t="s">
        <v>479</v>
      </c>
      <c r="D8" s="20" t="s">
        <v>145</v>
      </c>
      <c r="E8" s="50" t="s">
        <v>480</v>
      </c>
      <c r="F8" s="20" t="s">
        <v>234</v>
      </c>
    </row>
    <row r="9" spans="1:6" x14ac:dyDescent="0.25">
      <c r="A9" s="20" t="s">
        <v>141</v>
      </c>
      <c r="B9" s="47" t="s">
        <v>162</v>
      </c>
      <c r="C9" s="47" t="s">
        <v>481</v>
      </c>
      <c r="D9" s="20" t="s">
        <v>149</v>
      </c>
      <c r="E9" s="51" t="s">
        <v>482</v>
      </c>
      <c r="F9" s="20" t="s">
        <v>234</v>
      </c>
    </row>
    <row r="10" spans="1:6" x14ac:dyDescent="0.25">
      <c r="A10" s="20" t="s">
        <v>137</v>
      </c>
      <c r="B10" s="47" t="s">
        <v>165</v>
      </c>
      <c r="C10" s="47" t="s">
        <v>483</v>
      </c>
      <c r="D10" s="20" t="s">
        <v>153</v>
      </c>
      <c r="E10" s="52" t="s">
        <v>484</v>
      </c>
      <c r="F10" s="20" t="s">
        <v>234</v>
      </c>
    </row>
  </sheetData>
  <mergeCells count="2">
    <mergeCell ref="A3:F3"/>
    <mergeCell ref="A1:F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30">
    <tabColor rgb="FF2E75B5"/>
  </sheetPr>
  <dimension ref="A1:H51"/>
  <sheetViews>
    <sheetView showGridLines="0" workbookViewId="0">
      <selection sqref="A1:H1"/>
    </sheetView>
  </sheetViews>
  <sheetFormatPr baseColWidth="10" defaultColWidth="9.140625" defaultRowHeight="15" x14ac:dyDescent="0.25"/>
  <cols>
    <col min="1" max="1" width="12" customWidth="1"/>
    <col min="2" max="2" width="25" customWidth="1"/>
    <col min="3" max="3" width="40" customWidth="1"/>
    <col min="4" max="4" width="18" customWidth="1"/>
    <col min="5" max="5" width="12" customWidth="1"/>
    <col min="6" max="6" width="10" customWidth="1"/>
    <col min="7" max="7" width="15" customWidth="1"/>
    <col min="8" max="8" width="20" customWidth="1"/>
  </cols>
  <sheetData>
    <row r="1" spans="1:8" ht="24.95" customHeight="1" x14ac:dyDescent="0.25">
      <c r="A1" s="129" t="s">
        <v>485</v>
      </c>
      <c r="B1" s="114"/>
      <c r="C1" s="114"/>
      <c r="D1" s="114"/>
      <c r="E1" s="114"/>
      <c r="F1" s="114"/>
      <c r="G1" s="114"/>
      <c r="H1" s="114"/>
    </row>
    <row r="3" spans="1:8" x14ac:dyDescent="0.25">
      <c r="A3" s="190" t="s">
        <v>486</v>
      </c>
      <c r="B3" s="114"/>
      <c r="C3" s="114"/>
      <c r="D3" s="114"/>
      <c r="E3" s="114"/>
      <c r="F3" s="114"/>
      <c r="G3" s="114"/>
      <c r="H3" s="114"/>
    </row>
    <row r="5" spans="1:8" ht="30" customHeight="1" x14ac:dyDescent="0.25">
      <c r="A5" s="53" t="s">
        <v>487</v>
      </c>
      <c r="B5" s="53" t="s">
        <v>211</v>
      </c>
      <c r="C5" s="53" t="s">
        <v>131</v>
      </c>
      <c r="D5" s="53" t="s">
        <v>212</v>
      </c>
      <c r="E5" s="53" t="s">
        <v>297</v>
      </c>
      <c r="F5" s="53" t="s">
        <v>130</v>
      </c>
      <c r="G5" s="53" t="s">
        <v>230</v>
      </c>
      <c r="H5" s="53" t="s">
        <v>488</v>
      </c>
    </row>
    <row r="6" spans="1:8" ht="30" customHeight="1" x14ac:dyDescent="0.25">
      <c r="A6" s="20" t="s">
        <v>489</v>
      </c>
      <c r="B6" s="47" t="s">
        <v>490</v>
      </c>
      <c r="C6" s="47" t="s">
        <v>491</v>
      </c>
      <c r="D6" s="47" t="s">
        <v>492</v>
      </c>
      <c r="E6" s="54" t="s">
        <v>493</v>
      </c>
      <c r="F6" s="20" t="s">
        <v>159</v>
      </c>
      <c r="G6" s="47" t="s">
        <v>100</v>
      </c>
      <c r="H6" s="47" t="s">
        <v>494</v>
      </c>
    </row>
    <row r="7" spans="1:8" x14ac:dyDescent="0.25">
      <c r="A7" s="20" t="s">
        <v>495</v>
      </c>
      <c r="B7" s="47" t="s">
        <v>496</v>
      </c>
      <c r="C7" s="47" t="s">
        <v>497</v>
      </c>
      <c r="D7" s="47" t="s">
        <v>492</v>
      </c>
      <c r="E7" s="54" t="s">
        <v>493</v>
      </c>
      <c r="F7" s="20" t="s">
        <v>159</v>
      </c>
      <c r="G7" s="47" t="s">
        <v>453</v>
      </c>
      <c r="H7" s="47" t="s">
        <v>498</v>
      </c>
    </row>
    <row r="8" spans="1:8" x14ac:dyDescent="0.25">
      <c r="A8" s="20" t="s">
        <v>499</v>
      </c>
      <c r="B8" s="47" t="s">
        <v>500</v>
      </c>
      <c r="C8" s="47" t="s">
        <v>501</v>
      </c>
      <c r="D8" s="47" t="s">
        <v>492</v>
      </c>
      <c r="E8" s="22" t="s">
        <v>502</v>
      </c>
      <c r="F8" s="20" t="s">
        <v>162</v>
      </c>
      <c r="G8" s="47" t="s">
        <v>100</v>
      </c>
      <c r="H8" s="47" t="s">
        <v>503</v>
      </c>
    </row>
    <row r="9" spans="1:8" x14ac:dyDescent="0.25">
      <c r="A9" s="20" t="s">
        <v>504</v>
      </c>
      <c r="B9" s="47" t="s">
        <v>505</v>
      </c>
      <c r="C9" s="47" t="s">
        <v>506</v>
      </c>
      <c r="D9" s="47" t="s">
        <v>492</v>
      </c>
      <c r="E9" s="55" t="s">
        <v>507</v>
      </c>
      <c r="F9" s="20" t="s">
        <v>165</v>
      </c>
      <c r="G9" s="47" t="s">
        <v>450</v>
      </c>
      <c r="H9" s="47" t="s">
        <v>508</v>
      </c>
    </row>
    <row r="10" spans="1:8" x14ac:dyDescent="0.25">
      <c r="A10" s="20" t="s">
        <v>509</v>
      </c>
      <c r="B10" s="47" t="s">
        <v>510</v>
      </c>
      <c r="C10" s="47" t="s">
        <v>511</v>
      </c>
      <c r="D10" s="47" t="s">
        <v>492</v>
      </c>
      <c r="E10" s="54" t="s">
        <v>493</v>
      </c>
      <c r="F10" s="20" t="s">
        <v>159</v>
      </c>
      <c r="G10" s="47" t="s">
        <v>100</v>
      </c>
      <c r="H10" s="47" t="s">
        <v>512</v>
      </c>
    </row>
    <row r="50" spans="1:8" x14ac:dyDescent="0.25">
      <c r="A50" s="189" t="s">
        <v>513</v>
      </c>
      <c r="B50" s="114"/>
      <c r="C50" s="114"/>
      <c r="D50" s="114"/>
      <c r="E50" s="114"/>
      <c r="F50" s="114"/>
      <c r="G50" s="114"/>
      <c r="H50" s="114"/>
    </row>
    <row r="51" spans="1:8" x14ac:dyDescent="0.25">
      <c r="A51" s="191" t="s">
        <v>514</v>
      </c>
      <c r="B51" s="114"/>
      <c r="C51" s="114"/>
      <c r="D51" s="114"/>
      <c r="E51" s="114"/>
      <c r="F51" s="114"/>
      <c r="G51" s="114"/>
      <c r="H51" s="114"/>
    </row>
  </sheetData>
  <mergeCells count="4">
    <mergeCell ref="A50:H50"/>
    <mergeCell ref="A3:H3"/>
    <mergeCell ref="A51:H51"/>
    <mergeCell ref="A1:H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31">
    <tabColor rgb="FF00B050"/>
  </sheetPr>
  <dimension ref="A1:I61"/>
  <sheetViews>
    <sheetView showGridLines="0" workbookViewId="0">
      <selection sqref="A1:I1"/>
    </sheetView>
  </sheetViews>
  <sheetFormatPr baseColWidth="10" defaultColWidth="9.140625" defaultRowHeight="15" x14ac:dyDescent="0.25"/>
  <cols>
    <col min="1" max="1" width="10" customWidth="1"/>
    <col min="2" max="2" width="22" customWidth="1"/>
    <col min="3" max="3" width="35" customWidth="1"/>
    <col min="4" max="4" width="12" customWidth="1"/>
    <col min="5" max="5" width="35" customWidth="1"/>
    <col min="6" max="6" width="12" customWidth="1"/>
    <col min="7" max="7" width="30" customWidth="1"/>
    <col min="8" max="8" width="15" customWidth="1"/>
    <col min="9" max="9" width="18" customWidth="1"/>
  </cols>
  <sheetData>
    <row r="1" spans="1:9" ht="24.95" customHeight="1" x14ac:dyDescent="0.25">
      <c r="A1" s="192" t="s">
        <v>515</v>
      </c>
      <c r="B1" s="114"/>
      <c r="C1" s="114"/>
      <c r="D1" s="114"/>
      <c r="E1" s="114"/>
      <c r="F1" s="114"/>
      <c r="G1" s="114"/>
      <c r="H1" s="114"/>
      <c r="I1" s="114"/>
    </row>
    <row r="3" spans="1:9" x14ac:dyDescent="0.25">
      <c r="A3" s="56" t="s">
        <v>516</v>
      </c>
      <c r="B3" s="4" t="s">
        <v>517</v>
      </c>
    </row>
    <row r="4" spans="1:9" x14ac:dyDescent="0.25">
      <c r="A4" s="56" t="s">
        <v>518</v>
      </c>
      <c r="B4" s="4" t="s">
        <v>519</v>
      </c>
    </row>
    <row r="5" spans="1:9" x14ac:dyDescent="0.25">
      <c r="A5" s="56" t="s">
        <v>520</v>
      </c>
      <c r="B5" s="4" t="s">
        <v>235</v>
      </c>
    </row>
    <row r="6" spans="1:9" x14ac:dyDescent="0.25">
      <c r="A6" s="56" t="s">
        <v>521</v>
      </c>
      <c r="B6" s="4" t="s">
        <v>100</v>
      </c>
    </row>
    <row r="9" spans="1:9" ht="15.75" customHeight="1" x14ac:dyDescent="0.25">
      <c r="A9" s="193" t="s">
        <v>522</v>
      </c>
      <c r="B9" s="114"/>
      <c r="C9" s="114"/>
      <c r="D9" s="114"/>
      <c r="E9" s="114"/>
      <c r="F9" s="114"/>
      <c r="G9" s="114"/>
      <c r="H9" s="114"/>
      <c r="I9" s="114"/>
    </row>
    <row r="11" spans="1:9" ht="35.1" customHeight="1" x14ac:dyDescent="0.25">
      <c r="A11" s="57" t="s">
        <v>210</v>
      </c>
      <c r="B11" s="57" t="s">
        <v>523</v>
      </c>
      <c r="C11" s="57" t="s">
        <v>131</v>
      </c>
      <c r="D11" s="57" t="s">
        <v>524</v>
      </c>
      <c r="E11" s="57" t="s">
        <v>525</v>
      </c>
      <c r="F11" s="57" t="s">
        <v>526</v>
      </c>
      <c r="G11" s="57" t="s">
        <v>527</v>
      </c>
      <c r="H11" s="57" t="s">
        <v>230</v>
      </c>
      <c r="I11" s="57" t="s">
        <v>528</v>
      </c>
    </row>
    <row r="12" spans="1:9" ht="30" customHeight="1" x14ac:dyDescent="0.25">
      <c r="A12" s="20" t="s">
        <v>489</v>
      </c>
      <c r="B12" s="47" t="s">
        <v>490</v>
      </c>
      <c r="C12" s="47" t="s">
        <v>491</v>
      </c>
      <c r="D12" s="58" t="s">
        <v>493</v>
      </c>
      <c r="E12" s="47" t="s">
        <v>529</v>
      </c>
      <c r="F12" s="54" t="s">
        <v>493</v>
      </c>
      <c r="G12" s="47" t="s">
        <v>530</v>
      </c>
      <c r="H12" s="47" t="s">
        <v>100</v>
      </c>
      <c r="I12" s="47" t="s">
        <v>531</v>
      </c>
    </row>
    <row r="13" spans="1:9" x14ac:dyDescent="0.25">
      <c r="A13" s="20" t="s">
        <v>495</v>
      </c>
      <c r="B13" s="47" t="s">
        <v>496</v>
      </c>
      <c r="C13" s="47" t="s">
        <v>497</v>
      </c>
      <c r="D13" s="58" t="s">
        <v>493</v>
      </c>
      <c r="E13" s="47" t="s">
        <v>532</v>
      </c>
      <c r="F13" s="54" t="s">
        <v>493</v>
      </c>
      <c r="G13" s="47" t="s">
        <v>533</v>
      </c>
      <c r="H13" s="47" t="s">
        <v>453</v>
      </c>
      <c r="I13" s="47" t="s">
        <v>534</v>
      </c>
    </row>
    <row r="14" spans="1:9" x14ac:dyDescent="0.25">
      <c r="A14" s="20" t="s">
        <v>509</v>
      </c>
      <c r="B14" s="47" t="s">
        <v>510</v>
      </c>
      <c r="C14" s="47" t="s">
        <v>535</v>
      </c>
      <c r="D14" s="58" t="s">
        <v>493</v>
      </c>
      <c r="E14" s="47" t="s">
        <v>536</v>
      </c>
      <c r="F14" s="54" t="s">
        <v>493</v>
      </c>
      <c r="G14" s="47" t="s">
        <v>537</v>
      </c>
      <c r="H14" s="47" t="s">
        <v>100</v>
      </c>
      <c r="I14" s="47" t="s">
        <v>538</v>
      </c>
    </row>
    <row r="55" spans="1:4" x14ac:dyDescent="0.25">
      <c r="A55" s="194" t="s">
        <v>539</v>
      </c>
      <c r="B55" s="114"/>
      <c r="C55" s="114"/>
      <c r="D55" s="114"/>
    </row>
    <row r="57" spans="1:4" ht="15.75" customHeight="1" x14ac:dyDescent="0.25">
      <c r="A57" s="59" t="s">
        <v>540</v>
      </c>
      <c r="B57" s="60" t="s">
        <v>541</v>
      </c>
    </row>
    <row r="58" spans="1:4" ht="15.75" customHeight="1" x14ac:dyDescent="0.25">
      <c r="A58" s="59" t="s">
        <v>542</v>
      </c>
      <c r="B58" s="60" t="s">
        <v>288</v>
      </c>
    </row>
    <row r="59" spans="1:4" ht="15.75" customHeight="1" x14ac:dyDescent="0.25">
      <c r="A59" s="59" t="s">
        <v>543</v>
      </c>
      <c r="B59" s="60" t="s">
        <v>288</v>
      </c>
    </row>
    <row r="60" spans="1:4" ht="15.75" customHeight="1" x14ac:dyDescent="0.25">
      <c r="A60" s="59" t="s">
        <v>544</v>
      </c>
      <c r="B60" s="60" t="s">
        <v>288</v>
      </c>
    </row>
    <row r="61" spans="1:4" ht="15.75" customHeight="1" x14ac:dyDescent="0.25">
      <c r="A61" s="59" t="s">
        <v>545</v>
      </c>
      <c r="B61" s="60" t="s">
        <v>289</v>
      </c>
    </row>
  </sheetData>
  <mergeCells count="3">
    <mergeCell ref="A1:I1"/>
    <mergeCell ref="A9:I9"/>
    <mergeCell ref="A55:D55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32">
    <tabColor rgb="FFE74C3C"/>
  </sheetPr>
  <dimension ref="A1:G54"/>
  <sheetViews>
    <sheetView showGridLines="0" workbookViewId="0"/>
  </sheetViews>
  <sheetFormatPr baseColWidth="10" defaultColWidth="9.140625" defaultRowHeight="15" x14ac:dyDescent="0.25"/>
  <cols>
    <col min="1" max="1" width="10" customWidth="1"/>
    <col min="2" max="2" width="20" customWidth="1"/>
    <col min="3" max="3" width="45" customWidth="1"/>
    <col min="4" max="4" width="12" customWidth="1"/>
    <col min="5" max="5" width="15" customWidth="1"/>
    <col min="6" max="6" width="12" customWidth="1"/>
    <col min="7" max="7" width="15" customWidth="1"/>
  </cols>
  <sheetData>
    <row r="1" spans="1:7" ht="24.95" customHeight="1" x14ac:dyDescent="0.25">
      <c r="A1" s="158" t="s">
        <v>546</v>
      </c>
      <c r="B1" s="114"/>
      <c r="C1" s="114"/>
      <c r="D1" s="114"/>
      <c r="E1" s="114"/>
      <c r="F1" s="114"/>
      <c r="G1" s="114"/>
    </row>
    <row r="3" spans="1:7" x14ac:dyDescent="0.25">
      <c r="A3" s="188" t="s">
        <v>547</v>
      </c>
      <c r="B3" s="114"/>
      <c r="C3" s="114"/>
      <c r="D3" s="114"/>
      <c r="E3" s="114"/>
      <c r="F3" s="114"/>
      <c r="G3" s="114"/>
    </row>
    <row r="5" spans="1:7" ht="30" customHeight="1" x14ac:dyDescent="0.25">
      <c r="A5" s="61" t="s">
        <v>210</v>
      </c>
      <c r="B5" s="61" t="s">
        <v>305</v>
      </c>
      <c r="C5" s="61" t="s">
        <v>131</v>
      </c>
      <c r="D5" s="61" t="s">
        <v>86</v>
      </c>
      <c r="E5" s="61" t="s">
        <v>548</v>
      </c>
      <c r="F5" s="61" t="s">
        <v>130</v>
      </c>
      <c r="G5" s="61" t="s">
        <v>549</v>
      </c>
    </row>
    <row r="6" spans="1:7" ht="30" customHeight="1" x14ac:dyDescent="0.25">
      <c r="A6" s="20" t="s">
        <v>550</v>
      </c>
      <c r="B6" s="47" t="s">
        <v>551</v>
      </c>
      <c r="C6" s="47" t="s">
        <v>552</v>
      </c>
      <c r="D6" s="20" t="s">
        <v>553</v>
      </c>
      <c r="E6" s="20" t="s">
        <v>554</v>
      </c>
      <c r="F6" s="21" t="s">
        <v>159</v>
      </c>
      <c r="G6" s="20" t="s">
        <v>555</v>
      </c>
    </row>
    <row r="7" spans="1:7" x14ac:dyDescent="0.25">
      <c r="A7" s="20" t="s">
        <v>556</v>
      </c>
      <c r="B7" s="47" t="s">
        <v>557</v>
      </c>
      <c r="C7" s="47" t="s">
        <v>558</v>
      </c>
      <c r="D7" s="20" t="s">
        <v>553</v>
      </c>
      <c r="E7" s="20" t="s">
        <v>554</v>
      </c>
      <c r="F7" s="21" t="s">
        <v>159</v>
      </c>
      <c r="G7" s="20" t="s">
        <v>559</v>
      </c>
    </row>
    <row r="8" spans="1:7" x14ac:dyDescent="0.25">
      <c r="A8" s="20" t="s">
        <v>560</v>
      </c>
      <c r="B8" s="47" t="s">
        <v>561</v>
      </c>
      <c r="C8" s="47" t="s">
        <v>562</v>
      </c>
      <c r="D8" s="20" t="s">
        <v>553</v>
      </c>
      <c r="E8" s="20" t="s">
        <v>554</v>
      </c>
      <c r="F8" s="22" t="s">
        <v>162</v>
      </c>
      <c r="G8" s="20" t="s">
        <v>563</v>
      </c>
    </row>
    <row r="9" spans="1:7" ht="30" customHeight="1" x14ac:dyDescent="0.25">
      <c r="A9" s="20" t="s">
        <v>564</v>
      </c>
      <c r="B9" s="47" t="s">
        <v>565</v>
      </c>
      <c r="C9" s="47" t="s">
        <v>566</v>
      </c>
      <c r="D9" s="20" t="s">
        <v>553</v>
      </c>
      <c r="E9" s="20" t="s">
        <v>567</v>
      </c>
      <c r="F9" s="62" t="s">
        <v>295</v>
      </c>
      <c r="G9" s="20" t="s">
        <v>568</v>
      </c>
    </row>
    <row r="10" spans="1:7" x14ac:dyDescent="0.25">
      <c r="A10" s="20" t="s">
        <v>569</v>
      </c>
      <c r="B10" s="47" t="s">
        <v>570</v>
      </c>
      <c r="C10" s="47" t="s">
        <v>571</v>
      </c>
      <c r="D10" s="20" t="s">
        <v>572</v>
      </c>
      <c r="E10" s="20" t="s">
        <v>573</v>
      </c>
      <c r="F10" s="21" t="s">
        <v>159</v>
      </c>
      <c r="G10" s="20" t="s">
        <v>574</v>
      </c>
    </row>
    <row r="11" spans="1:7" x14ac:dyDescent="0.25">
      <c r="A11" s="20" t="s">
        <v>575</v>
      </c>
      <c r="B11" s="47" t="s">
        <v>576</v>
      </c>
      <c r="C11" s="47" t="s">
        <v>577</v>
      </c>
      <c r="D11" s="20" t="s">
        <v>578</v>
      </c>
      <c r="E11" s="20" t="s">
        <v>579</v>
      </c>
      <c r="F11" s="22" t="s">
        <v>162</v>
      </c>
      <c r="G11" s="20" t="s">
        <v>508</v>
      </c>
    </row>
    <row r="12" spans="1:7" x14ac:dyDescent="0.25">
      <c r="A12" s="20" t="s">
        <v>580</v>
      </c>
      <c r="B12" s="47" t="s">
        <v>581</v>
      </c>
      <c r="C12" s="47" t="s">
        <v>582</v>
      </c>
      <c r="D12" s="20" t="s">
        <v>578</v>
      </c>
      <c r="E12" s="20" t="s">
        <v>579</v>
      </c>
      <c r="F12" s="21" t="s">
        <v>159</v>
      </c>
      <c r="G12" s="20" t="s">
        <v>508</v>
      </c>
    </row>
    <row r="13" spans="1:7" x14ac:dyDescent="0.25">
      <c r="A13" s="20" t="s">
        <v>583</v>
      </c>
      <c r="B13" s="47" t="s">
        <v>584</v>
      </c>
      <c r="C13" s="47" t="s">
        <v>585</v>
      </c>
      <c r="D13" s="20" t="s">
        <v>572</v>
      </c>
      <c r="E13" s="20" t="s">
        <v>573</v>
      </c>
      <c r="F13" s="22" t="s">
        <v>162</v>
      </c>
      <c r="G13" s="20" t="s">
        <v>508</v>
      </c>
    </row>
    <row r="50" spans="1:4" x14ac:dyDescent="0.25">
      <c r="A50" s="196" t="s">
        <v>586</v>
      </c>
      <c r="B50" s="114"/>
      <c r="C50" s="114"/>
    </row>
    <row r="52" spans="1:4" x14ac:dyDescent="0.25">
      <c r="A52" s="63" t="s">
        <v>553</v>
      </c>
      <c r="B52" s="195" t="s">
        <v>587</v>
      </c>
      <c r="C52" s="169"/>
      <c r="D52" s="170"/>
    </row>
    <row r="53" spans="1:4" x14ac:dyDescent="0.25">
      <c r="A53" s="63" t="s">
        <v>572</v>
      </c>
      <c r="B53" s="195" t="s">
        <v>588</v>
      </c>
      <c r="C53" s="169"/>
      <c r="D53" s="170"/>
    </row>
    <row r="54" spans="1:4" x14ac:dyDescent="0.25">
      <c r="A54" s="63" t="s">
        <v>578</v>
      </c>
      <c r="B54" s="195" t="s">
        <v>589</v>
      </c>
      <c r="C54" s="169"/>
      <c r="D54" s="170"/>
    </row>
  </sheetData>
  <mergeCells count="6">
    <mergeCell ref="B54:D54"/>
    <mergeCell ref="A1:G1"/>
    <mergeCell ref="A3:G3"/>
    <mergeCell ref="B52:D52"/>
    <mergeCell ref="B53:D53"/>
    <mergeCell ref="A50:C50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Hoja33">
    <tabColor rgb="FFFD6A02"/>
  </sheetPr>
  <dimension ref="A1:L5"/>
  <sheetViews>
    <sheetView showGridLines="0" workbookViewId="0"/>
  </sheetViews>
  <sheetFormatPr baseColWidth="10" defaultColWidth="9.140625" defaultRowHeight="15" x14ac:dyDescent="0.25"/>
  <cols>
    <col min="1" max="1" width="12" customWidth="1"/>
    <col min="2" max="2" width="20" customWidth="1"/>
    <col min="3" max="3" width="35" customWidth="1"/>
    <col min="4" max="4" width="18" customWidth="1"/>
    <col min="5" max="5" width="15" customWidth="1"/>
    <col min="6" max="10" width="12" customWidth="1"/>
    <col min="11" max="11" width="15" customWidth="1"/>
    <col min="12" max="12" width="30" customWidth="1"/>
  </cols>
  <sheetData>
    <row r="1" spans="1:12" ht="24.95" customHeight="1" x14ac:dyDescent="0.25">
      <c r="A1" s="197" t="s">
        <v>590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</row>
    <row r="3" spans="1:12" ht="30" customHeight="1" x14ac:dyDescent="0.25">
      <c r="A3" s="64" t="s">
        <v>591</v>
      </c>
      <c r="B3" s="64" t="s">
        <v>211</v>
      </c>
      <c r="C3" s="64" t="s">
        <v>131</v>
      </c>
      <c r="D3" s="64" t="s">
        <v>592</v>
      </c>
      <c r="E3" s="64" t="s">
        <v>86</v>
      </c>
      <c r="F3" s="64" t="s">
        <v>593</v>
      </c>
      <c r="G3" s="64" t="s">
        <v>594</v>
      </c>
      <c r="H3" s="64" t="s">
        <v>91</v>
      </c>
      <c r="I3" s="64" t="s">
        <v>595</v>
      </c>
      <c r="J3" s="64" t="s">
        <v>596</v>
      </c>
      <c r="K3" s="64" t="s">
        <v>230</v>
      </c>
      <c r="L3" s="64" t="s">
        <v>597</v>
      </c>
    </row>
    <row r="4" spans="1:12" ht="30" customHeight="1" x14ac:dyDescent="0.25">
      <c r="A4" s="20" t="s">
        <v>598</v>
      </c>
      <c r="B4" s="47" t="s">
        <v>599</v>
      </c>
      <c r="C4" s="47" t="s">
        <v>600</v>
      </c>
      <c r="D4" s="47" t="s">
        <v>601</v>
      </c>
      <c r="E4" s="20" t="s">
        <v>553</v>
      </c>
      <c r="F4" s="62" t="s">
        <v>233</v>
      </c>
      <c r="G4" s="47" t="s">
        <v>602</v>
      </c>
      <c r="H4" s="20" t="s">
        <v>300</v>
      </c>
      <c r="I4" s="47" t="s">
        <v>397</v>
      </c>
      <c r="J4" s="47"/>
      <c r="K4" s="47" t="s">
        <v>603</v>
      </c>
      <c r="L4" s="47" t="s">
        <v>604</v>
      </c>
    </row>
    <row r="5" spans="1:12" x14ac:dyDescent="0.25">
      <c r="A5" s="20" t="s">
        <v>605</v>
      </c>
      <c r="B5" s="47" t="s">
        <v>606</v>
      </c>
      <c r="C5" s="47" t="s">
        <v>607</v>
      </c>
      <c r="D5" s="47" t="s">
        <v>608</v>
      </c>
      <c r="E5" s="20" t="s">
        <v>609</v>
      </c>
      <c r="F5" s="21" t="s">
        <v>138</v>
      </c>
      <c r="G5" s="47" t="s">
        <v>610</v>
      </c>
      <c r="H5" s="20" t="s">
        <v>611</v>
      </c>
      <c r="I5" s="47" t="s">
        <v>612</v>
      </c>
      <c r="J5" s="47"/>
      <c r="K5" s="47" t="s">
        <v>111</v>
      </c>
      <c r="L5" s="47" t="s">
        <v>613</v>
      </c>
    </row>
  </sheetData>
  <mergeCells count="1">
    <mergeCell ref="A1:L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Hoja34">
    <tabColor rgb="FFC00000"/>
  </sheetPr>
  <dimension ref="A1:O4"/>
  <sheetViews>
    <sheetView showGridLines="0" workbookViewId="0"/>
  </sheetViews>
  <sheetFormatPr baseColWidth="10" defaultColWidth="9.140625" defaultRowHeight="15" x14ac:dyDescent="0.25"/>
  <cols>
    <col min="1" max="2" width="14" customWidth="1"/>
    <col min="3" max="3" width="20" customWidth="1"/>
    <col min="4" max="4" width="30" customWidth="1"/>
    <col min="5" max="5" width="12" customWidth="1"/>
    <col min="6" max="6" width="10" customWidth="1"/>
    <col min="7" max="7" width="18" customWidth="1"/>
    <col min="8" max="8" width="15" customWidth="1"/>
    <col min="9" max="9" width="10" customWidth="1"/>
    <col min="10" max="10" width="15" customWidth="1"/>
    <col min="11" max="11" width="12" customWidth="1"/>
    <col min="12" max="12" width="10" customWidth="1"/>
    <col min="13" max="13" width="20" customWidth="1"/>
    <col min="14" max="15" width="30" customWidth="1"/>
  </cols>
  <sheetData>
    <row r="1" spans="1:15" ht="24.95" customHeight="1" x14ac:dyDescent="0.25">
      <c r="A1" s="178" t="s">
        <v>614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</row>
    <row r="3" spans="1:15" ht="35.1" customHeight="1" x14ac:dyDescent="0.25">
      <c r="A3" s="65" t="s">
        <v>615</v>
      </c>
      <c r="B3" s="65" t="s">
        <v>616</v>
      </c>
      <c r="C3" s="65" t="s">
        <v>85</v>
      </c>
      <c r="D3" s="65" t="s">
        <v>131</v>
      </c>
      <c r="E3" s="65" t="s">
        <v>86</v>
      </c>
      <c r="F3" s="65" t="s">
        <v>593</v>
      </c>
      <c r="G3" s="65" t="s">
        <v>617</v>
      </c>
      <c r="H3" s="65" t="s">
        <v>618</v>
      </c>
      <c r="I3" s="65" t="s">
        <v>91</v>
      </c>
      <c r="J3" s="65" t="s">
        <v>619</v>
      </c>
      <c r="K3" s="65" t="s">
        <v>596</v>
      </c>
      <c r="L3" s="65" t="s">
        <v>620</v>
      </c>
      <c r="M3" s="65" t="s">
        <v>621</v>
      </c>
      <c r="N3" s="65" t="s">
        <v>622</v>
      </c>
      <c r="O3" s="65" t="s">
        <v>623</v>
      </c>
    </row>
    <row r="4" spans="1:15" ht="30" customHeight="1" x14ac:dyDescent="0.25">
      <c r="A4" s="20" t="s">
        <v>624</v>
      </c>
      <c r="B4" s="47" t="s">
        <v>625</v>
      </c>
      <c r="C4" s="47" t="s">
        <v>626</v>
      </c>
      <c r="D4" s="47" t="s">
        <v>627</v>
      </c>
      <c r="E4" s="20" t="s">
        <v>557</v>
      </c>
      <c r="F4" s="20" t="s">
        <v>142</v>
      </c>
      <c r="G4" s="47" t="s">
        <v>628</v>
      </c>
      <c r="H4" s="47" t="s">
        <v>629</v>
      </c>
      <c r="I4" s="54" t="s">
        <v>630</v>
      </c>
      <c r="J4" s="47" t="s">
        <v>631</v>
      </c>
      <c r="K4" s="47" t="s">
        <v>632</v>
      </c>
      <c r="L4" s="47" t="s">
        <v>633</v>
      </c>
      <c r="M4" s="47" t="s">
        <v>634</v>
      </c>
      <c r="N4" s="47" t="s">
        <v>635</v>
      </c>
      <c r="O4" s="47" t="s">
        <v>636</v>
      </c>
    </row>
  </sheetData>
  <mergeCells count="1">
    <mergeCell ref="A1:O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Hoja35">
    <tabColor rgb="FF1F4E78"/>
  </sheetPr>
  <dimension ref="A1:J8"/>
  <sheetViews>
    <sheetView showGridLines="0" workbookViewId="0"/>
  </sheetViews>
  <sheetFormatPr baseColWidth="10" defaultColWidth="9.140625" defaultRowHeight="15" x14ac:dyDescent="0.25"/>
  <cols>
    <col min="1" max="1" width="14" customWidth="1"/>
    <col min="2" max="2" width="28" customWidth="1"/>
    <col min="3" max="3" width="35" customWidth="1"/>
    <col min="4" max="4" width="8" customWidth="1"/>
    <col min="5" max="7" width="12" customWidth="1"/>
    <col min="8" max="8" width="10" customWidth="1"/>
    <col min="9" max="9" width="20" customWidth="1"/>
    <col min="10" max="10" width="12" customWidth="1"/>
  </cols>
  <sheetData>
    <row r="1" spans="1:10" ht="24.95" customHeight="1" x14ac:dyDescent="0.25">
      <c r="A1" s="198" t="s">
        <v>637</v>
      </c>
      <c r="B1" s="114"/>
      <c r="C1" s="114"/>
      <c r="D1" s="114"/>
      <c r="E1" s="114"/>
      <c r="F1" s="114"/>
      <c r="G1" s="114"/>
      <c r="H1" s="114"/>
      <c r="I1" s="114"/>
      <c r="J1" s="114"/>
    </row>
    <row r="3" spans="1:10" ht="30" customHeight="1" x14ac:dyDescent="0.25">
      <c r="A3" s="66" t="s">
        <v>638</v>
      </c>
      <c r="B3" s="66" t="s">
        <v>639</v>
      </c>
      <c r="C3" s="66" t="s">
        <v>131</v>
      </c>
      <c r="D3" s="66" t="s">
        <v>87</v>
      </c>
      <c r="E3" s="66" t="s">
        <v>640</v>
      </c>
      <c r="F3" s="66" t="s">
        <v>641</v>
      </c>
      <c r="G3" s="66" t="s">
        <v>642</v>
      </c>
      <c r="H3" s="66" t="s">
        <v>91</v>
      </c>
      <c r="I3" s="66" t="s">
        <v>643</v>
      </c>
      <c r="J3" s="66" t="s">
        <v>644</v>
      </c>
    </row>
    <row r="4" spans="1:10" x14ac:dyDescent="0.25">
      <c r="A4" s="20" t="s">
        <v>531</v>
      </c>
      <c r="B4" s="47" t="s">
        <v>645</v>
      </c>
      <c r="C4" s="47" t="s">
        <v>646</v>
      </c>
      <c r="D4" s="20" t="s">
        <v>98</v>
      </c>
      <c r="E4" s="47" t="s">
        <v>99</v>
      </c>
      <c r="F4" s="47" t="s">
        <v>101</v>
      </c>
      <c r="G4" s="47" t="s">
        <v>104</v>
      </c>
      <c r="H4" s="54" t="s">
        <v>102</v>
      </c>
      <c r="I4" s="47" t="s">
        <v>105</v>
      </c>
      <c r="J4" s="20" t="s">
        <v>489</v>
      </c>
    </row>
    <row r="5" spans="1:10" x14ac:dyDescent="0.25">
      <c r="A5" s="20" t="s">
        <v>647</v>
      </c>
      <c r="B5" s="47" t="s">
        <v>648</v>
      </c>
      <c r="C5" s="47" t="s">
        <v>649</v>
      </c>
      <c r="D5" s="20" t="s">
        <v>109</v>
      </c>
      <c r="E5" s="47" t="s">
        <v>650</v>
      </c>
      <c r="F5" s="47" t="s">
        <v>100</v>
      </c>
      <c r="G5" s="47" t="s">
        <v>651</v>
      </c>
      <c r="H5" s="54" t="s">
        <v>102</v>
      </c>
      <c r="I5" s="47" t="s">
        <v>105</v>
      </c>
      <c r="J5" s="20" t="s">
        <v>652</v>
      </c>
    </row>
    <row r="6" spans="1:10" x14ac:dyDescent="0.25">
      <c r="A6" s="20" t="s">
        <v>538</v>
      </c>
      <c r="B6" s="47" t="s">
        <v>653</v>
      </c>
      <c r="C6" s="47" t="s">
        <v>654</v>
      </c>
      <c r="D6" s="20" t="s">
        <v>519</v>
      </c>
      <c r="E6" s="47" t="s">
        <v>655</v>
      </c>
      <c r="F6" s="47" t="s">
        <v>100</v>
      </c>
      <c r="G6" s="47" t="s">
        <v>656</v>
      </c>
      <c r="H6" s="54" t="s">
        <v>102</v>
      </c>
      <c r="I6" s="47" t="s">
        <v>105</v>
      </c>
      <c r="J6" s="20" t="s">
        <v>509</v>
      </c>
    </row>
    <row r="7" spans="1:10" x14ac:dyDescent="0.25">
      <c r="A7" s="20" t="s">
        <v>657</v>
      </c>
      <c r="B7" s="47" t="s">
        <v>380</v>
      </c>
      <c r="C7" s="47" t="s">
        <v>658</v>
      </c>
      <c r="D7" s="20" t="s">
        <v>519</v>
      </c>
      <c r="E7" s="47" t="s">
        <v>659</v>
      </c>
      <c r="F7" s="47" t="s">
        <v>101</v>
      </c>
      <c r="G7" s="47" t="s">
        <v>660</v>
      </c>
      <c r="H7" s="54" t="s">
        <v>102</v>
      </c>
      <c r="I7" s="47" t="s">
        <v>105</v>
      </c>
      <c r="J7" s="20" t="s">
        <v>661</v>
      </c>
    </row>
    <row r="8" spans="1:10" x14ac:dyDescent="0.25">
      <c r="A8" s="20" t="s">
        <v>662</v>
      </c>
      <c r="B8" s="47" t="s">
        <v>663</v>
      </c>
      <c r="C8" s="47" t="s">
        <v>664</v>
      </c>
      <c r="D8" s="20" t="s">
        <v>665</v>
      </c>
      <c r="E8" s="47" t="s">
        <v>666</v>
      </c>
      <c r="F8" s="47" t="s">
        <v>100</v>
      </c>
      <c r="G8" s="47" t="s">
        <v>667</v>
      </c>
      <c r="H8" s="54" t="s">
        <v>102</v>
      </c>
      <c r="I8" s="47" t="s">
        <v>105</v>
      </c>
      <c r="J8" s="20" t="s">
        <v>668</v>
      </c>
    </row>
  </sheetData>
  <mergeCells count="1">
    <mergeCell ref="A1:J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Hoja36">
    <tabColor rgb="FF548235"/>
  </sheetPr>
  <dimension ref="A1:I8"/>
  <sheetViews>
    <sheetView showGridLines="0" workbookViewId="0"/>
  </sheetViews>
  <sheetFormatPr baseColWidth="10" defaultColWidth="9.140625" defaultRowHeight="15" x14ac:dyDescent="0.25"/>
  <cols>
    <col min="1" max="1" width="14" customWidth="1"/>
    <col min="2" max="2" width="30" customWidth="1"/>
    <col min="3" max="3" width="35" customWidth="1"/>
    <col min="4" max="4" width="8" customWidth="1"/>
    <col min="5" max="5" width="12" customWidth="1"/>
    <col min="6" max="6" width="15" customWidth="1"/>
    <col min="7" max="7" width="10" customWidth="1"/>
    <col min="8" max="8" width="22" customWidth="1"/>
    <col min="9" max="9" width="15" customWidth="1"/>
  </cols>
  <sheetData>
    <row r="1" spans="1:9" ht="24.95" customHeight="1" x14ac:dyDescent="0.25">
      <c r="A1" s="142" t="s">
        <v>669</v>
      </c>
      <c r="B1" s="114"/>
      <c r="C1" s="114"/>
      <c r="D1" s="114"/>
      <c r="E1" s="114"/>
      <c r="F1" s="114"/>
      <c r="G1" s="114"/>
      <c r="H1" s="114"/>
      <c r="I1" s="114"/>
    </row>
    <row r="3" spans="1:9" ht="30" customHeight="1" x14ac:dyDescent="0.25">
      <c r="A3" s="67" t="s">
        <v>638</v>
      </c>
      <c r="B3" s="67" t="s">
        <v>670</v>
      </c>
      <c r="C3" s="67" t="s">
        <v>131</v>
      </c>
      <c r="D3" s="67" t="s">
        <v>87</v>
      </c>
      <c r="E3" s="67" t="s">
        <v>671</v>
      </c>
      <c r="F3" s="67" t="s">
        <v>230</v>
      </c>
      <c r="G3" s="67" t="s">
        <v>91</v>
      </c>
      <c r="H3" s="67" t="s">
        <v>94</v>
      </c>
      <c r="I3" s="67" t="s">
        <v>672</v>
      </c>
    </row>
    <row r="4" spans="1:9" ht="30" customHeight="1" x14ac:dyDescent="0.25">
      <c r="A4" s="20" t="s">
        <v>673</v>
      </c>
      <c r="B4" s="47" t="s">
        <v>674</v>
      </c>
      <c r="C4" s="47" t="s">
        <v>675</v>
      </c>
      <c r="D4" s="20" t="s">
        <v>519</v>
      </c>
      <c r="E4" s="47" t="s">
        <v>676</v>
      </c>
      <c r="F4" s="47" t="s">
        <v>111</v>
      </c>
      <c r="G4" s="54" t="s">
        <v>234</v>
      </c>
      <c r="H4" s="47" t="s">
        <v>114</v>
      </c>
      <c r="I4" s="47" t="s">
        <v>647</v>
      </c>
    </row>
    <row r="5" spans="1:9" ht="30" customHeight="1" x14ac:dyDescent="0.25">
      <c r="A5" s="20" t="s">
        <v>677</v>
      </c>
      <c r="B5" s="47" t="s">
        <v>678</v>
      </c>
      <c r="C5" s="47" t="s">
        <v>679</v>
      </c>
      <c r="D5" s="20" t="s">
        <v>519</v>
      </c>
      <c r="E5" s="47" t="s">
        <v>676</v>
      </c>
      <c r="F5" s="47" t="s">
        <v>111</v>
      </c>
      <c r="G5" s="54" t="s">
        <v>234</v>
      </c>
      <c r="H5" s="47" t="s">
        <v>114</v>
      </c>
      <c r="I5" s="47" t="s">
        <v>647</v>
      </c>
    </row>
    <row r="6" spans="1:9" ht="30" customHeight="1" x14ac:dyDescent="0.25">
      <c r="A6" s="20" t="s">
        <v>680</v>
      </c>
      <c r="B6" s="47" t="s">
        <v>681</v>
      </c>
      <c r="C6" s="47" t="s">
        <v>682</v>
      </c>
      <c r="D6" s="20" t="s">
        <v>98</v>
      </c>
      <c r="E6" s="47" t="s">
        <v>683</v>
      </c>
      <c r="F6" s="47" t="s">
        <v>684</v>
      </c>
      <c r="G6" s="54" t="s">
        <v>234</v>
      </c>
      <c r="H6" s="47" t="s">
        <v>114</v>
      </c>
      <c r="I6" s="47" t="s">
        <v>657</v>
      </c>
    </row>
    <row r="7" spans="1:9" ht="30" customHeight="1" x14ac:dyDescent="0.25">
      <c r="A7" s="20" t="s">
        <v>685</v>
      </c>
      <c r="B7" s="47" t="s">
        <v>686</v>
      </c>
      <c r="C7" s="47" t="s">
        <v>687</v>
      </c>
      <c r="D7" s="20" t="s">
        <v>109</v>
      </c>
      <c r="E7" s="47" t="s">
        <v>688</v>
      </c>
      <c r="F7" s="47" t="s">
        <v>100</v>
      </c>
      <c r="G7" s="54" t="s">
        <v>234</v>
      </c>
      <c r="H7" s="47" t="s">
        <v>114</v>
      </c>
      <c r="I7" s="47" t="s">
        <v>662</v>
      </c>
    </row>
    <row r="8" spans="1:9" ht="30" customHeight="1" x14ac:dyDescent="0.25">
      <c r="A8" s="20" t="s">
        <v>689</v>
      </c>
      <c r="B8" s="47" t="s">
        <v>690</v>
      </c>
      <c r="C8" s="47" t="s">
        <v>691</v>
      </c>
      <c r="D8" s="20" t="s">
        <v>519</v>
      </c>
      <c r="E8" s="47" t="s">
        <v>692</v>
      </c>
      <c r="F8" s="47" t="s">
        <v>684</v>
      </c>
      <c r="G8" s="54" t="s">
        <v>234</v>
      </c>
      <c r="H8" s="47" t="s">
        <v>114</v>
      </c>
      <c r="I8" s="47" t="s">
        <v>531</v>
      </c>
    </row>
  </sheetData>
  <mergeCells count="1">
    <mergeCell ref="A1:I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Hoja37">
    <tabColor rgb="FF7030A0"/>
  </sheetPr>
  <dimension ref="A1:L6"/>
  <sheetViews>
    <sheetView showGridLines="0" workbookViewId="0">
      <selection sqref="A1:L1"/>
    </sheetView>
  </sheetViews>
  <sheetFormatPr baseColWidth="10" defaultColWidth="9.140625" defaultRowHeight="15" x14ac:dyDescent="0.25"/>
  <cols>
    <col min="1" max="1" width="14" customWidth="1"/>
    <col min="2" max="2" width="12" customWidth="1"/>
    <col min="3" max="3" width="10" customWidth="1"/>
    <col min="4" max="4" width="22" customWidth="1"/>
    <col min="5" max="5" width="18" customWidth="1"/>
    <col min="6" max="6" width="12" customWidth="1"/>
    <col min="7" max="7" width="10" customWidth="1"/>
    <col min="8" max="9" width="12" customWidth="1"/>
    <col min="10" max="10" width="18" customWidth="1"/>
    <col min="11" max="12" width="12" customWidth="1"/>
  </cols>
  <sheetData>
    <row r="1" spans="1:12" ht="24.95" customHeight="1" x14ac:dyDescent="0.25">
      <c r="A1" s="144" t="s">
        <v>693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</row>
    <row r="3" spans="1:12" ht="30" customHeight="1" x14ac:dyDescent="0.25">
      <c r="A3" s="68" t="s">
        <v>694</v>
      </c>
      <c r="B3" s="68" t="s">
        <v>231</v>
      </c>
      <c r="C3" s="68" t="s">
        <v>86</v>
      </c>
      <c r="D3" s="68" t="s">
        <v>695</v>
      </c>
      <c r="E3" s="68" t="s">
        <v>696</v>
      </c>
      <c r="F3" s="68" t="s">
        <v>91</v>
      </c>
      <c r="G3" s="68" t="s">
        <v>697</v>
      </c>
      <c r="H3" s="68" t="s">
        <v>698</v>
      </c>
      <c r="I3" s="68" t="s">
        <v>394</v>
      </c>
      <c r="J3" s="68" t="s">
        <v>699</v>
      </c>
      <c r="K3" s="68" t="s">
        <v>700</v>
      </c>
      <c r="L3" s="68" t="s">
        <v>701</v>
      </c>
    </row>
    <row r="4" spans="1:12" x14ac:dyDescent="0.25">
      <c r="A4" s="20" t="s">
        <v>702</v>
      </c>
      <c r="B4" s="20" t="s">
        <v>650</v>
      </c>
      <c r="C4" s="20" t="s">
        <v>703</v>
      </c>
      <c r="D4" s="20" t="s">
        <v>704</v>
      </c>
      <c r="E4" s="20" t="s">
        <v>705</v>
      </c>
      <c r="F4" s="54" t="s">
        <v>706</v>
      </c>
      <c r="G4" s="20" t="s">
        <v>361</v>
      </c>
      <c r="H4" s="20" t="s">
        <v>149</v>
      </c>
      <c r="I4" s="20" t="s">
        <v>145</v>
      </c>
      <c r="J4" s="20" t="s">
        <v>707</v>
      </c>
      <c r="K4" s="20" t="s">
        <v>708</v>
      </c>
      <c r="L4" s="54" t="s">
        <v>709</v>
      </c>
    </row>
    <row r="5" spans="1:12" x14ac:dyDescent="0.25">
      <c r="A5" s="20" t="s">
        <v>710</v>
      </c>
      <c r="B5" s="20" t="s">
        <v>711</v>
      </c>
      <c r="C5" s="20" t="s">
        <v>712</v>
      </c>
      <c r="D5" s="20" t="s">
        <v>713</v>
      </c>
      <c r="E5" s="20" t="s">
        <v>714</v>
      </c>
      <c r="F5" s="37" t="s">
        <v>715</v>
      </c>
      <c r="G5" s="20" t="s">
        <v>362</v>
      </c>
      <c r="H5" s="20" t="s">
        <v>288</v>
      </c>
      <c r="I5" s="20" t="s">
        <v>137</v>
      </c>
      <c r="J5" s="20" t="s">
        <v>716</v>
      </c>
      <c r="K5" s="20" t="s">
        <v>717</v>
      </c>
      <c r="L5" s="58" t="s">
        <v>718</v>
      </c>
    </row>
    <row r="6" spans="1:12" x14ac:dyDescent="0.25">
      <c r="A6" s="20" t="s">
        <v>719</v>
      </c>
      <c r="B6" s="20" t="s">
        <v>720</v>
      </c>
      <c r="C6" s="20" t="s">
        <v>703</v>
      </c>
      <c r="D6" s="20" t="s">
        <v>663</v>
      </c>
      <c r="E6" s="20" t="s">
        <v>705</v>
      </c>
      <c r="F6" s="20" t="s">
        <v>721</v>
      </c>
      <c r="G6" s="20"/>
      <c r="H6" s="20"/>
      <c r="I6" s="20"/>
      <c r="J6" s="20"/>
      <c r="K6" s="20"/>
      <c r="L6" s="20" t="s">
        <v>300</v>
      </c>
    </row>
  </sheetData>
  <mergeCells count="1">
    <mergeCell ref="A1:L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Hoja38">
    <tabColor rgb="FFF4B183"/>
  </sheetPr>
  <dimension ref="A1:J6"/>
  <sheetViews>
    <sheetView showGridLines="0" workbookViewId="0"/>
  </sheetViews>
  <sheetFormatPr baseColWidth="10" defaultColWidth="9.140625" defaultRowHeight="15" x14ac:dyDescent="0.25"/>
  <cols>
    <col min="1" max="1" width="14" customWidth="1"/>
    <col min="2" max="2" width="12" customWidth="1"/>
    <col min="3" max="3" width="30" customWidth="1"/>
    <col min="4" max="4" width="18" customWidth="1"/>
    <col min="5" max="6" width="10" customWidth="1"/>
    <col min="7" max="7" width="15" customWidth="1"/>
    <col min="8" max="8" width="12" customWidth="1"/>
    <col min="9" max="9" width="10" customWidth="1"/>
    <col min="10" max="10" width="18" customWidth="1"/>
  </cols>
  <sheetData>
    <row r="1" spans="1:10" ht="24.95" customHeight="1" x14ac:dyDescent="0.25">
      <c r="A1" s="199" t="s">
        <v>722</v>
      </c>
      <c r="B1" s="114"/>
      <c r="C1" s="114"/>
      <c r="D1" s="114"/>
      <c r="E1" s="114"/>
      <c r="F1" s="114"/>
      <c r="G1" s="114"/>
      <c r="H1" s="114"/>
      <c r="I1" s="114"/>
      <c r="J1" s="114"/>
    </row>
    <row r="3" spans="1:10" ht="30" customHeight="1" x14ac:dyDescent="0.25">
      <c r="A3" s="69" t="s">
        <v>723</v>
      </c>
      <c r="B3" s="69" t="s">
        <v>231</v>
      </c>
      <c r="C3" s="69" t="s">
        <v>724</v>
      </c>
      <c r="D3" s="69" t="s">
        <v>725</v>
      </c>
      <c r="E3" s="69" t="s">
        <v>726</v>
      </c>
      <c r="F3" s="69" t="s">
        <v>727</v>
      </c>
      <c r="G3" s="69" t="s">
        <v>728</v>
      </c>
      <c r="H3" s="69" t="s">
        <v>86</v>
      </c>
      <c r="I3" s="69" t="s">
        <v>729</v>
      </c>
      <c r="J3" s="69" t="s">
        <v>730</v>
      </c>
    </row>
    <row r="4" spans="1:10" ht="30" customHeight="1" x14ac:dyDescent="0.25">
      <c r="A4" s="20" t="s">
        <v>731</v>
      </c>
      <c r="B4" s="20" t="s">
        <v>683</v>
      </c>
      <c r="C4" s="20" t="s">
        <v>732</v>
      </c>
      <c r="D4" s="20" t="s">
        <v>100</v>
      </c>
      <c r="E4" s="20" t="s">
        <v>149</v>
      </c>
      <c r="F4" s="20" t="s">
        <v>733</v>
      </c>
      <c r="G4" s="20" t="s">
        <v>734</v>
      </c>
      <c r="H4" s="20" t="s">
        <v>735</v>
      </c>
      <c r="I4" s="20" t="s">
        <v>736</v>
      </c>
      <c r="J4" s="20" t="s">
        <v>737</v>
      </c>
    </row>
    <row r="5" spans="1:10" ht="30" customHeight="1" x14ac:dyDescent="0.25">
      <c r="A5" s="20" t="s">
        <v>738</v>
      </c>
      <c r="B5" s="20" t="s">
        <v>655</v>
      </c>
      <c r="C5" s="20" t="s">
        <v>739</v>
      </c>
      <c r="D5" s="20" t="s">
        <v>740</v>
      </c>
      <c r="E5" s="20" t="s">
        <v>145</v>
      </c>
      <c r="F5" s="20" t="s">
        <v>741</v>
      </c>
      <c r="G5" s="20" t="s">
        <v>450</v>
      </c>
      <c r="H5" s="20" t="s">
        <v>742</v>
      </c>
      <c r="I5" s="20" t="s">
        <v>743</v>
      </c>
      <c r="J5" s="20" t="s">
        <v>744</v>
      </c>
    </row>
    <row r="6" spans="1:10" ht="30" customHeight="1" x14ac:dyDescent="0.25">
      <c r="A6" s="20" t="s">
        <v>745</v>
      </c>
      <c r="B6" s="20" t="s">
        <v>746</v>
      </c>
      <c r="C6" s="20" t="s">
        <v>747</v>
      </c>
      <c r="D6" s="20" t="s">
        <v>748</v>
      </c>
      <c r="E6" s="20" t="s">
        <v>141</v>
      </c>
      <c r="F6" s="20" t="s">
        <v>362</v>
      </c>
      <c r="G6" s="20" t="s">
        <v>468</v>
      </c>
      <c r="H6" s="20" t="s">
        <v>553</v>
      </c>
      <c r="I6" s="20" t="s">
        <v>749</v>
      </c>
      <c r="J6" s="20" t="s">
        <v>750</v>
      </c>
    </row>
  </sheetData>
  <mergeCells count="1">
    <mergeCell ref="A1:J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Hoja39">
    <tabColor rgb="FFE67E22"/>
  </sheetPr>
  <dimension ref="A1:H26"/>
  <sheetViews>
    <sheetView showGridLines="0" workbookViewId="0"/>
  </sheetViews>
  <sheetFormatPr baseColWidth="10" defaultColWidth="9.140625" defaultRowHeight="15" x14ac:dyDescent="0.25"/>
  <cols>
    <col min="1" max="1" width="10" customWidth="1"/>
    <col min="2" max="2" width="18" customWidth="1"/>
    <col min="3" max="3" width="25" customWidth="1"/>
    <col min="4" max="4" width="35" customWidth="1"/>
    <col min="5" max="5" width="12" customWidth="1"/>
    <col min="6" max="6" width="14" customWidth="1"/>
    <col min="7" max="7" width="18" customWidth="1"/>
    <col min="8" max="8" width="30" customWidth="1"/>
  </cols>
  <sheetData>
    <row r="1" spans="1:8" ht="24.95" customHeight="1" x14ac:dyDescent="0.25">
      <c r="A1" s="201" t="s">
        <v>751</v>
      </c>
      <c r="B1" s="114"/>
      <c r="C1" s="114"/>
      <c r="D1" s="114"/>
      <c r="E1" s="114"/>
      <c r="F1" s="114"/>
      <c r="G1" s="114"/>
      <c r="H1" s="114"/>
    </row>
    <row r="3" spans="1:8" x14ac:dyDescent="0.25">
      <c r="A3" s="188" t="s">
        <v>752</v>
      </c>
      <c r="B3" s="114"/>
      <c r="C3" s="114"/>
      <c r="D3" s="114"/>
      <c r="E3" s="114"/>
      <c r="F3" s="114"/>
      <c r="G3" s="114"/>
      <c r="H3" s="114"/>
    </row>
    <row r="5" spans="1:8" ht="30" customHeight="1" x14ac:dyDescent="0.25">
      <c r="A5" s="70" t="s">
        <v>638</v>
      </c>
      <c r="B5" s="70" t="s">
        <v>212</v>
      </c>
      <c r="C5" s="70" t="s">
        <v>753</v>
      </c>
      <c r="D5" s="70" t="s">
        <v>131</v>
      </c>
      <c r="E5" s="70" t="s">
        <v>754</v>
      </c>
      <c r="F5" s="70" t="s">
        <v>755</v>
      </c>
      <c r="G5" s="70" t="s">
        <v>756</v>
      </c>
      <c r="H5" s="70" t="s">
        <v>757</v>
      </c>
    </row>
    <row r="6" spans="1:8" ht="30" customHeight="1" x14ac:dyDescent="0.25">
      <c r="A6" s="20" t="s">
        <v>758</v>
      </c>
      <c r="B6" s="47" t="s">
        <v>551</v>
      </c>
      <c r="C6" s="47" t="s">
        <v>759</v>
      </c>
      <c r="D6" s="47" t="s">
        <v>760</v>
      </c>
      <c r="E6" s="21" t="s">
        <v>138</v>
      </c>
      <c r="F6" s="20" t="s">
        <v>761</v>
      </c>
      <c r="G6" s="47" t="s">
        <v>100</v>
      </c>
      <c r="H6" s="47" t="s">
        <v>762</v>
      </c>
    </row>
    <row r="7" spans="1:8" x14ac:dyDescent="0.25">
      <c r="A7" s="20" t="s">
        <v>763</v>
      </c>
      <c r="B7" s="47" t="s">
        <v>557</v>
      </c>
      <c r="C7" s="47" t="s">
        <v>764</v>
      </c>
      <c r="D7" s="47" t="s">
        <v>765</v>
      </c>
      <c r="E7" s="22" t="s">
        <v>142</v>
      </c>
      <c r="F7" s="20" t="s">
        <v>766</v>
      </c>
      <c r="G7" s="47" t="s">
        <v>767</v>
      </c>
      <c r="H7" s="47" t="s">
        <v>768</v>
      </c>
    </row>
    <row r="8" spans="1:8" ht="30" customHeight="1" x14ac:dyDescent="0.25">
      <c r="A8" s="20" t="s">
        <v>769</v>
      </c>
      <c r="B8" s="47" t="s">
        <v>565</v>
      </c>
      <c r="C8" s="47" t="s">
        <v>770</v>
      </c>
      <c r="D8" s="47" t="s">
        <v>771</v>
      </c>
      <c r="E8" s="62" t="s">
        <v>233</v>
      </c>
      <c r="F8" s="20" t="s">
        <v>772</v>
      </c>
      <c r="G8" s="47" t="s">
        <v>773</v>
      </c>
      <c r="H8" s="47" t="s">
        <v>774</v>
      </c>
    </row>
    <row r="9" spans="1:8" ht="30" customHeight="1" x14ac:dyDescent="0.25">
      <c r="A9" s="20" t="s">
        <v>775</v>
      </c>
      <c r="B9" s="47" t="s">
        <v>776</v>
      </c>
      <c r="C9" s="47" t="s">
        <v>777</v>
      </c>
      <c r="D9" s="47" t="s">
        <v>778</v>
      </c>
      <c r="E9" s="21" t="s">
        <v>138</v>
      </c>
      <c r="F9" s="20" t="s">
        <v>761</v>
      </c>
      <c r="G9" s="47" t="s">
        <v>100</v>
      </c>
      <c r="H9" s="47" t="s">
        <v>779</v>
      </c>
    </row>
    <row r="10" spans="1:8" ht="30" customHeight="1" x14ac:dyDescent="0.25">
      <c r="A10" s="20" t="s">
        <v>780</v>
      </c>
      <c r="B10" s="47" t="s">
        <v>570</v>
      </c>
      <c r="C10" s="47" t="s">
        <v>781</v>
      </c>
      <c r="D10" s="47" t="s">
        <v>782</v>
      </c>
      <c r="E10" s="62" t="s">
        <v>233</v>
      </c>
      <c r="F10" s="20" t="s">
        <v>783</v>
      </c>
      <c r="G10" s="47" t="s">
        <v>784</v>
      </c>
      <c r="H10" s="47" t="s">
        <v>785</v>
      </c>
    </row>
    <row r="11" spans="1:8" x14ac:dyDescent="0.25">
      <c r="A11" s="20" t="s">
        <v>786</v>
      </c>
      <c r="B11" s="47" t="s">
        <v>306</v>
      </c>
      <c r="C11" s="47" t="s">
        <v>787</v>
      </c>
      <c r="D11" s="47" t="s">
        <v>788</v>
      </c>
      <c r="E11" s="21" t="s">
        <v>138</v>
      </c>
      <c r="F11" s="20" t="s">
        <v>789</v>
      </c>
      <c r="G11" s="47" t="s">
        <v>111</v>
      </c>
      <c r="H11" s="47" t="s">
        <v>790</v>
      </c>
    </row>
    <row r="12" spans="1:8" x14ac:dyDescent="0.25">
      <c r="A12" s="20" t="s">
        <v>791</v>
      </c>
      <c r="B12" s="47" t="s">
        <v>584</v>
      </c>
      <c r="C12" s="47" t="s">
        <v>792</v>
      </c>
      <c r="D12" s="47" t="s">
        <v>793</v>
      </c>
      <c r="E12" s="22" t="s">
        <v>142</v>
      </c>
      <c r="F12" s="20" t="s">
        <v>789</v>
      </c>
      <c r="G12" s="47" t="s">
        <v>111</v>
      </c>
      <c r="H12" s="47" t="s">
        <v>794</v>
      </c>
    </row>
    <row r="13" spans="1:8" ht="30" customHeight="1" x14ac:dyDescent="0.25">
      <c r="A13" s="20" t="s">
        <v>795</v>
      </c>
      <c r="B13" s="47" t="s">
        <v>796</v>
      </c>
      <c r="C13" s="47" t="s">
        <v>797</v>
      </c>
      <c r="D13" s="47" t="s">
        <v>798</v>
      </c>
      <c r="E13" s="21" t="s">
        <v>138</v>
      </c>
      <c r="F13" s="20" t="s">
        <v>766</v>
      </c>
      <c r="G13" s="47" t="s">
        <v>799</v>
      </c>
      <c r="H13" s="47" t="s">
        <v>800</v>
      </c>
    </row>
    <row r="14" spans="1:8" x14ac:dyDescent="0.25">
      <c r="A14" s="20" t="s">
        <v>801</v>
      </c>
      <c r="B14" s="47" t="s">
        <v>802</v>
      </c>
      <c r="C14" s="47" t="s">
        <v>803</v>
      </c>
      <c r="D14" s="47" t="s">
        <v>804</v>
      </c>
      <c r="E14" s="22" t="s">
        <v>142</v>
      </c>
      <c r="F14" s="20" t="s">
        <v>766</v>
      </c>
      <c r="G14" s="47" t="s">
        <v>468</v>
      </c>
      <c r="H14" s="47" t="s">
        <v>805</v>
      </c>
    </row>
    <row r="15" spans="1:8" x14ac:dyDescent="0.25">
      <c r="A15" s="20" t="s">
        <v>806</v>
      </c>
      <c r="B15" s="47" t="s">
        <v>807</v>
      </c>
      <c r="C15" s="47" t="s">
        <v>808</v>
      </c>
      <c r="D15" s="47" t="s">
        <v>809</v>
      </c>
      <c r="E15" s="22" t="s">
        <v>142</v>
      </c>
      <c r="F15" s="20" t="s">
        <v>761</v>
      </c>
      <c r="G15" s="47" t="s">
        <v>810</v>
      </c>
      <c r="H15" s="47" t="s">
        <v>811</v>
      </c>
    </row>
    <row r="16" spans="1:8" x14ac:dyDescent="0.25">
      <c r="A16" s="20" t="s">
        <v>812</v>
      </c>
      <c r="B16" s="47" t="s">
        <v>813</v>
      </c>
      <c r="C16" s="47" t="s">
        <v>814</v>
      </c>
      <c r="D16" s="47" t="s">
        <v>815</v>
      </c>
      <c r="E16" s="21" t="s">
        <v>138</v>
      </c>
      <c r="F16" s="20" t="s">
        <v>772</v>
      </c>
      <c r="G16" s="47" t="s">
        <v>459</v>
      </c>
      <c r="H16" s="47" t="s">
        <v>816</v>
      </c>
    </row>
    <row r="17" spans="1:8" x14ac:dyDescent="0.25">
      <c r="A17" s="20" t="s">
        <v>817</v>
      </c>
      <c r="B17" s="47" t="s">
        <v>818</v>
      </c>
      <c r="C17" s="47" t="s">
        <v>819</v>
      </c>
      <c r="D17" s="47" t="s">
        <v>820</v>
      </c>
      <c r="E17" s="22" t="s">
        <v>142</v>
      </c>
      <c r="F17" s="20" t="s">
        <v>821</v>
      </c>
      <c r="G17" s="47" t="s">
        <v>822</v>
      </c>
      <c r="H17" s="47" t="s">
        <v>823</v>
      </c>
    </row>
    <row r="20" spans="1:8" ht="15.75" customHeight="1" x14ac:dyDescent="0.25">
      <c r="A20" s="200" t="s">
        <v>824</v>
      </c>
      <c r="B20" s="114"/>
      <c r="C20" s="114"/>
      <c r="D20" s="114"/>
      <c r="E20" s="114"/>
      <c r="F20" s="114"/>
      <c r="G20" s="114"/>
      <c r="H20" s="114"/>
    </row>
    <row r="22" spans="1:8" x14ac:dyDescent="0.25">
      <c r="A22" s="71" t="s">
        <v>130</v>
      </c>
      <c r="B22" s="71" t="s">
        <v>593</v>
      </c>
      <c r="C22" s="71" t="s">
        <v>308</v>
      </c>
      <c r="D22" s="71" t="s">
        <v>755</v>
      </c>
      <c r="E22" s="71" t="s">
        <v>756</v>
      </c>
      <c r="F22" s="71" t="s">
        <v>825</v>
      </c>
    </row>
    <row r="23" spans="1:8" ht="30" customHeight="1" x14ac:dyDescent="0.25">
      <c r="A23" s="20" t="s">
        <v>153</v>
      </c>
      <c r="B23" s="48" t="s">
        <v>233</v>
      </c>
      <c r="C23" s="47" t="s">
        <v>826</v>
      </c>
      <c r="D23" s="47" t="s">
        <v>827</v>
      </c>
      <c r="E23" s="47" t="s">
        <v>784</v>
      </c>
      <c r="F23" s="47" t="s">
        <v>828</v>
      </c>
    </row>
    <row r="24" spans="1:8" ht="30" customHeight="1" x14ac:dyDescent="0.25">
      <c r="A24" s="20" t="s">
        <v>149</v>
      </c>
      <c r="B24" s="49" t="s">
        <v>138</v>
      </c>
      <c r="C24" s="47" t="s">
        <v>829</v>
      </c>
      <c r="D24" s="47" t="s">
        <v>830</v>
      </c>
      <c r="E24" s="47" t="s">
        <v>831</v>
      </c>
      <c r="F24" s="47" t="s">
        <v>832</v>
      </c>
    </row>
    <row r="25" spans="1:8" ht="30" customHeight="1" x14ac:dyDescent="0.25">
      <c r="A25" s="20" t="s">
        <v>145</v>
      </c>
      <c r="B25" s="50" t="s">
        <v>142</v>
      </c>
      <c r="C25" s="47" t="s">
        <v>833</v>
      </c>
      <c r="D25" s="47" t="s">
        <v>834</v>
      </c>
      <c r="E25" s="47" t="s">
        <v>835</v>
      </c>
      <c r="F25" s="47" t="s">
        <v>836</v>
      </c>
    </row>
    <row r="26" spans="1:8" ht="30" customHeight="1" x14ac:dyDescent="0.25">
      <c r="A26" s="20" t="s">
        <v>141</v>
      </c>
      <c r="B26" s="52" t="s">
        <v>146</v>
      </c>
      <c r="C26" s="47" t="s">
        <v>837</v>
      </c>
      <c r="D26" s="47" t="s">
        <v>838</v>
      </c>
      <c r="E26" s="47" t="s">
        <v>839</v>
      </c>
      <c r="F26" s="47" t="s">
        <v>840</v>
      </c>
    </row>
  </sheetData>
  <mergeCells count="3">
    <mergeCell ref="A20:H20"/>
    <mergeCell ref="A3:H3"/>
    <mergeCell ref="A1:H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Hoja40">
    <tabColor rgb="FF34495E"/>
  </sheetPr>
  <dimension ref="A1:K5"/>
  <sheetViews>
    <sheetView showGridLines="0" workbookViewId="0"/>
  </sheetViews>
  <sheetFormatPr baseColWidth="10" defaultColWidth="9.140625" defaultRowHeight="15" x14ac:dyDescent="0.25"/>
  <cols>
    <col min="1" max="1" width="12" customWidth="1"/>
    <col min="2" max="2" width="14" customWidth="1"/>
    <col min="3" max="3" width="18" customWidth="1"/>
    <col min="4" max="4" width="15" customWidth="1"/>
    <col min="5" max="5" width="20" customWidth="1"/>
    <col min="6" max="6" width="35" customWidth="1"/>
    <col min="7" max="7" width="10" customWidth="1"/>
    <col min="8" max="9" width="12" customWidth="1"/>
    <col min="10" max="10" width="15" customWidth="1"/>
    <col min="11" max="11" width="30" customWidth="1"/>
  </cols>
  <sheetData>
    <row r="1" spans="1:11" ht="24.95" customHeight="1" x14ac:dyDescent="0.25">
      <c r="A1" s="164" t="s">
        <v>841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</row>
    <row r="3" spans="1:11" ht="30" customHeight="1" x14ac:dyDescent="0.25">
      <c r="A3" s="72" t="s">
        <v>842</v>
      </c>
      <c r="B3" s="72" t="s">
        <v>616</v>
      </c>
      <c r="C3" s="72" t="s">
        <v>843</v>
      </c>
      <c r="D3" s="72" t="s">
        <v>548</v>
      </c>
      <c r="E3" s="72" t="s">
        <v>844</v>
      </c>
      <c r="F3" s="72" t="s">
        <v>131</v>
      </c>
      <c r="G3" s="72" t="s">
        <v>593</v>
      </c>
      <c r="H3" s="72" t="s">
        <v>91</v>
      </c>
      <c r="I3" s="72" t="s">
        <v>845</v>
      </c>
      <c r="J3" s="72" t="s">
        <v>619</v>
      </c>
      <c r="K3" s="72" t="s">
        <v>394</v>
      </c>
    </row>
    <row r="4" spans="1:11" ht="30" customHeight="1" x14ac:dyDescent="0.25">
      <c r="A4" s="20" t="s">
        <v>846</v>
      </c>
      <c r="B4" s="47" t="s">
        <v>847</v>
      </c>
      <c r="C4" s="47" t="s">
        <v>848</v>
      </c>
      <c r="D4" s="47" t="s">
        <v>849</v>
      </c>
      <c r="E4" s="47" t="s">
        <v>850</v>
      </c>
      <c r="F4" s="47" t="s">
        <v>851</v>
      </c>
      <c r="G4" s="20" t="s">
        <v>142</v>
      </c>
      <c r="H4" s="20" t="s">
        <v>852</v>
      </c>
      <c r="I4" s="20" t="s">
        <v>507</v>
      </c>
      <c r="J4" s="47" t="s">
        <v>111</v>
      </c>
      <c r="K4" s="47" t="s">
        <v>853</v>
      </c>
    </row>
    <row r="5" spans="1:11" ht="30" customHeight="1" x14ac:dyDescent="0.25">
      <c r="A5" s="20" t="s">
        <v>854</v>
      </c>
      <c r="B5" s="47" t="s">
        <v>855</v>
      </c>
      <c r="C5" s="47" t="s">
        <v>856</v>
      </c>
      <c r="D5" s="47" t="s">
        <v>608</v>
      </c>
      <c r="E5" s="47" t="s">
        <v>857</v>
      </c>
      <c r="F5" s="47" t="s">
        <v>858</v>
      </c>
      <c r="G5" s="20" t="s">
        <v>138</v>
      </c>
      <c r="H5" s="20" t="s">
        <v>859</v>
      </c>
      <c r="I5" s="20" t="s">
        <v>493</v>
      </c>
      <c r="J5" s="47" t="s">
        <v>100</v>
      </c>
      <c r="K5" s="47" t="s">
        <v>860</v>
      </c>
    </row>
  </sheetData>
  <mergeCells count="1">
    <mergeCell ref="A1:K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Hoja41">
    <tabColor rgb="FF00B0F0"/>
  </sheetPr>
  <dimension ref="A1:F46"/>
  <sheetViews>
    <sheetView showGridLines="0" workbookViewId="0"/>
  </sheetViews>
  <sheetFormatPr baseColWidth="10" defaultColWidth="9.140625" defaultRowHeight="15" x14ac:dyDescent="0.25"/>
  <cols>
    <col min="1" max="1" width="80" customWidth="1"/>
    <col min="2" max="6" width="15" customWidth="1"/>
  </cols>
  <sheetData>
    <row r="1" spans="1:6" ht="30" customHeight="1" x14ac:dyDescent="0.25">
      <c r="A1" s="206" t="s">
        <v>861</v>
      </c>
      <c r="B1" s="114"/>
      <c r="C1" s="114"/>
      <c r="D1" s="114"/>
      <c r="E1" s="114"/>
      <c r="F1" s="114"/>
    </row>
    <row r="3" spans="1:6" x14ac:dyDescent="0.25">
      <c r="A3" s="204" t="s">
        <v>862</v>
      </c>
      <c r="B3" s="114"/>
      <c r="C3" s="114"/>
      <c r="D3" s="114"/>
      <c r="E3" s="114"/>
      <c r="F3" s="114"/>
    </row>
    <row r="5" spans="1:6" x14ac:dyDescent="0.25">
      <c r="A5" s="205" t="s">
        <v>863</v>
      </c>
      <c r="B5" s="114"/>
      <c r="C5" s="114"/>
      <c r="D5" s="114"/>
      <c r="E5" s="114"/>
      <c r="F5" s="114"/>
    </row>
    <row r="6" spans="1:6" x14ac:dyDescent="0.25">
      <c r="A6" s="207" t="s">
        <v>864</v>
      </c>
      <c r="B6" s="114"/>
      <c r="C6" s="114"/>
      <c r="D6" s="114"/>
      <c r="E6" s="114"/>
      <c r="F6" s="114"/>
    </row>
    <row r="7" spans="1:6" x14ac:dyDescent="0.25">
      <c r="A7" s="203" t="s">
        <v>865</v>
      </c>
      <c r="B7" s="114"/>
      <c r="C7" s="114"/>
      <c r="D7" s="114"/>
      <c r="E7" s="114"/>
      <c r="F7" s="114"/>
    </row>
    <row r="8" spans="1:6" x14ac:dyDescent="0.25">
      <c r="A8" s="203" t="s">
        <v>866</v>
      </c>
      <c r="B8" s="114"/>
      <c r="C8" s="114"/>
      <c r="D8" s="114"/>
      <c r="E8" s="114"/>
      <c r="F8" s="114"/>
    </row>
    <row r="9" spans="1:6" x14ac:dyDescent="0.25">
      <c r="A9" s="203" t="s">
        <v>867</v>
      </c>
      <c r="B9" s="114"/>
      <c r="C9" s="114"/>
      <c r="D9" s="114"/>
      <c r="E9" s="114"/>
      <c r="F9" s="114"/>
    </row>
    <row r="10" spans="1:6" x14ac:dyDescent="0.25">
      <c r="A10" s="203" t="s">
        <v>868</v>
      </c>
      <c r="B10" s="114"/>
      <c r="C10" s="114"/>
      <c r="D10" s="114"/>
      <c r="E10" s="114"/>
      <c r="F10" s="114"/>
    </row>
    <row r="11" spans="1:6" x14ac:dyDescent="0.25">
      <c r="A11" s="203" t="s">
        <v>869</v>
      </c>
      <c r="B11" s="114"/>
      <c r="C11" s="114"/>
      <c r="D11" s="114"/>
      <c r="E11" s="114"/>
      <c r="F11" s="114"/>
    </row>
    <row r="13" spans="1:6" x14ac:dyDescent="0.25">
      <c r="A13" s="205" t="s">
        <v>870</v>
      </c>
      <c r="B13" s="114"/>
      <c r="C13" s="114"/>
      <c r="D13" s="114"/>
      <c r="E13" s="114"/>
      <c r="F13" s="114"/>
    </row>
    <row r="14" spans="1:6" x14ac:dyDescent="0.25">
      <c r="A14" s="203" t="s">
        <v>871</v>
      </c>
      <c r="B14" s="114"/>
      <c r="C14" s="114"/>
      <c r="D14" s="114"/>
      <c r="E14" s="114"/>
      <c r="F14" s="114"/>
    </row>
    <row r="15" spans="1:6" x14ac:dyDescent="0.25">
      <c r="A15" s="203" t="s">
        <v>872</v>
      </c>
      <c r="B15" s="114"/>
      <c r="C15" s="114"/>
      <c r="D15" s="114"/>
      <c r="E15" s="114"/>
      <c r="F15" s="114"/>
    </row>
    <row r="16" spans="1:6" x14ac:dyDescent="0.25">
      <c r="A16" s="203" t="s">
        <v>873</v>
      </c>
      <c r="B16" s="114"/>
      <c r="C16" s="114"/>
      <c r="D16" s="114"/>
      <c r="E16" s="114"/>
      <c r="F16" s="114"/>
    </row>
    <row r="17" spans="1:6" x14ac:dyDescent="0.25">
      <c r="A17" s="203" t="s">
        <v>874</v>
      </c>
      <c r="B17" s="114"/>
      <c r="C17" s="114"/>
      <c r="D17" s="114"/>
      <c r="E17" s="114"/>
      <c r="F17" s="114"/>
    </row>
    <row r="18" spans="1:6" x14ac:dyDescent="0.25">
      <c r="A18" s="203" t="s">
        <v>875</v>
      </c>
      <c r="B18" s="114"/>
      <c r="C18" s="114"/>
      <c r="D18" s="114"/>
      <c r="E18" s="114"/>
      <c r="F18" s="114"/>
    </row>
    <row r="20" spans="1:6" x14ac:dyDescent="0.25">
      <c r="A20" s="205" t="s">
        <v>876</v>
      </c>
      <c r="B20" s="114"/>
      <c r="C20" s="114"/>
      <c r="D20" s="114"/>
      <c r="E20" s="114"/>
      <c r="F20" s="114"/>
    </row>
    <row r="21" spans="1:6" x14ac:dyDescent="0.25">
      <c r="A21" s="203" t="s">
        <v>877</v>
      </c>
      <c r="B21" s="114"/>
      <c r="C21" s="114"/>
      <c r="D21" s="114"/>
      <c r="E21" s="114"/>
      <c r="F21" s="114"/>
    </row>
    <row r="22" spans="1:6" x14ac:dyDescent="0.25">
      <c r="A22" s="203" t="s">
        <v>878</v>
      </c>
      <c r="B22" s="114"/>
      <c r="C22" s="114"/>
      <c r="D22" s="114"/>
      <c r="E22" s="114"/>
      <c r="F22" s="114"/>
    </row>
    <row r="23" spans="1:6" x14ac:dyDescent="0.25">
      <c r="A23" s="203" t="s">
        <v>879</v>
      </c>
      <c r="B23" s="114"/>
      <c r="C23" s="114"/>
      <c r="D23" s="114"/>
      <c r="E23" s="114"/>
      <c r="F23" s="114"/>
    </row>
    <row r="24" spans="1:6" x14ac:dyDescent="0.25">
      <c r="A24" s="203" t="s">
        <v>880</v>
      </c>
      <c r="B24" s="114"/>
      <c r="C24" s="114"/>
      <c r="D24" s="114"/>
      <c r="E24" s="114"/>
      <c r="F24" s="114"/>
    </row>
    <row r="25" spans="1:6" x14ac:dyDescent="0.25">
      <c r="A25" s="203" t="s">
        <v>881</v>
      </c>
      <c r="B25" s="114"/>
      <c r="C25" s="114"/>
      <c r="D25" s="114"/>
      <c r="E25" s="114"/>
      <c r="F25" s="114"/>
    </row>
    <row r="26" spans="1:6" x14ac:dyDescent="0.25">
      <c r="A26" s="203" t="s">
        <v>882</v>
      </c>
      <c r="B26" s="114"/>
      <c r="C26" s="114"/>
      <c r="D26" s="114"/>
      <c r="E26" s="114"/>
      <c r="F26" s="114"/>
    </row>
    <row r="27" spans="1:6" x14ac:dyDescent="0.25">
      <c r="A27" s="203" t="s">
        <v>883</v>
      </c>
      <c r="B27" s="114"/>
      <c r="C27" s="114"/>
      <c r="D27" s="114"/>
      <c r="E27" s="114"/>
      <c r="F27" s="114"/>
    </row>
    <row r="29" spans="1:6" x14ac:dyDescent="0.25">
      <c r="A29" s="205" t="s">
        <v>884</v>
      </c>
      <c r="B29" s="114"/>
      <c r="C29" s="114"/>
      <c r="D29" s="114"/>
      <c r="E29" s="114"/>
      <c r="F29" s="114"/>
    </row>
    <row r="30" spans="1:6" x14ac:dyDescent="0.25">
      <c r="A30" s="203" t="s">
        <v>885</v>
      </c>
      <c r="B30" s="114"/>
      <c r="C30" s="114"/>
      <c r="D30" s="114"/>
      <c r="E30" s="114"/>
      <c r="F30" s="114"/>
    </row>
    <row r="31" spans="1:6" x14ac:dyDescent="0.25">
      <c r="A31" s="203" t="s">
        <v>886</v>
      </c>
      <c r="B31" s="114"/>
      <c r="C31" s="114"/>
      <c r="D31" s="114"/>
      <c r="E31" s="114"/>
      <c r="F31" s="114"/>
    </row>
    <row r="32" spans="1:6" x14ac:dyDescent="0.25">
      <c r="A32" s="203" t="s">
        <v>887</v>
      </c>
      <c r="B32" s="114"/>
      <c r="C32" s="114"/>
      <c r="D32" s="114"/>
      <c r="E32" s="114"/>
      <c r="F32" s="114"/>
    </row>
    <row r="34" spans="1:6" x14ac:dyDescent="0.25">
      <c r="A34" s="205" t="s">
        <v>888</v>
      </c>
      <c r="B34" s="114"/>
      <c r="C34" s="114"/>
      <c r="D34" s="114"/>
      <c r="E34" s="114"/>
      <c r="F34" s="114"/>
    </row>
    <row r="35" spans="1:6" x14ac:dyDescent="0.25">
      <c r="A35" s="203" t="s">
        <v>889</v>
      </c>
      <c r="B35" s="114"/>
      <c r="C35" s="114"/>
      <c r="D35" s="114"/>
      <c r="E35" s="114"/>
      <c r="F35" s="114"/>
    </row>
    <row r="36" spans="1:6" x14ac:dyDescent="0.25">
      <c r="A36" s="203" t="s">
        <v>890</v>
      </c>
      <c r="B36" s="114"/>
      <c r="C36" s="114"/>
      <c r="D36" s="114"/>
      <c r="E36" s="114"/>
      <c r="F36" s="114"/>
    </row>
    <row r="37" spans="1:6" x14ac:dyDescent="0.25">
      <c r="A37" s="203" t="s">
        <v>891</v>
      </c>
      <c r="B37" s="114"/>
      <c r="C37" s="114"/>
      <c r="D37" s="114"/>
      <c r="E37" s="114"/>
      <c r="F37" s="114"/>
    </row>
    <row r="38" spans="1:6" x14ac:dyDescent="0.25">
      <c r="A38" s="203" t="s">
        <v>892</v>
      </c>
      <c r="B38" s="114"/>
      <c r="C38" s="114"/>
      <c r="D38" s="114"/>
      <c r="E38" s="114"/>
      <c r="F38" s="114"/>
    </row>
    <row r="39" spans="1:6" x14ac:dyDescent="0.25">
      <c r="A39" s="203" t="s">
        <v>893</v>
      </c>
      <c r="B39" s="114"/>
      <c r="C39" s="114"/>
      <c r="D39" s="114"/>
      <c r="E39" s="114"/>
      <c r="F39" s="114"/>
    </row>
    <row r="41" spans="1:6" x14ac:dyDescent="0.25">
      <c r="A41" s="202" t="s">
        <v>894</v>
      </c>
      <c r="B41" s="114"/>
      <c r="C41" s="114"/>
      <c r="D41" s="114"/>
      <c r="E41" s="114"/>
      <c r="F41" s="114"/>
    </row>
    <row r="42" spans="1:6" x14ac:dyDescent="0.25">
      <c r="A42" s="203" t="s">
        <v>895</v>
      </c>
      <c r="B42" s="114"/>
      <c r="C42" s="114"/>
      <c r="D42" s="114"/>
      <c r="E42" s="114"/>
      <c r="F42" s="114"/>
    </row>
    <row r="43" spans="1:6" x14ac:dyDescent="0.25">
      <c r="A43" s="203" t="s">
        <v>896</v>
      </c>
      <c r="B43" s="114"/>
      <c r="C43" s="114"/>
      <c r="D43" s="114"/>
      <c r="E43" s="114"/>
      <c r="F43" s="114"/>
    </row>
    <row r="44" spans="1:6" x14ac:dyDescent="0.25">
      <c r="A44" s="203" t="s">
        <v>897</v>
      </c>
      <c r="B44" s="114"/>
      <c r="C44" s="114"/>
      <c r="D44" s="114"/>
      <c r="E44" s="114"/>
      <c r="F44" s="114"/>
    </row>
    <row r="45" spans="1:6" x14ac:dyDescent="0.25">
      <c r="A45" s="203" t="s">
        <v>898</v>
      </c>
      <c r="B45" s="114"/>
      <c r="C45" s="114"/>
      <c r="D45" s="114"/>
      <c r="E45" s="114"/>
      <c r="F45" s="114"/>
    </row>
    <row r="46" spans="1:6" x14ac:dyDescent="0.25">
      <c r="A46" s="203" t="s">
        <v>899</v>
      </c>
      <c r="B46" s="114"/>
      <c r="C46" s="114"/>
      <c r="D46" s="114"/>
      <c r="E46" s="114"/>
      <c r="F46" s="114"/>
    </row>
  </sheetData>
  <mergeCells count="39">
    <mergeCell ref="A1:F1"/>
    <mergeCell ref="A6:F6"/>
    <mergeCell ref="A7:F7"/>
    <mergeCell ref="A25:F25"/>
    <mergeCell ref="A13:F13"/>
    <mergeCell ref="A44:F44"/>
    <mergeCell ref="A9:F9"/>
    <mergeCell ref="A31:F31"/>
    <mergeCell ref="A34:F34"/>
    <mergeCell ref="A30:F30"/>
    <mergeCell ref="A39:F39"/>
    <mergeCell ref="A15:F15"/>
    <mergeCell ref="A24:F24"/>
    <mergeCell ref="A11:F11"/>
    <mergeCell ref="A36:F36"/>
    <mergeCell ref="A3:F3"/>
    <mergeCell ref="A26:F26"/>
    <mergeCell ref="A21:F21"/>
    <mergeCell ref="A42:F42"/>
    <mergeCell ref="A14:F14"/>
    <mergeCell ref="A5:F5"/>
    <mergeCell ref="A23:F23"/>
    <mergeCell ref="A32:F32"/>
    <mergeCell ref="A8:F8"/>
    <mergeCell ref="A22:F22"/>
    <mergeCell ref="A17:F17"/>
    <mergeCell ref="A35:F35"/>
    <mergeCell ref="A20:F20"/>
    <mergeCell ref="A29:F29"/>
    <mergeCell ref="A38:F38"/>
    <mergeCell ref="A10:F10"/>
    <mergeCell ref="A41:F41"/>
    <mergeCell ref="A16:F16"/>
    <mergeCell ref="A46:F46"/>
    <mergeCell ref="A37:F37"/>
    <mergeCell ref="A27:F27"/>
    <mergeCell ref="A18:F18"/>
    <mergeCell ref="A43:F43"/>
    <mergeCell ref="A45:F45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Hoja42">
    <tabColor rgb="FF8E44AD"/>
  </sheetPr>
  <dimension ref="A1:J31"/>
  <sheetViews>
    <sheetView showGridLines="0" workbookViewId="0"/>
  </sheetViews>
  <sheetFormatPr baseColWidth="10" defaultColWidth="9.140625" defaultRowHeight="15" x14ac:dyDescent="0.25"/>
  <cols>
    <col min="1" max="1" width="12" customWidth="1"/>
    <col min="2" max="2" width="22" customWidth="1"/>
    <col min="3" max="3" width="30" customWidth="1"/>
    <col min="4" max="4" width="12" customWidth="1"/>
    <col min="5" max="7" width="10" customWidth="1"/>
    <col min="8" max="8" width="15" customWidth="1"/>
    <col min="9" max="9" width="35" customWidth="1"/>
    <col min="10" max="10" width="30" customWidth="1"/>
  </cols>
  <sheetData>
    <row r="1" spans="1:10" ht="24.95" customHeight="1" x14ac:dyDescent="0.25">
      <c r="A1" s="157" t="s">
        <v>900</v>
      </c>
      <c r="B1" s="114"/>
      <c r="C1" s="114"/>
      <c r="D1" s="114"/>
      <c r="E1" s="114"/>
      <c r="F1" s="114"/>
      <c r="G1" s="114"/>
      <c r="H1" s="114"/>
      <c r="I1" s="114"/>
      <c r="J1" s="114"/>
    </row>
    <row r="3" spans="1:10" ht="30" customHeight="1" x14ac:dyDescent="0.25">
      <c r="A3" s="73" t="s">
        <v>901</v>
      </c>
      <c r="B3" s="73" t="s">
        <v>902</v>
      </c>
      <c r="C3" s="73" t="s">
        <v>131</v>
      </c>
      <c r="D3" s="73" t="s">
        <v>307</v>
      </c>
      <c r="E3" s="73" t="s">
        <v>308</v>
      </c>
      <c r="F3" s="73" t="s">
        <v>903</v>
      </c>
      <c r="G3" s="73" t="s">
        <v>904</v>
      </c>
      <c r="H3" s="73" t="s">
        <v>230</v>
      </c>
      <c r="I3" s="73" t="s">
        <v>905</v>
      </c>
      <c r="J3" s="73" t="s">
        <v>906</v>
      </c>
    </row>
    <row r="4" spans="1:10" ht="30" customHeight="1" x14ac:dyDescent="0.25">
      <c r="A4" s="20" t="s">
        <v>907</v>
      </c>
      <c r="B4" s="47" t="s">
        <v>908</v>
      </c>
      <c r="C4" s="47" t="s">
        <v>909</v>
      </c>
      <c r="D4" s="20" t="s">
        <v>142</v>
      </c>
      <c r="E4" s="20" t="s">
        <v>159</v>
      </c>
      <c r="F4" s="20" t="s">
        <v>789</v>
      </c>
      <c r="G4" s="20" t="s">
        <v>761</v>
      </c>
      <c r="H4" s="47" t="s">
        <v>684</v>
      </c>
      <c r="I4" s="47" t="s">
        <v>910</v>
      </c>
      <c r="J4" s="47" t="s">
        <v>911</v>
      </c>
    </row>
    <row r="5" spans="1:10" x14ac:dyDescent="0.25">
      <c r="A5" s="20" t="s">
        <v>912</v>
      </c>
      <c r="B5" s="47" t="s">
        <v>334</v>
      </c>
      <c r="C5" s="47" t="s">
        <v>913</v>
      </c>
      <c r="D5" s="20" t="s">
        <v>146</v>
      </c>
      <c r="E5" s="20" t="s">
        <v>295</v>
      </c>
      <c r="F5" s="20" t="s">
        <v>821</v>
      </c>
      <c r="G5" s="20" t="s">
        <v>789</v>
      </c>
      <c r="H5" s="47" t="s">
        <v>100</v>
      </c>
      <c r="I5" s="47" t="s">
        <v>914</v>
      </c>
      <c r="J5" s="47" t="s">
        <v>915</v>
      </c>
    </row>
    <row r="6" spans="1:10" x14ac:dyDescent="0.25">
      <c r="A6" s="20" t="s">
        <v>916</v>
      </c>
      <c r="B6" s="47" t="s">
        <v>917</v>
      </c>
      <c r="C6" s="47" t="s">
        <v>918</v>
      </c>
      <c r="D6" s="20" t="s">
        <v>919</v>
      </c>
      <c r="E6" s="20" t="s">
        <v>295</v>
      </c>
      <c r="F6" s="20" t="s">
        <v>920</v>
      </c>
      <c r="G6" s="20" t="s">
        <v>821</v>
      </c>
      <c r="H6" s="47" t="s">
        <v>461</v>
      </c>
      <c r="I6" s="47" t="s">
        <v>921</v>
      </c>
      <c r="J6" s="47" t="s">
        <v>922</v>
      </c>
    </row>
    <row r="30" spans="1:10" x14ac:dyDescent="0.25">
      <c r="A30" s="189" t="s">
        <v>923</v>
      </c>
      <c r="B30" s="114"/>
      <c r="C30" s="114"/>
      <c r="D30" s="114"/>
      <c r="E30" s="114"/>
      <c r="F30" s="114"/>
      <c r="G30" s="114"/>
      <c r="H30" s="114"/>
      <c r="I30" s="114"/>
      <c r="J30" s="114"/>
    </row>
    <row r="31" spans="1:10" x14ac:dyDescent="0.25">
      <c r="A31" s="189" t="s">
        <v>924</v>
      </c>
      <c r="B31" s="114"/>
      <c r="C31" s="114"/>
      <c r="D31" s="114"/>
      <c r="E31" s="114"/>
      <c r="F31" s="114"/>
      <c r="G31" s="114"/>
      <c r="H31" s="114"/>
      <c r="I31" s="114"/>
      <c r="J31" s="114"/>
    </row>
  </sheetData>
  <mergeCells count="3">
    <mergeCell ref="A1:J1"/>
    <mergeCell ref="A31:J31"/>
    <mergeCell ref="A30:J30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Hoja43">
    <tabColor rgb="FF16A085"/>
  </sheetPr>
  <dimension ref="A1:J8"/>
  <sheetViews>
    <sheetView showGridLines="0" workbookViewId="0"/>
  </sheetViews>
  <sheetFormatPr baseColWidth="10" defaultColWidth="9.140625" defaultRowHeight="15" x14ac:dyDescent="0.25"/>
  <cols>
    <col min="1" max="1" width="10" customWidth="1"/>
    <col min="2" max="2" width="28" customWidth="1"/>
    <col min="3" max="3" width="35" customWidth="1"/>
    <col min="4" max="4" width="30" customWidth="1"/>
    <col min="5" max="5" width="12" customWidth="1"/>
    <col min="6" max="7" width="10" customWidth="1"/>
    <col min="8" max="8" width="12" customWidth="1"/>
    <col min="9" max="9" width="15" customWidth="1"/>
    <col min="10" max="10" width="14" customWidth="1"/>
  </cols>
  <sheetData>
    <row r="1" spans="1:10" ht="24.95" customHeight="1" x14ac:dyDescent="0.25">
      <c r="A1" s="161" t="s">
        <v>925</v>
      </c>
      <c r="B1" s="114"/>
      <c r="C1" s="114"/>
      <c r="D1" s="114"/>
      <c r="E1" s="114"/>
      <c r="F1" s="114"/>
      <c r="G1" s="114"/>
      <c r="H1" s="114"/>
      <c r="I1" s="114"/>
      <c r="J1" s="114"/>
    </row>
    <row r="3" spans="1:10" ht="30" customHeight="1" x14ac:dyDescent="0.25">
      <c r="A3" s="74" t="s">
        <v>926</v>
      </c>
      <c r="B3" s="74" t="s">
        <v>927</v>
      </c>
      <c r="C3" s="74" t="s">
        <v>131</v>
      </c>
      <c r="D3" s="74" t="s">
        <v>928</v>
      </c>
      <c r="E3" s="74" t="s">
        <v>132</v>
      </c>
      <c r="F3" s="74" t="s">
        <v>929</v>
      </c>
      <c r="G3" s="74" t="s">
        <v>930</v>
      </c>
      <c r="H3" s="74" t="s">
        <v>91</v>
      </c>
      <c r="I3" s="74" t="s">
        <v>230</v>
      </c>
      <c r="J3" s="74" t="s">
        <v>931</v>
      </c>
    </row>
    <row r="4" spans="1:10" ht="30" customHeight="1" x14ac:dyDescent="0.25">
      <c r="A4" s="20" t="s">
        <v>932</v>
      </c>
      <c r="B4" s="47" t="s">
        <v>933</v>
      </c>
      <c r="C4" s="47" t="s">
        <v>934</v>
      </c>
      <c r="D4" s="47" t="s">
        <v>935</v>
      </c>
      <c r="E4" s="20" t="s">
        <v>936</v>
      </c>
      <c r="F4" s="47" t="s">
        <v>937</v>
      </c>
      <c r="G4" s="47" t="s">
        <v>938</v>
      </c>
      <c r="H4" s="54" t="s">
        <v>939</v>
      </c>
      <c r="I4" s="47" t="s">
        <v>100</v>
      </c>
      <c r="J4" s="47" t="s">
        <v>397</v>
      </c>
    </row>
    <row r="5" spans="1:10" ht="30" customHeight="1" x14ac:dyDescent="0.25">
      <c r="A5" s="20" t="s">
        <v>940</v>
      </c>
      <c r="B5" s="47" t="s">
        <v>941</v>
      </c>
      <c r="C5" s="47" t="s">
        <v>942</v>
      </c>
      <c r="D5" s="47" t="s">
        <v>943</v>
      </c>
      <c r="E5" s="20" t="s">
        <v>936</v>
      </c>
      <c r="F5" s="47" t="s">
        <v>944</v>
      </c>
      <c r="G5" s="47" t="s">
        <v>153</v>
      </c>
      <c r="H5" s="54" t="s">
        <v>939</v>
      </c>
      <c r="I5" s="47" t="s">
        <v>100</v>
      </c>
      <c r="J5" s="47" t="s">
        <v>397</v>
      </c>
    </row>
    <row r="6" spans="1:10" ht="30" customHeight="1" x14ac:dyDescent="0.25">
      <c r="A6" s="20" t="s">
        <v>945</v>
      </c>
      <c r="B6" s="47" t="s">
        <v>946</v>
      </c>
      <c r="C6" s="47" t="s">
        <v>947</v>
      </c>
      <c r="D6" s="47" t="s">
        <v>948</v>
      </c>
      <c r="E6" s="20" t="s">
        <v>949</v>
      </c>
      <c r="F6" s="47" t="s">
        <v>288</v>
      </c>
      <c r="G6" s="47" t="s">
        <v>149</v>
      </c>
      <c r="H6" s="22" t="s">
        <v>950</v>
      </c>
      <c r="I6" s="47" t="s">
        <v>111</v>
      </c>
      <c r="J6" s="47" t="s">
        <v>951</v>
      </c>
    </row>
    <row r="7" spans="1:10" ht="30" customHeight="1" x14ac:dyDescent="0.25">
      <c r="A7" s="20" t="s">
        <v>952</v>
      </c>
      <c r="B7" s="47" t="s">
        <v>953</v>
      </c>
      <c r="C7" s="47" t="s">
        <v>954</v>
      </c>
      <c r="D7" s="47" t="s">
        <v>955</v>
      </c>
      <c r="E7" s="20" t="s">
        <v>956</v>
      </c>
      <c r="F7" s="47" t="s">
        <v>957</v>
      </c>
      <c r="G7" s="47" t="s">
        <v>736</v>
      </c>
      <c r="H7" s="22" t="s">
        <v>950</v>
      </c>
      <c r="I7" s="47" t="s">
        <v>100</v>
      </c>
      <c r="J7" s="47" t="s">
        <v>958</v>
      </c>
    </row>
    <row r="8" spans="1:10" x14ac:dyDescent="0.25">
      <c r="A8" s="20" t="s">
        <v>959</v>
      </c>
      <c r="B8" s="47" t="s">
        <v>960</v>
      </c>
      <c r="C8" s="47" t="s">
        <v>961</v>
      </c>
      <c r="D8" s="47" t="s">
        <v>962</v>
      </c>
      <c r="E8" s="20" t="s">
        <v>963</v>
      </c>
      <c r="F8" s="47" t="s">
        <v>964</v>
      </c>
      <c r="G8" s="47" t="s">
        <v>965</v>
      </c>
      <c r="H8" s="54" t="s">
        <v>939</v>
      </c>
      <c r="I8" s="47" t="s">
        <v>453</v>
      </c>
      <c r="J8" s="47" t="s">
        <v>966</v>
      </c>
    </row>
  </sheetData>
  <mergeCells count="1">
    <mergeCell ref="A1:J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Hoja44">
    <tabColor rgb="FFC00000"/>
  </sheetPr>
  <dimension ref="A1:H50"/>
  <sheetViews>
    <sheetView showGridLines="0" workbookViewId="0"/>
  </sheetViews>
  <sheetFormatPr baseColWidth="10" defaultColWidth="9.140625" defaultRowHeight="15" x14ac:dyDescent="0.25"/>
  <cols>
    <col min="1" max="1" width="10" customWidth="1"/>
    <col min="2" max="2" width="15" customWidth="1"/>
    <col min="3" max="3" width="20" customWidth="1"/>
    <col min="4" max="4" width="35" customWidth="1"/>
    <col min="5" max="5" width="15" customWidth="1"/>
    <col min="6" max="6" width="30" customWidth="1"/>
    <col min="7" max="7" width="25" customWidth="1"/>
    <col min="8" max="8" width="15" customWidth="1"/>
  </cols>
  <sheetData>
    <row r="1" spans="1:8" ht="24.95" customHeight="1" x14ac:dyDescent="0.25">
      <c r="A1" s="178" t="s">
        <v>967</v>
      </c>
      <c r="B1" s="114"/>
      <c r="C1" s="114"/>
      <c r="D1" s="114"/>
      <c r="E1" s="114"/>
      <c r="F1" s="114"/>
      <c r="G1" s="114"/>
      <c r="H1" s="114"/>
    </row>
    <row r="3" spans="1:8" x14ac:dyDescent="0.25">
      <c r="A3" s="188" t="s">
        <v>968</v>
      </c>
      <c r="B3" s="114"/>
      <c r="C3" s="114"/>
      <c r="D3" s="114"/>
      <c r="E3" s="114"/>
      <c r="F3" s="114"/>
      <c r="G3" s="114"/>
      <c r="H3" s="114"/>
    </row>
    <row r="5" spans="1:8" ht="30" customHeight="1" x14ac:dyDescent="0.25">
      <c r="A5" s="65" t="s">
        <v>969</v>
      </c>
      <c r="B5" s="65" t="s">
        <v>970</v>
      </c>
      <c r="C5" s="65" t="s">
        <v>553</v>
      </c>
      <c r="D5" s="65" t="s">
        <v>131</v>
      </c>
      <c r="E5" s="65" t="s">
        <v>971</v>
      </c>
      <c r="F5" s="65" t="s">
        <v>972</v>
      </c>
      <c r="G5" s="65" t="s">
        <v>973</v>
      </c>
      <c r="H5" s="65" t="s">
        <v>974</v>
      </c>
    </row>
    <row r="6" spans="1:8" ht="30" customHeight="1" x14ac:dyDescent="0.25">
      <c r="A6" s="20" t="s">
        <v>559</v>
      </c>
      <c r="B6" s="20" t="s">
        <v>975</v>
      </c>
      <c r="C6" s="47" t="s">
        <v>557</v>
      </c>
      <c r="D6" s="47" t="s">
        <v>976</v>
      </c>
      <c r="E6" s="47" t="s">
        <v>977</v>
      </c>
      <c r="F6" s="47" t="s">
        <v>978</v>
      </c>
      <c r="G6" s="47" t="s">
        <v>979</v>
      </c>
      <c r="H6" s="47" t="s">
        <v>549</v>
      </c>
    </row>
    <row r="7" spans="1:8" x14ac:dyDescent="0.25">
      <c r="A7" s="20" t="s">
        <v>568</v>
      </c>
      <c r="B7" s="20" t="s">
        <v>975</v>
      </c>
      <c r="C7" s="47" t="s">
        <v>980</v>
      </c>
      <c r="D7" s="47" t="s">
        <v>981</v>
      </c>
      <c r="E7" s="47" t="s">
        <v>982</v>
      </c>
      <c r="F7" s="47" t="s">
        <v>983</v>
      </c>
      <c r="G7" s="47" t="s">
        <v>984</v>
      </c>
      <c r="H7" s="47" t="s">
        <v>549</v>
      </c>
    </row>
    <row r="8" spans="1:8" x14ac:dyDescent="0.25">
      <c r="A8" s="20" t="s">
        <v>555</v>
      </c>
      <c r="B8" s="20" t="s">
        <v>985</v>
      </c>
      <c r="C8" s="47" t="s">
        <v>986</v>
      </c>
      <c r="D8" s="47" t="s">
        <v>987</v>
      </c>
      <c r="E8" s="47" t="s">
        <v>988</v>
      </c>
      <c r="F8" s="47" t="s">
        <v>989</v>
      </c>
      <c r="G8" s="47" t="s">
        <v>990</v>
      </c>
      <c r="H8" s="47" t="s">
        <v>549</v>
      </c>
    </row>
    <row r="50" spans="1:8" x14ac:dyDescent="0.25">
      <c r="A50" s="208" t="s">
        <v>991</v>
      </c>
      <c r="B50" s="114"/>
      <c r="C50" s="114"/>
      <c r="D50" s="114"/>
      <c r="E50" s="114"/>
      <c r="F50" s="114"/>
      <c r="G50" s="114"/>
      <c r="H50" s="114"/>
    </row>
  </sheetData>
  <mergeCells count="3">
    <mergeCell ref="A50:H50"/>
    <mergeCell ref="A3:H3"/>
    <mergeCell ref="A1:H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Hoja45">
    <tabColor rgb="FF7F7F7F"/>
  </sheetPr>
  <dimension ref="A1:H5"/>
  <sheetViews>
    <sheetView showGridLines="0" workbookViewId="0"/>
  </sheetViews>
  <sheetFormatPr baseColWidth="10" defaultColWidth="9.140625" defaultRowHeight="15" x14ac:dyDescent="0.25"/>
  <cols>
    <col min="1" max="1" width="14" customWidth="1"/>
    <col min="2" max="2" width="12" customWidth="1"/>
    <col min="3" max="3" width="20" customWidth="1"/>
    <col min="4" max="4" width="18" customWidth="1"/>
    <col min="5" max="5" width="35" customWidth="1"/>
    <col min="6" max="6" width="12" customWidth="1"/>
    <col min="7" max="7" width="15" customWidth="1"/>
    <col min="8" max="8" width="30" customWidth="1"/>
  </cols>
  <sheetData>
    <row r="1" spans="1:8" ht="24.95" customHeight="1" x14ac:dyDescent="0.25">
      <c r="A1" s="209" t="s">
        <v>992</v>
      </c>
      <c r="B1" s="114"/>
      <c r="C1" s="114"/>
      <c r="D1" s="114"/>
      <c r="E1" s="114"/>
      <c r="F1" s="114"/>
      <c r="G1" s="114"/>
      <c r="H1" s="114"/>
    </row>
    <row r="3" spans="1:8" ht="24.95" customHeight="1" x14ac:dyDescent="0.25">
      <c r="A3" s="77" t="s">
        <v>616</v>
      </c>
      <c r="B3" s="77" t="s">
        <v>226</v>
      </c>
      <c r="C3" s="77" t="s">
        <v>993</v>
      </c>
      <c r="D3" s="77" t="s">
        <v>994</v>
      </c>
      <c r="E3" s="77" t="s">
        <v>995</v>
      </c>
      <c r="F3" s="77" t="s">
        <v>91</v>
      </c>
      <c r="G3" s="77" t="s">
        <v>996</v>
      </c>
      <c r="H3" s="77" t="s">
        <v>394</v>
      </c>
    </row>
    <row r="4" spans="1:8" ht="30" customHeight="1" x14ac:dyDescent="0.25">
      <c r="A4" s="47" t="s">
        <v>997</v>
      </c>
      <c r="B4" s="47" t="s">
        <v>236</v>
      </c>
      <c r="C4" s="47" t="s">
        <v>998</v>
      </c>
      <c r="D4" s="47" t="s">
        <v>999</v>
      </c>
      <c r="E4" s="47" t="s">
        <v>1000</v>
      </c>
      <c r="F4" s="20" t="s">
        <v>1001</v>
      </c>
      <c r="G4" s="47" t="s">
        <v>1002</v>
      </c>
      <c r="H4" s="47" t="s">
        <v>1003</v>
      </c>
    </row>
    <row r="5" spans="1:8" ht="30" customHeight="1" x14ac:dyDescent="0.25">
      <c r="A5" s="47" t="s">
        <v>997</v>
      </c>
      <c r="B5" s="47" t="s">
        <v>100</v>
      </c>
      <c r="C5" s="47" t="s">
        <v>1004</v>
      </c>
      <c r="D5" s="47" t="s">
        <v>1005</v>
      </c>
      <c r="E5" s="47" t="s">
        <v>1006</v>
      </c>
      <c r="F5" s="20" t="s">
        <v>1001</v>
      </c>
      <c r="G5" s="47" t="s">
        <v>1007</v>
      </c>
      <c r="H5" s="47" t="s">
        <v>1008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Panel_Control</vt:lpstr>
      <vt:lpstr>Control_Documentos</vt:lpstr>
      <vt:lpstr>Portada</vt:lpstr>
      <vt:lpstr>Metodologia_Riesgos</vt:lpstr>
      <vt:lpstr>SoA</vt:lpstr>
      <vt:lpstr>Plan_Auditoria</vt:lpstr>
      <vt:lpstr>Revision_Direccion</vt:lpstr>
      <vt:lpstr>Plan_Proyecto_SGSI</vt:lpstr>
      <vt:lpstr>Datos_Organizacion</vt:lpstr>
      <vt:lpstr>Activos</vt:lpstr>
      <vt:lpstr>Plan_Continuidad</vt:lpstr>
      <vt:lpstr>BIA</vt:lpstr>
      <vt:lpstr>Plan_Formacion</vt:lpstr>
      <vt:lpstr>NDA_Proveedores</vt:lpstr>
      <vt:lpstr>NDA_Empleados</vt:lpstr>
      <vt:lpstr>Comite_Seguridad</vt:lpstr>
      <vt:lpstr>CMDB</vt:lpstr>
      <vt:lpstr>Procedimiento_Hardening</vt:lpstr>
      <vt:lpstr>Plan_Director_Ciber</vt:lpstr>
      <vt:lpstr>DRP_Pruebas</vt:lpstr>
      <vt:lpstr>DRP_Informes</vt:lpstr>
      <vt:lpstr>DRP_Mantenimiento</vt:lpstr>
      <vt:lpstr>Dashboard</vt:lpstr>
      <vt:lpstr>Matriz_Riesgos</vt:lpstr>
      <vt:lpstr>Analisis_Riesgos</vt:lpstr>
      <vt:lpstr>Plan_Tratamiento</vt:lpstr>
      <vt:lpstr>Config_Categorias</vt:lpstr>
      <vt:lpstr>Config_Areas</vt:lpstr>
      <vt:lpstr>Config_Clases</vt:lpstr>
      <vt:lpstr>Controles_ISO27001</vt:lpstr>
      <vt:lpstr>Declaracion_Aplicabilidad</vt:lpstr>
      <vt:lpstr>Inventario_Amenazas</vt:lpstr>
      <vt:lpstr>Inventario_Vulnerabilidades</vt:lpstr>
      <vt:lpstr>Gestion_Incidentes</vt:lpstr>
      <vt:lpstr>Politicas_Seguridad</vt:lpstr>
      <vt:lpstr>Procedimientos</vt:lpstr>
      <vt:lpstr>Auditorias</vt:lpstr>
      <vt:lpstr>Registro_Formacion</vt:lpstr>
      <vt:lpstr>Clasificacion_Incidentes</vt:lpstr>
      <vt:lpstr>Registro_Eventos</vt:lpstr>
      <vt:lpstr>Instrucciones</vt:lpstr>
      <vt:lpstr>Plan_Contingencia</vt:lpstr>
      <vt:lpstr>Metricas_KPI</vt:lpstr>
      <vt:lpstr>MITRE_Ataques</vt:lpstr>
      <vt:lpstr>Log_Acciones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ñanculeo</cp:lastModifiedBy>
  <dcterms:created xsi:type="dcterms:W3CDTF">2025-11-06T17:50:33Z</dcterms:created>
  <dcterms:modified xsi:type="dcterms:W3CDTF">2025-11-06T21:17:44Z</dcterms:modified>
</cp:coreProperties>
</file>