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21" activeTab="23" autoFilterDateGrouping="1"/>
  </bookViews>
  <sheets>
    <sheet xmlns:r="http://schemas.openxmlformats.org/officeDocument/2006/relationships" name="Panel_Control" sheetId="1" state="visible" r:id="rId1"/>
    <sheet xmlns:r="http://schemas.openxmlformats.org/officeDocument/2006/relationships" name="Control_Documentos" sheetId="2" state="visible" r:id="rId2"/>
    <sheet xmlns:r="http://schemas.openxmlformats.org/officeDocument/2006/relationships" name="Portada" sheetId="3" state="visible" r:id="rId3"/>
    <sheet xmlns:r="http://schemas.openxmlformats.org/officeDocument/2006/relationships" name="Metodologia_Riesgos" sheetId="4" state="visible" r:id="rId4"/>
    <sheet xmlns:r="http://schemas.openxmlformats.org/officeDocument/2006/relationships" name="SoA" sheetId="5" state="visible" r:id="rId5"/>
    <sheet xmlns:r="http://schemas.openxmlformats.org/officeDocument/2006/relationships" name="Plan_Auditoria" sheetId="6" state="visible" r:id="rId6"/>
    <sheet xmlns:r="http://schemas.openxmlformats.org/officeDocument/2006/relationships" name="Revision_Direccion" sheetId="7" state="visible" r:id="rId7"/>
    <sheet xmlns:r="http://schemas.openxmlformats.org/officeDocument/2006/relationships" name="Plan_Proyecto_SGSI" sheetId="8" state="visible" r:id="rId8"/>
    <sheet xmlns:r="http://schemas.openxmlformats.org/officeDocument/2006/relationships" name="Datos_Organizacion" sheetId="9" state="visible" r:id="rId9"/>
    <sheet xmlns:r="http://schemas.openxmlformats.org/officeDocument/2006/relationships" name="Activos" sheetId="10" state="visible" r:id="rId10"/>
    <sheet xmlns:r="http://schemas.openxmlformats.org/officeDocument/2006/relationships" name="Plan_Continuidad" sheetId="11" state="visible" r:id="rId11"/>
    <sheet xmlns:r="http://schemas.openxmlformats.org/officeDocument/2006/relationships" name="BIA" sheetId="12" state="visible" r:id="rId12"/>
    <sheet xmlns:r="http://schemas.openxmlformats.org/officeDocument/2006/relationships" name="Plan_Formacion" sheetId="13" state="visible" r:id="rId13"/>
    <sheet xmlns:r="http://schemas.openxmlformats.org/officeDocument/2006/relationships" name="NDA_Proveedores" sheetId="14" state="visible" r:id="rId14"/>
    <sheet xmlns:r="http://schemas.openxmlformats.org/officeDocument/2006/relationships" name="NDA_Empleados" sheetId="15" state="visible" r:id="rId15"/>
    <sheet xmlns:r="http://schemas.openxmlformats.org/officeDocument/2006/relationships" name="Comite_Seguridad" sheetId="16" state="visible" r:id="rId16"/>
    <sheet xmlns:r="http://schemas.openxmlformats.org/officeDocument/2006/relationships" name="CMDB" sheetId="17" state="visible" r:id="rId17"/>
    <sheet xmlns:r="http://schemas.openxmlformats.org/officeDocument/2006/relationships" name="Procedimiento_Hardening" sheetId="18" state="visible" r:id="rId18"/>
    <sheet xmlns:r="http://schemas.openxmlformats.org/officeDocument/2006/relationships" name="Plan_Director_Ciber" sheetId="19" state="visible" r:id="rId19"/>
    <sheet xmlns:r="http://schemas.openxmlformats.org/officeDocument/2006/relationships" name="DRP_Pruebas" sheetId="20" state="visible" r:id="rId20"/>
    <sheet xmlns:r="http://schemas.openxmlformats.org/officeDocument/2006/relationships" name="DRP_Informes" sheetId="21" state="visible" r:id="rId21"/>
    <sheet xmlns:r="http://schemas.openxmlformats.org/officeDocument/2006/relationships" name="DRP_Mantenimiento" sheetId="22" state="visible" r:id="rId22"/>
    <sheet xmlns:r="http://schemas.openxmlformats.org/officeDocument/2006/relationships" name="Dashboard" sheetId="23" state="visible" r:id="rId23"/>
    <sheet xmlns:r="http://schemas.openxmlformats.org/officeDocument/2006/relationships" name="Matriz_Riesgos" sheetId="24" state="visible" r:id="rId24"/>
    <sheet xmlns:r="http://schemas.openxmlformats.org/officeDocument/2006/relationships" name="Analisis_Riesgos" sheetId="25" state="visible" r:id="rId25"/>
    <sheet xmlns:r="http://schemas.openxmlformats.org/officeDocument/2006/relationships" name="Plan_Tratamiento" sheetId="26" state="visible" r:id="rId26"/>
    <sheet xmlns:r="http://schemas.openxmlformats.org/officeDocument/2006/relationships" name="Config_Categorias" sheetId="27" state="visible" r:id="rId27"/>
    <sheet xmlns:r="http://schemas.openxmlformats.org/officeDocument/2006/relationships" name="Config_Areas" sheetId="28" state="visible" r:id="rId28"/>
    <sheet xmlns:r="http://schemas.openxmlformats.org/officeDocument/2006/relationships" name="Config_Clases" sheetId="29" state="visible" r:id="rId29"/>
    <sheet xmlns:r="http://schemas.openxmlformats.org/officeDocument/2006/relationships" name="Controles_ISO27001" sheetId="30" state="visible" r:id="rId30"/>
    <sheet xmlns:r="http://schemas.openxmlformats.org/officeDocument/2006/relationships" name="Declaracion_Aplicabilidad" sheetId="31" state="visible" r:id="rId31"/>
    <sheet xmlns:r="http://schemas.openxmlformats.org/officeDocument/2006/relationships" name="Inventario_Amenazas" sheetId="32" state="visible" r:id="rId32"/>
    <sheet xmlns:r="http://schemas.openxmlformats.org/officeDocument/2006/relationships" name="Inventario_Vulnerabilidades" sheetId="33" state="visible" r:id="rId33"/>
    <sheet xmlns:r="http://schemas.openxmlformats.org/officeDocument/2006/relationships" name="Gestion_Incidentes" sheetId="34" state="visible" r:id="rId34"/>
    <sheet xmlns:r="http://schemas.openxmlformats.org/officeDocument/2006/relationships" name="Politicas_Seguridad" sheetId="35" state="visible" r:id="rId35"/>
    <sheet xmlns:r="http://schemas.openxmlformats.org/officeDocument/2006/relationships" name="Procedimientos" sheetId="36" state="visible" r:id="rId36"/>
    <sheet xmlns:r="http://schemas.openxmlformats.org/officeDocument/2006/relationships" name="Auditorias" sheetId="37" state="visible" r:id="rId37"/>
    <sheet xmlns:r="http://schemas.openxmlformats.org/officeDocument/2006/relationships" name="Registro_Formacion" sheetId="38" state="visible" r:id="rId38"/>
    <sheet xmlns:r="http://schemas.openxmlformats.org/officeDocument/2006/relationships" name="Clasificacion_Incidentes" sheetId="39" state="visible" r:id="rId39"/>
    <sheet xmlns:r="http://schemas.openxmlformats.org/officeDocument/2006/relationships" name="Registro_Eventos" sheetId="40" state="visible" r:id="rId40"/>
    <sheet xmlns:r="http://schemas.openxmlformats.org/officeDocument/2006/relationships" name="Instrucciones" sheetId="41" state="visible" r:id="rId41"/>
    <sheet xmlns:r="http://schemas.openxmlformats.org/officeDocument/2006/relationships" name="Plan_Contingencia" sheetId="42" state="visible" r:id="rId42"/>
    <sheet xmlns:r="http://schemas.openxmlformats.org/officeDocument/2006/relationships" name="Metricas_KPI" sheetId="43" state="visible" r:id="rId43"/>
    <sheet xmlns:r="http://schemas.openxmlformats.org/officeDocument/2006/relationships" name="MITRE_Ataques" sheetId="44" state="visible" r:id="rId44"/>
    <sheet xmlns:r="http://schemas.openxmlformats.org/officeDocument/2006/relationships" name="Log_Acciones" sheetId="45" state="visible" r:id="rId45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85">
    <font>
      <name val="Calibri"/>
      <family val="2"/>
      <color theme="1"/>
      <sz val="11"/>
      <scheme val="minor"/>
    </font>
    <font>
      <name val="Calibri"/>
      <family val="2"/>
      <b val="1"/>
      <color rgb="FF009900"/>
      <sz val="12"/>
    </font>
    <font>
      <name val="Calibri"/>
      <family val="2"/>
      <b val="1"/>
      <color rgb="FFFF6600"/>
      <sz val="14"/>
    </font>
    <font>
      <name val="Calibri"/>
      <family val="2"/>
      <b val="1"/>
      <color rgb="FF009900"/>
      <sz val="14"/>
    </font>
    <font>
      <name val="Calibri"/>
      <family val="2"/>
      <i val="1"/>
      <color rgb="FF999999"/>
      <sz val="9"/>
    </font>
    <font>
      <name val="Calibri"/>
      <family val="2"/>
      <b val="1"/>
      <color rgb="FFFFFFFF"/>
      <sz val="28"/>
    </font>
    <font>
      <name val="Calibri"/>
      <family val="2"/>
      <b val="1"/>
      <color rgb="FF0066CC"/>
      <sz val="20"/>
    </font>
    <font>
      <name val="Calibri"/>
      <family val="2"/>
      <color rgb="FF666666"/>
      <sz val="14"/>
    </font>
    <font>
      <name val="Calibri"/>
      <family val="2"/>
      <b val="1"/>
      <color rgb="FF333333"/>
      <sz val="16"/>
    </font>
    <font>
      <name val="Calibri"/>
      <family val="2"/>
      <color rgb="FF666666"/>
      <sz val="12"/>
    </font>
    <font>
      <name val="Calibri"/>
      <family val="2"/>
      <b val="1"/>
      <color rgb="FF0066CC"/>
      <sz val="14"/>
    </font>
    <font>
      <name val="Calibri"/>
      <family val="2"/>
      <color rgb="FF333333"/>
      <sz val="11"/>
    </font>
    <font>
      <name val="Calibri"/>
      <family val="2"/>
      <i val="1"/>
      <color rgb="FF999999"/>
      <sz val="9"/>
    </font>
    <font>
      <name val="Calibri"/>
      <family val="2"/>
      <b val="1"/>
      <color rgb="FFFFFFFF"/>
      <sz val="16"/>
    </font>
    <font>
      <name val="Calibri"/>
      <family val="2"/>
      <b val="1"/>
      <color rgb="FF70AD47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rgb="FFFFFFFF"/>
      <sz val="14"/>
    </font>
    <font>
      <name val="Calibri"/>
      <family val="2"/>
      <b val="1"/>
      <color rgb="FFFFFFFF"/>
      <sz val="10"/>
    </font>
    <font>
      <name val="Calibri"/>
      <family val="2"/>
      <b val="1"/>
      <color rgb="FF5B9BD5"/>
      <sz val="12"/>
    </font>
    <font>
      <name val="Calibri"/>
      <family val="2"/>
      <b val="1"/>
      <color rgb="FF666666"/>
      <sz val="10"/>
    </font>
    <font>
      <name val="Calibri"/>
      <family val="2"/>
      <b val="1"/>
      <color rgb="FF4472C4"/>
      <sz val="20"/>
    </font>
    <font>
      <name val="Calibri"/>
      <family val="2"/>
      <b val="1"/>
      <color rgb="FFFF6600"/>
      <sz val="20"/>
    </font>
    <font>
      <name val="Calibri"/>
      <family val="2"/>
      <b val="1"/>
      <color rgb="FFFF0000"/>
      <sz val="20"/>
    </font>
    <font>
      <name val="Calibri"/>
      <family val="2"/>
      <b val="1"/>
      <color rgb="FF70AD47"/>
      <sz val="20"/>
    </font>
    <font>
      <name val="Calibri"/>
      <family val="2"/>
      <b val="1"/>
      <color rgb="FFFFFFFF"/>
      <sz val="9"/>
    </font>
    <font>
      <name val="Calibri"/>
      <family val="2"/>
      <b val="1"/>
      <color rgb="FF000000"/>
      <sz val="11"/>
    </font>
    <font>
      <name val="Calibri"/>
      <family val="2"/>
      <b val="1"/>
      <color rgb="FFFF6600"/>
      <sz val="11"/>
    </font>
    <font>
      <name val="Calibri"/>
      <family val="2"/>
      <b val="1"/>
      <color rgb="FFC00000"/>
      <sz val="12"/>
    </font>
    <font>
      <name val="Calibri"/>
      <family val="2"/>
      <b val="1"/>
      <sz val="10"/>
    </font>
    <font>
      <name val="Calibri"/>
      <family val="2"/>
      <b val="1"/>
      <color rgb="FF000000"/>
      <sz val="12"/>
    </font>
    <font>
      <name val="Calibri"/>
      <family val="2"/>
      <b val="1"/>
      <color rgb="FFFFFFFF"/>
      <sz val="12"/>
    </font>
    <font>
      <name val="Calibri"/>
      <family val="2"/>
      <b val="1"/>
      <color rgb="FFFF0000"/>
      <sz val="12"/>
    </font>
    <font>
      <name val="Calibri"/>
      <family val="2"/>
      <b val="1"/>
      <color rgb="FF70AD47"/>
      <sz val="14"/>
    </font>
    <font>
      <name val="Calibri"/>
      <family val="2"/>
      <b val="1"/>
      <color rgb="FFFFC000"/>
      <sz val="14"/>
    </font>
    <font>
      <name val="Calibri"/>
      <family val="2"/>
      <b val="1"/>
      <color rgb="FFC00000"/>
      <sz val="14"/>
    </font>
    <font>
      <name val="Calibri"/>
      <family val="2"/>
      <b val="1"/>
      <color rgb="FF4472C4"/>
      <sz val="14"/>
    </font>
    <font>
      <name val="Calibri"/>
      <family val="2"/>
      <b val="1"/>
      <color rgb="FF009900"/>
      <sz val="10"/>
    </font>
    <font>
      <name val="Calibri"/>
      <family val="2"/>
      <i val="1"/>
      <color rgb="FF666666"/>
      <sz val="10"/>
    </font>
    <font>
      <name val="Calibri"/>
      <family val="2"/>
      <b val="1"/>
      <color rgb="FF2E75B5"/>
      <sz val="11"/>
    </font>
    <font>
      <name val="Calibri"/>
      <family val="2"/>
      <i val="1"/>
      <color rgb="FF666666"/>
      <sz val="9"/>
    </font>
    <font>
      <name val="Calibri"/>
      <family val="2"/>
      <i val="1"/>
      <color rgb="FF2E75B5"/>
      <sz val="9"/>
    </font>
    <font>
      <name val="Calibri"/>
      <family val="2"/>
      <b val="1"/>
      <color rgb="FF00B050"/>
      <sz val="12"/>
    </font>
    <font>
      <name val="Calibri"/>
      <family val="2"/>
      <b val="1"/>
      <color rgb="FF00B050"/>
      <sz val="11"/>
    </font>
    <font>
      <name val="Calibri"/>
      <family val="2"/>
      <b val="1"/>
      <color rgb="FFE74C3C"/>
      <sz val="10"/>
    </font>
    <font>
      <name val="Calibri"/>
      <family val="2"/>
      <b val="1"/>
      <color rgb="FF000000"/>
      <sz val="9"/>
    </font>
    <font>
      <name val="Calibri"/>
      <family val="2"/>
      <b val="1"/>
      <color rgb="FFE67E22"/>
      <sz val="12"/>
    </font>
    <font>
      <name val="Calibri"/>
      <family val="2"/>
      <b val="1"/>
      <color rgb="FFC65911"/>
      <sz val="12"/>
    </font>
    <font>
      <name val="Calibri"/>
      <family val="2"/>
      <b val="1"/>
      <i val="1"/>
      <color rgb="FFC65911"/>
      <sz val="11"/>
    </font>
    <font>
      <name val="Calibri"/>
      <family val="2"/>
      <b val="1"/>
      <color rgb="FF00B0F0"/>
      <sz val="14"/>
    </font>
    <font>
      <name val="Calibri"/>
      <family val="2"/>
      <b val="1"/>
      <color rgb="FF4472C4"/>
      <sz val="12"/>
    </font>
    <font>
      <name val="Calibri"/>
      <family val="2"/>
      <color rgb="FF000000"/>
      <sz val="11"/>
    </font>
    <font>
      <name val="Calibri"/>
      <family val="2"/>
      <color rgb="FF000000"/>
      <sz val="10"/>
    </font>
    <font>
      <name val="Calibri"/>
      <family val="2"/>
      <i val="1"/>
      <color rgb="FF666666"/>
      <sz val="11"/>
    </font>
    <font>
      <name val="Calibri"/>
      <family val="2"/>
      <color rgb="FF999999"/>
      <sz val="10"/>
    </font>
    <font>
      <name val="Calibri"/>
      <family val="2"/>
      <sz val="11"/>
    </font>
    <font>
      <name val="Segoe UI"/>
      <family val="2"/>
      <b val="1"/>
      <color rgb="FFFFFFFF"/>
      <sz val="22"/>
    </font>
    <font>
      <name val="Segoe UI"/>
      <family val="2"/>
      <i val="1"/>
      <color rgb="FF000000"/>
      <sz val="10"/>
    </font>
    <font>
      <name val="Segoe UI"/>
      <family val="2"/>
      <b val="1"/>
      <color rgb="FFFFFFFF"/>
      <sz val="14"/>
    </font>
    <font>
      <name val="Segoe UI"/>
      <family val="2"/>
      <color rgb="FF2E75B6"/>
      <sz val="9"/>
      <u val="single"/>
    </font>
    <font>
      <name val="Segoe UI"/>
      <family val="2"/>
      <b val="1"/>
      <color rgb="FFFFFFFF"/>
      <sz val="13"/>
    </font>
    <font>
      <name val="Segoe UI"/>
      <family val="2"/>
      <b val="1"/>
      <color rgb="FF4472C4"/>
      <sz val="10"/>
    </font>
    <font>
      <name val="Segoe UI"/>
      <family val="2"/>
      <color rgb="FF000000"/>
      <sz val="9"/>
    </font>
    <font>
      <name val="Segoe UI"/>
      <family val="2"/>
      <b val="1"/>
      <color rgb="FFED7D31"/>
      <sz val="10"/>
    </font>
    <font>
      <name val="Segoe UI"/>
      <family val="2"/>
      <b val="1"/>
      <color rgb="FF70AD47"/>
      <sz val="10"/>
    </font>
    <font>
      <name val="Segoe UI"/>
      <family val="2"/>
      <b val="1"/>
      <color rgb="FF5B9BD5"/>
      <sz val="10"/>
    </font>
    <font>
      <name val="Segoe UI"/>
      <family val="2"/>
      <b val="1"/>
      <color rgb="FF9966CC"/>
      <sz val="10"/>
    </font>
    <font>
      <name val="Segoe UI"/>
      <family val="2"/>
      <i val="1"/>
      <color rgb="FF000000"/>
      <sz val="9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3"/>
    </font>
    <font>
      <name val="Calibri"/>
      <family val="2"/>
      <b val="1"/>
      <color rgb="FF4472C4"/>
      <sz val="11"/>
    </font>
    <font>
      <name val="Calibri"/>
      <family val="2"/>
      <b val="1"/>
      <color rgb="FF4472C4"/>
      <sz val="14"/>
    </font>
    <font>
      <name val="Calibri"/>
      <family val="2"/>
      <b val="1"/>
      <color rgb="FFC00000"/>
      <sz val="11"/>
    </font>
    <font>
      <name val="Calibri"/>
      <family val="2"/>
      <b val="1"/>
      <color rgb="FFFFFFFF"/>
      <sz val="14"/>
    </font>
    <font>
      <name val="Calibri"/>
      <family val="2"/>
      <b val="1"/>
      <color rgb="FFED7D31"/>
      <sz val="11"/>
    </font>
    <font>
      <name val="Calibri"/>
      <family val="2"/>
      <b val="1"/>
      <color rgb="FFED7D31"/>
      <sz val="14"/>
    </font>
    <font>
      <name val="Calibri"/>
      <family val="2"/>
      <b val="1"/>
      <color rgb="FF70AD47"/>
      <sz val="11"/>
    </font>
    <font>
      <name val="Calibri"/>
      <family val="2"/>
      <b val="1"/>
      <color rgb="FF70AD47"/>
      <sz val="14"/>
    </font>
    <font>
      <name val="Calibri"/>
      <family val="2"/>
      <b val="1"/>
      <color rgb="FFFFC000"/>
      <sz val="11"/>
    </font>
    <font>
      <name val="Calibri"/>
      <family val="2"/>
      <b val="1"/>
      <color rgb="FF000000"/>
      <sz val="14"/>
    </font>
    <font>
      <name val="Calibri"/>
      <family val="2"/>
      <i val="1"/>
      <color rgb="FF7F7F7F"/>
      <sz val="9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000000"/>
      <sz val="11"/>
      <scheme val="minor"/>
    </font>
  </fonts>
  <fills count="57">
    <fill>
      <patternFill/>
    </fill>
    <fill>
      <patternFill patternType="gray125"/>
    </fill>
    <fill>
      <patternFill patternType="solid">
        <fgColor rgb="FF0066CC"/>
        <bgColor rgb="FF4472C4"/>
      </patternFill>
    </fill>
    <fill>
      <patternFill patternType="solid">
        <fgColor rgb="FFE7E6E6"/>
        <bgColor rgb="FFE7E6E6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C00000"/>
        <bgColor rgb="FFC00000"/>
      </patternFill>
    </fill>
    <fill>
      <patternFill patternType="solid">
        <fgColor rgb="FF4472C4"/>
        <bgColor rgb="FF4472C4"/>
      </patternFill>
    </fill>
    <fill>
      <patternFill patternType="solid">
        <fgColor rgb="FF92D050"/>
        <bgColor rgb="FF92D050"/>
      </patternFill>
    </fill>
    <fill>
      <patternFill patternType="solid">
        <fgColor rgb="FF009900"/>
        <bgColor rgb="FF009900"/>
      </patternFill>
    </fill>
    <fill>
      <patternFill patternType="solid">
        <fgColor rgb="FF7030A0"/>
        <bgColor rgb="FF7030A0"/>
      </patternFill>
    </fill>
    <fill>
      <patternFill patternType="solid">
        <fgColor rgb="FF2E75B5"/>
        <bgColor rgb="FF2E75B5"/>
      </patternFill>
    </fill>
    <fill>
      <patternFill patternType="solid">
        <fgColor rgb="FF00B050"/>
        <bgColor rgb="FF00B050"/>
      </patternFill>
    </fill>
    <fill>
      <patternFill patternType="solid">
        <fgColor rgb="FFE74C3C"/>
        <bgColor rgb="FFE74C3C"/>
      </patternFill>
    </fill>
    <fill>
      <patternFill patternType="solid">
        <fgColor rgb="FFFD6A02"/>
        <bgColor rgb="FFFD6A02"/>
      </patternFill>
    </fill>
    <fill>
      <patternFill patternType="solid">
        <fgColor rgb="FF1F4E78"/>
        <bgColor rgb="FF1F4E78"/>
      </patternFill>
    </fill>
    <fill>
      <patternFill patternType="solid">
        <fgColor rgb="FF548235"/>
        <bgColor rgb="FF548235"/>
      </patternFill>
    </fill>
    <fill>
      <patternFill patternType="solid">
        <fgColor rgb="FFF4B183"/>
        <bgColor rgb="FFF4B183"/>
      </patternFill>
    </fill>
    <fill>
      <patternFill patternType="solid">
        <fgColor rgb="FFE67E22"/>
        <bgColor rgb="FFE67E22"/>
      </patternFill>
    </fill>
    <fill>
      <patternFill patternType="solid">
        <fgColor rgb="FF34495E"/>
        <bgColor rgb="FF34495E"/>
      </patternFill>
    </fill>
    <fill>
      <patternFill patternType="solid">
        <fgColor rgb="FF8E44AD"/>
        <bgColor rgb="FF8E44AD"/>
      </patternFill>
    </fill>
    <fill>
      <patternFill patternType="solid">
        <fgColor rgb="FF16A085"/>
        <bgColor rgb="FF16A085"/>
      </patternFill>
    </fill>
    <fill>
      <patternFill patternType="solid">
        <fgColor rgb="FFC65911"/>
        <bgColor rgb="FFC65911"/>
      </patternFill>
    </fill>
    <fill>
      <patternFill patternType="solid">
        <fgColor rgb="FF00B0F0"/>
        <bgColor rgb="FF00B0F0"/>
      </patternFill>
    </fill>
    <fill>
      <patternFill patternType="solid">
        <fgColor rgb="FF7F7F7F"/>
        <bgColor rgb="FF7F7F7F"/>
      </patternFill>
    </fill>
    <fill>
      <patternFill patternType="solid">
        <fgColor rgb="FF203764"/>
        <bgColor rgb="FF203764"/>
      </patternFill>
    </fill>
    <fill>
      <patternFill patternType="solid">
        <fgColor rgb="FFF39C12"/>
        <bgColor rgb="FFF39C12"/>
      </patternFill>
    </fill>
    <fill>
      <patternFill patternType="solid">
        <fgColor rgb="FF1ABC9C"/>
        <bgColor rgb="FF1ABC9C"/>
      </patternFill>
    </fill>
    <fill>
      <patternFill patternType="solid">
        <fgColor rgb="FF9B59B6"/>
        <bgColor rgb="FF9B59B6"/>
      </patternFill>
    </fill>
    <fill>
      <patternFill patternType="solid">
        <fgColor rgb="FF2980B9"/>
        <bgColor rgb="FF2980B9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2E75B6"/>
        <bgColor rgb="FF2E75B6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9966CC"/>
        <bgColor rgb="FF9966CC"/>
      </patternFill>
    </fill>
    <fill>
      <patternFill patternType="solid">
        <fgColor rgb="FF4472C4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FC000"/>
        <bgColor rgb="FFFFC000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4472C4"/>
      </left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 style="thin">
        <color rgb="FF5B9BD5"/>
      </left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medium">
        <color rgb="FF9966CC"/>
      </left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 style="thin">
        <color rgb="FF9966CC"/>
      </left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medium">
        <color rgb="FF5B9BD5"/>
      </top>
      <bottom style="medium">
        <color rgb="FF5B9BD5"/>
      </bottom>
      <diagonal/>
    </border>
    <border>
      <left/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/>
      <right/>
      <top style="thin">
        <color rgb="FF9966CC"/>
      </top>
      <bottom style="thin">
        <color rgb="FF9966CC"/>
      </bottom>
      <diagonal/>
    </border>
    <border>
      <left/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/>
      <bottom/>
      <diagonal/>
    </border>
    <border>
      <left/>
      <right/>
      <top style="medium">
        <color rgb="FF9966CC"/>
      </top>
      <bottom style="medium">
        <color rgb="FF9966CC"/>
      </bottom>
      <diagonal/>
    </border>
    <border>
      <left/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/>
      <right/>
      <top style="medium">
        <color rgb="FF70AD47"/>
      </top>
      <bottom style="medium">
        <color rgb="FF70AD47"/>
      </bottom>
      <diagonal/>
    </border>
    <border>
      <left/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medium">
        <color rgb="FF1F4E78"/>
      </top>
      <bottom/>
      <diagonal/>
    </border>
    <border>
      <left/>
      <right style="medium">
        <color rgb="FF1F4E78"/>
      </right>
      <top style="medium">
        <color rgb="FF1F4E78"/>
      </top>
      <bottom/>
      <diagonal/>
    </border>
    <border>
      <left/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/>
      <right/>
      <top style="medium">
        <color rgb="FFED7D31"/>
      </top>
      <bottom/>
      <diagonal/>
    </border>
    <border>
      <left/>
      <right style="medium">
        <color rgb="FFED7D31"/>
      </right>
      <top style="medium">
        <color rgb="FFED7D31"/>
      </top>
      <bottom/>
      <diagonal/>
    </border>
    <border>
      <left/>
      <right/>
      <top style="medium">
        <color rgb="FF70AD47"/>
      </top>
      <bottom/>
      <diagonal/>
    </border>
    <border>
      <left/>
      <right style="medium">
        <color rgb="FF70AD47"/>
      </right>
      <top style="medium">
        <color rgb="FF70AD47"/>
      </top>
      <bottom/>
      <diagonal/>
    </border>
    <border>
      <left/>
      <right/>
      <top style="medium">
        <color rgb="FF2E75B6"/>
      </top>
      <bottom/>
      <diagonal/>
    </border>
    <border>
      <left/>
      <right style="medium">
        <color rgb="FF2E75B6"/>
      </right>
      <top style="medium">
        <color rgb="FF2E75B6"/>
      </top>
      <bottom/>
      <diagonal/>
    </border>
    <border>
      <left/>
      <right/>
      <top style="thin">
        <color rgb="FF9966CC"/>
      </top>
      <bottom/>
      <diagonal/>
    </border>
    <border>
      <left/>
      <right style="thin">
        <color rgb="FF9966CC"/>
      </right>
      <top style="thin">
        <color rgb="FF9966CC"/>
      </top>
      <bottom/>
      <diagonal/>
    </border>
    <border>
      <left/>
      <right/>
      <top style="medium">
        <color rgb="FF9966CC"/>
      </top>
      <bottom/>
      <diagonal/>
    </border>
    <border>
      <left/>
      <right style="medium">
        <color rgb="FF9966CC"/>
      </right>
      <top style="medium">
        <color rgb="FF9966CC"/>
      </top>
      <bottom/>
      <diagonal/>
    </border>
    <border>
      <left/>
      <right/>
      <top style="medium">
        <color rgb="FF5B9BD5"/>
      </top>
      <bottom/>
      <diagonal/>
    </border>
    <border>
      <left/>
      <right style="medium">
        <color rgb="FF5B9BD5"/>
      </right>
      <top style="medium">
        <color rgb="FF5B9BD5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</borders>
  <cellStyleXfs count="1">
    <xf numFmtId="0" fontId="0" fillId="0" borderId="39"/>
  </cellStyleXfs>
  <cellXfs count="223">
    <xf numFmtId="0" fontId="0" fillId="0" borderId="0" pivotButton="0" quotePrefix="0" xfId="0"/>
    <xf numFmtId="0" fontId="0" fillId="0" borderId="1" applyAlignment="1" pivotButton="0" quotePrefix="0" xfId="0">
      <alignment horizontal="left" vertical="center"/>
    </xf>
    <xf numFmtId="0" fontId="15" fillId="4" borderId="0" pivotButton="0" quotePrefix="0" xfId="0"/>
    <xf numFmtId="0" fontId="16" fillId="0" borderId="1" pivotButton="0" quotePrefix="0" xfId="0"/>
    <xf numFmtId="0" fontId="0" fillId="0" borderId="1" pivotButton="0" quotePrefix="0" xfId="0"/>
    <xf numFmtId="0" fontId="18" fillId="5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20" fillId="0" borderId="1" applyAlignment="1" pivotButton="0" quotePrefix="0" xfId="0">
      <alignment horizontal="center"/>
    </xf>
    <xf numFmtId="0" fontId="21" fillId="7" borderId="1" applyAlignment="1" pivotButton="0" quotePrefix="0" xfId="0">
      <alignment horizontal="center"/>
    </xf>
    <xf numFmtId="0" fontId="22" fillId="7" borderId="1" applyAlignment="1" pivotButton="0" quotePrefix="0" xfId="0">
      <alignment horizontal="center"/>
    </xf>
    <xf numFmtId="0" fontId="23" fillId="7" borderId="1" applyAlignment="1" pivotButton="0" quotePrefix="0" xfId="0">
      <alignment horizontal="center"/>
    </xf>
    <xf numFmtId="0" fontId="24" fillId="7" borderId="1" applyAlignment="1" pivotButton="0" quotePrefix="0" xfId="0">
      <alignment horizontal="center"/>
    </xf>
    <xf numFmtId="0" fontId="18" fillId="6" borderId="1" applyAlignment="1" pivotButton="0" quotePrefix="0" xfId="0">
      <alignment horizontal="center"/>
    </xf>
    <xf numFmtId="0" fontId="15" fillId="8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15" fillId="4" borderId="1" applyAlignment="1" pivotButton="0" quotePrefix="0" xfId="0">
      <alignment horizontal="center"/>
    </xf>
    <xf numFmtId="0" fontId="15" fillId="9" borderId="1" applyAlignment="1" pivotButton="0" quotePrefix="0" xfId="0">
      <alignment horizontal="center"/>
    </xf>
    <xf numFmtId="0" fontId="15" fillId="5" borderId="1" applyAlignment="1" pivotButton="0" quotePrefix="0" xfId="0">
      <alignment horizontal="center"/>
    </xf>
    <xf numFmtId="0" fontId="15" fillId="10" borderId="1" applyAlignment="1" pivotButton="0" quotePrefix="0" xfId="0">
      <alignment horizontal="center"/>
    </xf>
    <xf numFmtId="0" fontId="25" fillId="9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15" fillId="9" borderId="1" applyAlignment="1" pivotButton="0" quotePrefix="0" xfId="0">
      <alignment horizontal="center" vertical="center" wrapText="1"/>
    </xf>
    <xf numFmtId="0" fontId="26" fillId="5" borderId="1" applyAlignment="1" pivotButton="0" quotePrefix="0" xfId="0">
      <alignment horizontal="center" vertical="center" wrapText="1"/>
    </xf>
    <xf numFmtId="0" fontId="15" fillId="9" borderId="1" applyAlignment="1" pivotButton="0" quotePrefix="0" xfId="0">
      <alignment horizontal="center" vertical="center"/>
    </xf>
    <xf numFmtId="0" fontId="15" fillId="5" borderId="1" applyAlignment="1" pivotButton="0" quotePrefix="0" xfId="0">
      <alignment horizontal="center" vertical="center"/>
    </xf>
    <xf numFmtId="0" fontId="15" fillId="4" borderId="1" applyAlignment="1" pivotButton="0" quotePrefix="0" xfId="0">
      <alignment horizontal="center" vertical="center"/>
    </xf>
    <xf numFmtId="0" fontId="25" fillId="11" borderId="1" applyAlignment="1" pivotButton="0" quotePrefix="0" xfId="0">
      <alignment horizontal="center" vertical="center" wrapText="1"/>
    </xf>
    <xf numFmtId="0" fontId="25" fillId="11" borderId="1" applyAlignment="1" pivotButton="0" quotePrefix="0" xfId="0">
      <alignment horizontal="center" vertical="center"/>
    </xf>
    <xf numFmtId="0" fontId="30" fillId="5" borderId="1" applyAlignment="1" pivotButton="0" quotePrefix="0" xfId="0">
      <alignment horizontal="center" vertical="center"/>
    </xf>
    <xf numFmtId="0" fontId="30" fillId="9" borderId="1" applyAlignment="1" pivotButton="0" quotePrefix="0" xfId="0">
      <alignment horizontal="center" vertical="center"/>
    </xf>
    <xf numFmtId="0" fontId="31" fillId="8" borderId="1" applyAlignment="1" pivotButton="0" quotePrefix="0" xfId="0">
      <alignment horizontal="center" vertical="center"/>
    </xf>
    <xf numFmtId="0" fontId="31" fillId="10" borderId="1" applyAlignment="1" pivotButton="0" quotePrefix="0" xfId="0">
      <alignment horizontal="center" vertical="center"/>
    </xf>
    <xf numFmtId="0" fontId="30" fillId="4" borderId="1" applyAlignment="1" pivotButton="0" quotePrefix="0" xfId="0">
      <alignment horizontal="center" vertical="center"/>
    </xf>
    <xf numFmtId="0" fontId="15" fillId="10" borderId="1" applyAlignment="1" pivotButton="0" quotePrefix="0" xfId="0">
      <alignment horizontal="center" vertical="center"/>
    </xf>
    <xf numFmtId="0" fontId="30" fillId="12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5" fillId="13" borderId="1" applyAlignment="1" pivotButton="0" quotePrefix="0" xfId="0">
      <alignment horizontal="center" vertical="center" wrapText="1"/>
    </xf>
    <xf numFmtId="0" fontId="15" fillId="11" borderId="1" applyAlignment="1" pivotButton="0" quotePrefix="0" xfId="0">
      <alignment horizontal="center" vertical="center" wrapText="1"/>
    </xf>
    <xf numFmtId="0" fontId="29" fillId="0" borderId="1" applyAlignment="1" pivotButton="0" quotePrefix="0" xfId="0">
      <alignment horizontal="right" vertical="center"/>
    </xf>
    <xf numFmtId="0" fontId="3" fillId="7" borderId="1" applyAlignment="1" pivotButton="0" quotePrefix="0" xfId="0">
      <alignment horizontal="center" vertical="center"/>
    </xf>
    <xf numFmtId="0" fontId="33" fillId="7" borderId="1" applyAlignment="1" pivotButton="0" quotePrefix="0" xfId="0">
      <alignment horizontal="center" vertical="center"/>
    </xf>
    <xf numFmtId="0" fontId="34" fillId="7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center" vertical="center"/>
    </xf>
    <xf numFmtId="0" fontId="35" fillId="7" borderId="1" applyAlignment="1" pivotButton="0" quotePrefix="0" xfId="0">
      <alignment horizontal="center" vertical="center"/>
    </xf>
    <xf numFmtId="0" fontId="36" fillId="7" borderId="1" applyAlignment="1" pivotButton="0" quotePrefix="0" xfId="0">
      <alignment horizontal="center" vertical="center"/>
    </xf>
    <xf numFmtId="0" fontId="15" fillId="11" borderId="1" applyAlignment="1" pivotButton="0" quotePrefix="0" xfId="0">
      <alignment horizontal="center" vertical="center"/>
    </xf>
    <xf numFmtId="0" fontId="18" fillId="14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 wrapText="1"/>
    </xf>
    <xf numFmtId="0" fontId="15" fillId="10" borderId="1" applyAlignment="1" pivotButton="0" quotePrefix="0" xfId="0">
      <alignment horizontal="left" vertical="center" wrapText="1"/>
    </xf>
    <xf numFmtId="0" fontId="15" fillId="9" borderId="1" applyAlignment="1" pivotButton="0" quotePrefix="0" xfId="0">
      <alignment horizontal="left" vertical="center" wrapText="1"/>
    </xf>
    <xf numFmtId="0" fontId="26" fillId="5" borderId="1" applyAlignment="1" pivotButton="0" quotePrefix="0" xfId="0">
      <alignment horizontal="left" vertical="center" wrapText="1"/>
    </xf>
    <xf numFmtId="0" fontId="15" fillId="11" borderId="1" applyAlignment="1" pivotButton="0" quotePrefix="0" xfId="0">
      <alignment horizontal="left" vertical="center" wrapText="1"/>
    </xf>
    <xf numFmtId="0" fontId="26" fillId="4" borderId="1" applyAlignment="1" pivotButton="0" quotePrefix="0" xfId="0">
      <alignment horizontal="left" vertical="center" wrapText="1"/>
    </xf>
    <xf numFmtId="0" fontId="25" fillId="15" borderId="1" applyAlignment="1" pivotButton="0" quotePrefix="0" xfId="0">
      <alignment horizontal="center" vertical="center" wrapText="1"/>
    </xf>
    <xf numFmtId="0" fontId="15" fillId="4" borderId="1" applyAlignment="1" pivotButton="0" quotePrefix="0" xfId="0">
      <alignment horizontal="center" vertical="center" wrapText="1"/>
    </xf>
    <xf numFmtId="0" fontId="15" fillId="8" borderId="1" applyAlignment="1" pivotButton="0" quotePrefix="0" xfId="0">
      <alignment horizontal="center" vertical="center" wrapText="1"/>
    </xf>
    <xf numFmtId="0" fontId="16" fillId="3" borderId="1" pivotButton="0" quotePrefix="0" xfId="0"/>
    <xf numFmtId="0" fontId="25" fillId="16" borderId="1" applyAlignment="1" pivotButton="0" quotePrefix="0" xfId="0">
      <alignment horizontal="center" vertical="center" wrapText="1"/>
    </xf>
    <xf numFmtId="0" fontId="15" fillId="16" borderId="1" applyAlignment="1" pivotButton="0" quotePrefix="0" xfId="0">
      <alignment horizontal="center" vertical="center" wrapText="1"/>
    </xf>
    <xf numFmtId="0" fontId="16" fillId="0" borderId="1" applyAlignment="1" pivotButton="0" quotePrefix="0" xfId="0">
      <alignment horizontal="left"/>
    </xf>
    <xf numFmtId="0" fontId="42" fillId="0" borderId="1" applyAlignment="1" pivotButton="0" quotePrefix="0" xfId="0">
      <alignment horizontal="center"/>
    </xf>
    <xf numFmtId="0" fontId="18" fillId="17" borderId="1" applyAlignment="1" pivotButton="0" quotePrefix="0" xfId="0">
      <alignment horizontal="center" vertical="center" wrapText="1"/>
    </xf>
    <xf numFmtId="0" fontId="15" fillId="10" borderId="1" applyAlignment="1" pivotButton="0" quotePrefix="0" xfId="0">
      <alignment horizontal="center" vertical="center" wrapText="1"/>
    </xf>
    <xf numFmtId="0" fontId="15" fillId="17" borderId="1" applyAlignment="1" pivotButton="0" quotePrefix="0" xfId="0">
      <alignment horizontal="center"/>
    </xf>
    <xf numFmtId="0" fontId="25" fillId="18" borderId="1" applyAlignment="1" pivotButton="0" quotePrefix="0" xfId="0">
      <alignment horizontal="center" vertical="center" wrapText="1"/>
    </xf>
    <xf numFmtId="0" fontId="25" fillId="10" borderId="1" applyAlignment="1" pivotButton="0" quotePrefix="0" xfId="0">
      <alignment horizontal="center" vertical="center" wrapText="1"/>
    </xf>
    <xf numFmtId="0" fontId="25" fillId="19" borderId="1" applyAlignment="1" pivotButton="0" quotePrefix="0" xfId="0">
      <alignment horizontal="center" vertical="center" wrapText="1"/>
    </xf>
    <xf numFmtId="0" fontId="25" fillId="20" borderId="1" applyAlignment="1" pivotButton="0" quotePrefix="0" xfId="0">
      <alignment horizontal="center" vertical="center" wrapText="1"/>
    </xf>
    <xf numFmtId="0" fontId="25" fillId="14" borderId="1" applyAlignment="1" pivotButton="0" quotePrefix="0" xfId="0">
      <alignment horizontal="center" vertical="center" wrapText="1"/>
    </xf>
    <xf numFmtId="0" fontId="45" fillId="21" borderId="1" applyAlignment="1" pivotButton="0" quotePrefix="0" xfId="0">
      <alignment horizontal="center" vertical="center" wrapText="1"/>
    </xf>
    <xf numFmtId="0" fontId="25" fillId="22" borderId="1" applyAlignment="1" pivotButton="0" quotePrefix="0" xfId="0">
      <alignment horizontal="center" vertical="center" wrapText="1"/>
    </xf>
    <xf numFmtId="0" fontId="25" fillId="22" borderId="1" applyAlignment="1" pivotButton="0" quotePrefix="0" xfId="0">
      <alignment horizontal="center" vertical="center"/>
    </xf>
    <xf numFmtId="0" fontId="25" fillId="23" borderId="1" applyAlignment="1" pivotButton="0" quotePrefix="0" xfId="0">
      <alignment horizontal="center" vertical="center" wrapText="1"/>
    </xf>
    <xf numFmtId="0" fontId="25" fillId="24" borderId="1" applyAlignment="1" pivotButton="0" quotePrefix="0" xfId="0">
      <alignment horizontal="center" vertical="center" wrapText="1"/>
    </xf>
    <xf numFmtId="0" fontId="25" fillId="25" borderId="1" applyAlignment="1" pivotButton="0" quotePrefix="0" xfId="0">
      <alignment horizontal="center" vertical="center" wrapText="1"/>
    </xf>
    <xf numFmtId="0" fontId="25" fillId="26" borderId="1" applyAlignment="1" pivotButton="0" quotePrefix="0" xfId="0">
      <alignment horizontal="center" vertical="center"/>
    </xf>
    <xf numFmtId="0" fontId="25" fillId="33" borderId="1" applyAlignment="1" pivotButton="0" quotePrefix="0" xfId="0">
      <alignment horizontal="center" vertical="center"/>
    </xf>
    <xf numFmtId="0" fontId="25" fillId="28" borderId="1" applyAlignment="1" pivotButton="0" quotePrefix="0" xfId="0">
      <alignment horizontal="center" vertical="center"/>
    </xf>
    <xf numFmtId="0" fontId="55" fillId="0" borderId="11" pivotButton="0" quotePrefix="0" xfId="0"/>
    <xf numFmtId="0" fontId="59" fillId="0" borderId="14" applyAlignment="1" pivotButton="0" quotePrefix="0" xfId="0">
      <alignment horizontal="left" vertical="center" indent="1"/>
    </xf>
    <xf numFmtId="0" fontId="62" fillId="0" borderId="14" applyAlignment="1" pivotButton="0" quotePrefix="0" xfId="0">
      <alignment horizontal="left" vertical="center" wrapText="1" indent="1"/>
    </xf>
    <xf numFmtId="0" fontId="68" fillId="42" borderId="1" applyAlignment="1" pivotButton="0" quotePrefix="0" xfId="0">
      <alignment horizontal="center" vertical="center"/>
    </xf>
    <xf numFmtId="0" fontId="68" fillId="43" borderId="1" applyAlignment="1" pivotButton="0" quotePrefix="0" xfId="0">
      <alignment horizontal="center" vertical="center" wrapText="1"/>
    </xf>
    <xf numFmtId="0" fontId="68" fillId="44" borderId="1" applyAlignment="1" pivotButton="0" quotePrefix="0" xfId="0">
      <alignment horizontal="center" vertical="center" wrapText="1"/>
    </xf>
    <xf numFmtId="0" fontId="70" fillId="0" borderId="44" applyAlignment="1" pivotButton="0" quotePrefix="0" xfId="0">
      <alignment horizontal="left" vertical="center"/>
    </xf>
    <xf numFmtId="0" fontId="71" fillId="45" borderId="44" applyAlignment="1" pivotButton="0" quotePrefix="0" xfId="0">
      <alignment horizontal="center" vertical="center"/>
    </xf>
    <xf numFmtId="0" fontId="72" fillId="0" borderId="44" applyAlignment="1" pivotButton="0" quotePrefix="0" xfId="0">
      <alignment horizontal="left" vertical="center"/>
    </xf>
    <xf numFmtId="0" fontId="73" fillId="46" borderId="44" applyAlignment="1" pivotButton="0" quotePrefix="0" xfId="0">
      <alignment horizontal="center" vertical="center"/>
    </xf>
    <xf numFmtId="0" fontId="74" fillId="0" borderId="44" applyAlignment="1" pivotButton="0" quotePrefix="0" xfId="0">
      <alignment horizontal="left" vertical="center"/>
    </xf>
    <xf numFmtId="0" fontId="75" fillId="47" borderId="44" applyAlignment="1" pivotButton="0" quotePrefix="0" xfId="0">
      <alignment horizontal="center" vertical="center"/>
    </xf>
    <xf numFmtId="0" fontId="76" fillId="0" borderId="44" applyAlignment="1" pivotButton="0" quotePrefix="0" xfId="0">
      <alignment horizontal="left" vertical="center"/>
    </xf>
    <xf numFmtId="0" fontId="77" fillId="48" borderId="44" applyAlignment="1" pivotButton="0" quotePrefix="0" xfId="0">
      <alignment horizontal="center" vertical="center"/>
    </xf>
    <xf numFmtId="0" fontId="78" fillId="0" borderId="44" applyAlignment="1" pivotButton="0" quotePrefix="0" xfId="0">
      <alignment horizontal="left" vertical="center"/>
    </xf>
    <xf numFmtId="0" fontId="79" fillId="49" borderId="44" applyAlignment="1" pivotButton="0" quotePrefix="0" xfId="0">
      <alignment horizontal="center" vertical="center"/>
    </xf>
    <xf numFmtId="0" fontId="81" fillId="0" borderId="14" pivotButton="0" quotePrefix="0" xfId="0"/>
    <xf numFmtId="14" fontId="81" fillId="0" borderId="14" pivotButton="0" quotePrefix="0" xfId="0"/>
    <xf numFmtId="0" fontId="81" fillId="50" borderId="14" pivotButton="0" quotePrefix="0" xfId="0"/>
    <xf numFmtId="14" fontId="81" fillId="50" borderId="14" pivotButton="0" quotePrefix="0" xfId="0"/>
    <xf numFmtId="0" fontId="82" fillId="51" borderId="14" pivotButton="0" quotePrefix="0" xfId="0"/>
    <xf numFmtId="0" fontId="82" fillId="52" borderId="14" pivotButton="0" quotePrefix="0" xfId="0"/>
    <xf numFmtId="0" fontId="82" fillId="53" borderId="14" applyAlignment="1" pivotButton="0" quotePrefix="0" xfId="0">
      <alignment horizontal="center"/>
    </xf>
    <xf numFmtId="0" fontId="82" fillId="54" borderId="14" pivotButton="0" quotePrefix="0" xfId="0"/>
    <xf numFmtId="0" fontId="82" fillId="55" borderId="14" applyAlignment="1" pivotButton="0" quotePrefix="0" xfId="0">
      <alignment horizontal="center"/>
    </xf>
    <xf numFmtId="9" fontId="81" fillId="0" borderId="14" applyAlignment="1" pivotButton="0" quotePrefix="0" xfId="0">
      <alignment horizontal="center"/>
    </xf>
    <xf numFmtId="14" fontId="18" fillId="6" borderId="1" applyAlignment="1" pivotButton="0" quotePrefix="0" xfId="0">
      <alignment horizontal="center"/>
    </xf>
    <xf numFmtId="0" fontId="83" fillId="56" borderId="0" pivotButton="0" quotePrefix="0" xfId="0"/>
    <xf numFmtId="22" fontId="0" fillId="0" borderId="0" pivotButton="0" quotePrefix="0" xfId="0"/>
    <xf numFmtId="0" fontId="61" fillId="35" borderId="16" applyAlignment="1" pivotButton="0" quotePrefix="0" xfId="0">
      <alignment horizontal="center" vertical="center"/>
    </xf>
    <xf numFmtId="0" fontId="63" fillId="35" borderId="18" applyAlignment="1" pivotButton="0" quotePrefix="0" xfId="0">
      <alignment horizontal="center" vertical="center"/>
    </xf>
    <xf numFmtId="0" fontId="65" fillId="35" borderId="22" applyAlignment="1" pivotButton="0" quotePrefix="0" xfId="0">
      <alignment horizontal="center" vertical="center"/>
    </xf>
    <xf numFmtId="0" fontId="60" fillId="40" borderId="21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67" fillId="35" borderId="14" applyAlignment="1" pivotButton="0" quotePrefix="0" xfId="0">
      <alignment horizontal="center" vertical="center" wrapText="1"/>
    </xf>
    <xf numFmtId="0" fontId="0" fillId="0" borderId="29" pivotButton="0" quotePrefix="0" xfId="0"/>
    <xf numFmtId="0" fontId="0" fillId="0" borderId="30" pivotButton="0" quotePrefix="0" xfId="0"/>
    <xf numFmtId="0" fontId="66" fillId="35" borderId="24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64" fillId="35" borderId="20" applyAlignment="1" pivotButton="0" quotePrefix="0" xfId="0">
      <alignment horizontal="center" vertical="center"/>
    </xf>
    <xf numFmtId="0" fontId="58" fillId="36" borderId="13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32" pivotButton="0" quotePrefix="0" xfId="0"/>
    <xf numFmtId="0" fontId="56" fillId="34" borderId="12" applyAlignment="1" pivotButton="0" quotePrefix="0" xfId="0">
      <alignment horizontal="center" vertical="center"/>
    </xf>
    <xf numFmtId="0" fontId="0" fillId="0" borderId="33" pivotButton="0" quotePrefix="0" xfId="0"/>
    <xf numFmtId="0" fontId="0" fillId="0" borderId="34" pivotButton="0" quotePrefix="0" xfId="0"/>
    <xf numFmtId="0" fontId="80" fillId="0" borderId="39" applyAlignment="1" pivotButton="0" quotePrefix="0" xfId="0">
      <alignment horizontal="center" vertical="center"/>
    </xf>
    <xf numFmtId="0" fontId="0" fillId="0" borderId="0" pivotButton="0" quotePrefix="0" xfId="0"/>
    <xf numFmtId="0" fontId="60" fillId="37" borderId="15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60" fillId="38" borderId="17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57" fillId="35" borderId="39" applyAlignment="1" pivotButton="0" quotePrefix="0" xfId="0">
      <alignment horizontal="center" vertical="center"/>
    </xf>
    <xf numFmtId="0" fontId="60" fillId="41" borderId="23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69" fillId="34" borderId="12" applyAlignment="1" pivotButton="0" quotePrefix="0" xfId="0">
      <alignment horizontal="center" vertical="center"/>
    </xf>
    <xf numFmtId="0" fontId="60" fillId="39" borderId="19" applyAlignment="1" pivotButton="0" quotePrefix="0" xfId="0">
      <alignment horizontal="center" vertical="center"/>
    </xf>
    <xf numFmtId="0" fontId="0" fillId="0" borderId="42" pivotButton="0" quotePrefix="0" xfId="0"/>
    <xf numFmtId="0" fontId="0" fillId="0" borderId="43" pivotButton="0" quotePrefix="0" xfId="0"/>
    <xf numFmtId="0" fontId="17" fillId="15" borderId="39" applyAlignment="1" pivotButton="0" quotePrefix="0" xfId="0">
      <alignment horizontal="center" vertical="center"/>
    </xf>
    <xf numFmtId="0" fontId="11" fillId="0" borderId="39" applyAlignment="1" pivotButton="0" quotePrefix="0" xfId="0">
      <alignment horizontal="center" vertical="center"/>
    </xf>
    <xf numFmtId="0" fontId="5" fillId="2" borderId="39" applyAlignment="1" pivotButton="0" quotePrefix="0" xfId="0">
      <alignment horizontal="center" vertical="center" wrapText="1"/>
    </xf>
    <xf numFmtId="0" fontId="6" fillId="0" borderId="39" applyAlignment="1" pivotButton="0" quotePrefix="0" xfId="0">
      <alignment horizontal="center" vertical="center"/>
    </xf>
    <xf numFmtId="0" fontId="7" fillId="0" borderId="39" applyAlignment="1" pivotButton="0" quotePrefix="0" xfId="0">
      <alignment horizontal="center" vertical="center"/>
    </xf>
    <xf numFmtId="0" fontId="12" fillId="0" borderId="39" applyAlignment="1" pivotButton="0" quotePrefix="0" xfId="0">
      <alignment horizontal="center" vertical="center"/>
    </xf>
    <xf numFmtId="0" fontId="8" fillId="3" borderId="39" applyAlignment="1" pivotButton="0" quotePrefix="0" xfId="0">
      <alignment horizontal="center" vertical="center"/>
    </xf>
    <xf numFmtId="0" fontId="9" fillId="0" borderId="39" applyAlignment="1" pivotButton="0" quotePrefix="0" xfId="0">
      <alignment horizontal="center" vertical="center"/>
    </xf>
    <xf numFmtId="0" fontId="10" fillId="0" borderId="39" applyAlignment="1" pivotButton="0" quotePrefix="0" xfId="0">
      <alignment horizontal="center" vertical="center"/>
    </xf>
    <xf numFmtId="0" fontId="47" fillId="0" borderId="39" pivotButton="0" quotePrefix="0" xfId="0"/>
    <xf numFmtId="0" fontId="17" fillId="26" borderId="39" applyAlignment="1" pivotButton="0" quotePrefix="0" xfId="0">
      <alignment horizontal="center" vertical="center"/>
    </xf>
    <xf numFmtId="0" fontId="48" fillId="0" borderId="39" pivotButton="0" quotePrefix="0" xfId="0"/>
    <xf numFmtId="0" fontId="53" fillId="0" borderId="39" pivotButton="0" quotePrefix="0" xfId="0"/>
    <xf numFmtId="0" fontId="17" fillId="20" borderId="39" applyAlignment="1" pivotButton="0" quotePrefix="0" xfId="0">
      <alignment horizontal="center" vertical="center"/>
    </xf>
    <xf numFmtId="0" fontId="54" fillId="0" borderId="39" pivotButton="0" quotePrefix="0" xfId="0"/>
    <xf numFmtId="0" fontId="17" fillId="14" borderId="39" applyAlignment="1" pivotButton="0" quotePrefix="0" xfId="0">
      <alignment horizontal="center" vertical="center"/>
    </xf>
    <xf numFmtId="0" fontId="17" fillId="29" borderId="39" applyAlignment="1" pivotButton="0" quotePrefix="0" xfId="0">
      <alignment horizontal="center" vertical="center"/>
    </xf>
    <xf numFmtId="0" fontId="13" fillId="4" borderId="39" applyAlignment="1" pivotButton="0" quotePrefix="0" xfId="0">
      <alignment horizontal="center" vertical="center"/>
    </xf>
    <xf numFmtId="0" fontId="14" fillId="0" borderId="39" pivotButton="0" quotePrefix="0" xfId="0"/>
    <xf numFmtId="0" fontId="0" fillId="0" borderId="1" applyAlignment="1" pivotButton="0" quotePrefix="0" xfId="0">
      <alignment vertical="top" wrapText="1"/>
    </xf>
    <xf numFmtId="0" fontId="0" fillId="0" borderId="2" pivotButton="0" quotePrefix="0" xfId="0"/>
    <xf numFmtId="0" fontId="0" fillId="0" borderId="4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17" fillId="5" borderId="39" applyAlignment="1" pivotButton="0" quotePrefix="0" xfId="0">
      <alignment horizontal="center" vertical="center"/>
    </xf>
    <xf numFmtId="0" fontId="17" fillId="24" borderId="39" applyAlignment="1" pivotButton="0" quotePrefix="0" xfId="0">
      <alignment horizontal="center" vertical="center"/>
    </xf>
    <xf numFmtId="0" fontId="17" fillId="17" borderId="39" applyAlignment="1" pivotButton="0" quotePrefix="0" xfId="0">
      <alignment horizontal="center" vertical="center"/>
    </xf>
    <xf numFmtId="0" fontId="17" fillId="30" borderId="39" applyAlignment="1" pivotButton="0" quotePrefix="0" xfId="0">
      <alignment horizontal="center" vertical="center"/>
    </xf>
    <xf numFmtId="0" fontId="17" fillId="31" borderId="39" applyAlignment="1" pivotButton="0" quotePrefix="0" xfId="0">
      <alignment horizontal="center" vertical="center"/>
    </xf>
    <xf numFmtId="0" fontId="17" fillId="25" borderId="39" applyAlignment="1" pivotButton="0" quotePrefix="0" xfId="0">
      <alignment horizontal="center" vertical="center"/>
    </xf>
    <xf numFmtId="0" fontId="17" fillId="32" borderId="39" applyAlignment="1" pivotButton="0" quotePrefix="0" xfId="0">
      <alignment horizontal="center" vertical="center"/>
    </xf>
    <xf numFmtId="0" fontId="17" fillId="33" borderId="39" applyAlignment="1" pivotButton="0" quotePrefix="0" xfId="0">
      <alignment horizontal="center" vertical="center"/>
    </xf>
    <xf numFmtId="0" fontId="17" fillId="23" borderId="39" applyAlignment="1" pivotButton="0" quotePrefix="0" xfId="0">
      <alignment horizontal="center" vertical="center"/>
    </xf>
    <xf numFmtId="0" fontId="19" fillId="0" borderId="39" pivotButton="0" quotePrefix="0" xfId="0"/>
    <xf numFmtId="0" fontId="13" fillId="6" borderId="39" applyAlignment="1" pivotButton="0" quotePrefix="0" xfId="0">
      <alignment horizontal="center" vertical="center"/>
    </xf>
    <xf numFmtId="0" fontId="17" fillId="9" borderId="39" applyAlignment="1" pivotButton="0" quotePrefix="0" xfId="0">
      <alignment horizontal="center" vertical="center"/>
    </xf>
    <xf numFmtId="0" fontId="15" fillId="5" borderId="1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10" pivotButton="0" quotePrefix="0" xfId="0"/>
    <xf numFmtId="0" fontId="15" fillId="8" borderId="1" applyAlignment="1" pivotButton="0" quotePrefix="0" xfId="0">
      <alignment horizontal="center" vertical="center"/>
    </xf>
    <xf numFmtId="0" fontId="27" fillId="0" borderId="39" pivotButton="0" quotePrefix="0" xfId="0"/>
    <xf numFmtId="0" fontId="15" fillId="4" borderId="1" applyAlignment="1" pivotButton="0" quotePrefix="0" xfId="0">
      <alignment horizontal="center" vertical="center"/>
    </xf>
    <xf numFmtId="0" fontId="15" fillId="9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/>
    </xf>
    <xf numFmtId="0" fontId="32" fillId="0" borderId="39" pivotButton="0" quotePrefix="0" xfId="0"/>
    <xf numFmtId="0" fontId="26" fillId="5" borderId="1" applyAlignment="1" pivotButton="0" quotePrefix="0" xfId="0">
      <alignment horizontal="center" vertical="center"/>
    </xf>
    <xf numFmtId="0" fontId="25" fillId="11" borderId="1" applyAlignment="1" pivotButton="0" quotePrefix="0" xfId="0">
      <alignment horizontal="center" vertical="center"/>
    </xf>
    <xf numFmtId="0" fontId="17" fillId="10" borderId="39" applyAlignment="1" pivotButton="0" quotePrefix="0" xfId="0">
      <alignment horizontal="center" vertical="center"/>
    </xf>
    <xf numFmtId="0" fontId="26" fillId="9" borderId="1" applyAlignment="1" pivotButton="0" quotePrefix="0" xfId="0">
      <alignment horizontal="center" vertical="center"/>
    </xf>
    <xf numFmtId="0" fontId="29" fillId="0" borderId="39" applyAlignment="1" pivotButton="0" quotePrefix="0" xfId="0">
      <alignment horizontal="center" vertical="center"/>
    </xf>
    <xf numFmtId="0" fontId="28" fillId="0" borderId="39" pivotButton="0" quotePrefix="0" xfId="0"/>
    <xf numFmtId="0" fontId="15" fillId="10" borderId="1" applyAlignment="1" pivotButton="0" quotePrefix="0" xfId="0">
      <alignment horizontal="center" vertical="center"/>
    </xf>
    <xf numFmtId="0" fontId="29" fillId="0" borderId="39" pivotButton="0" quotePrefix="0" xfId="0"/>
    <xf numFmtId="0" fontId="37" fillId="0" borderId="39" pivotButton="0" quotePrefix="0" xfId="0"/>
    <xf numFmtId="0" fontId="17" fillId="13" borderId="39" applyAlignment="1" pivotButton="0" quotePrefix="0" xfId="0">
      <alignment horizontal="center" vertical="center"/>
    </xf>
    <xf numFmtId="0" fontId="1" fillId="0" borderId="39" pivotButton="0" quotePrefix="0" xfId="0"/>
    <xf numFmtId="0" fontId="38" fillId="0" borderId="39" pivotButton="0" quotePrefix="0" xfId="0"/>
    <xf numFmtId="0" fontId="40" fillId="0" borderId="39" pivotButton="0" quotePrefix="0" xfId="0"/>
    <xf numFmtId="0" fontId="39" fillId="0" borderId="39" pivotButton="0" quotePrefix="0" xfId="0"/>
    <xf numFmtId="0" fontId="41" fillId="0" borderId="39" pivotButton="0" quotePrefix="0" xfId="0"/>
    <xf numFmtId="0" fontId="17" fillId="16" borderId="39" applyAlignment="1" pivotButton="0" quotePrefix="0" xfId="0">
      <alignment horizontal="center" vertical="center"/>
    </xf>
    <xf numFmtId="0" fontId="42" fillId="0" borderId="39" pivotButton="0" quotePrefix="0" xfId="0"/>
    <xf numFmtId="0" fontId="43" fillId="0" borderId="39" pivotButton="0" quotePrefix="0" xfId="0"/>
    <xf numFmtId="0" fontId="0" fillId="0" borderId="1" applyAlignment="1" pivotButton="0" quotePrefix="0" xfId="0">
      <alignment horizontal="left"/>
    </xf>
    <xf numFmtId="0" fontId="44" fillId="0" borderId="39" pivotButton="0" quotePrefix="0" xfId="0"/>
    <xf numFmtId="0" fontId="17" fillId="18" borderId="39" applyAlignment="1" pivotButton="0" quotePrefix="0" xfId="0">
      <alignment horizontal="center" vertical="center"/>
    </xf>
    <xf numFmtId="0" fontId="17" fillId="19" borderId="39" applyAlignment="1" pivotButton="0" quotePrefix="0" xfId="0">
      <alignment horizontal="center" vertical="center"/>
    </xf>
    <xf numFmtId="0" fontId="17" fillId="21" borderId="39" applyAlignment="1" pivotButton="0" quotePrefix="0" xfId="0">
      <alignment horizontal="center" vertical="center"/>
    </xf>
    <xf numFmtId="0" fontId="46" fillId="0" borderId="39" pivotButton="0" quotePrefix="0" xfId="0"/>
    <xf numFmtId="0" fontId="17" fillId="22" borderId="39" applyAlignment="1" pivotButton="0" quotePrefix="0" xfId="0">
      <alignment horizontal="center" vertical="center"/>
    </xf>
    <xf numFmtId="0" fontId="42" fillId="3" borderId="39" applyAlignment="1" pivotButton="0" quotePrefix="0" xfId="0">
      <alignment horizontal="left" vertical="top" wrapText="1"/>
    </xf>
    <xf numFmtId="0" fontId="52" fillId="0" borderId="39" applyAlignment="1" pivotButton="0" quotePrefix="0" xfId="0">
      <alignment horizontal="left" vertical="top" wrapText="1"/>
    </xf>
    <xf numFmtId="0" fontId="49" fillId="3" borderId="39" applyAlignment="1" pivotButton="0" quotePrefix="0" xfId="0">
      <alignment horizontal="left" vertical="top" wrapText="1"/>
    </xf>
    <xf numFmtId="0" fontId="50" fillId="3" borderId="39" applyAlignment="1" pivotButton="0" quotePrefix="0" xfId="0">
      <alignment horizontal="left" vertical="top" wrapText="1"/>
    </xf>
    <xf numFmtId="0" fontId="13" fillId="27" borderId="39" applyAlignment="1" pivotButton="0" quotePrefix="0" xfId="0">
      <alignment horizontal="center" vertical="center"/>
    </xf>
    <xf numFmtId="0" fontId="51" fillId="0" borderId="39" applyAlignment="1" pivotButton="0" quotePrefix="0" xfId="0">
      <alignment horizontal="left" vertical="top" wrapText="1"/>
    </xf>
    <xf numFmtId="0" fontId="4" fillId="0" borderId="39" pivotButton="0" quotePrefix="0" xfId="0"/>
    <xf numFmtId="0" fontId="17" fillId="28" borderId="39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styles" Target="styles.xml" Id="rId46"/><Relationship Type="http://schemas.openxmlformats.org/officeDocument/2006/relationships/theme" Target="theme/theme1.xml" Id="rId47"/><Relationship Type="http://schemas.microsoft.com/office/2006/relationships/vbaProject" Target="vbaProject.bin" Id="rId4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tabColor rgb="FF0066CC"/>
    <outlinePr summaryBelow="1" summaryRight="1"/>
    <pageSetUpPr/>
  </sheetPr>
  <dimension ref="A1:S50"/>
  <sheetViews>
    <sheetView showGridLines="0" workbookViewId="0">
      <selection activeCell="C5" sqref="C5"/>
    </sheetView>
  </sheetViews>
  <sheetFormatPr baseColWidth="10" defaultColWidth="9.140625" defaultRowHeight="15"/>
  <cols>
    <col width="3" customWidth="1" style="127" min="1" max="1"/>
    <col width="2" customWidth="1" style="127" min="2" max="2"/>
    <col width="25" customWidth="1" style="127" min="3" max="4"/>
    <col width="2" customWidth="1" style="127" min="5" max="5"/>
    <col width="25" customWidth="1" style="127" min="6" max="7"/>
    <col width="2" customWidth="1" style="127" min="8" max="8"/>
    <col width="25" customWidth="1" style="127" min="9" max="9"/>
    <col width="35" customWidth="1" style="127" min="10" max="10"/>
    <col width="25" customWidth="1" style="127" min="11" max="11"/>
    <col width="2" customWidth="1" style="127" min="12" max="12"/>
    <col width="12" customWidth="1" style="127" min="13" max="13"/>
  </cols>
  <sheetData>
    <row r="1" ht="45" customHeight="1" s="127">
      <c r="A1" s="78" t="n"/>
      <c r="B1" s="78" t="n"/>
      <c r="C1" s="123" t="inlineStr">
        <is>
          <t>🎛️ PANEL DE CONTROL - SGSI v4.0</t>
        </is>
      </c>
      <c r="D1" s="124" t="n"/>
      <c r="E1" s="124" t="n"/>
      <c r="F1" s="124" t="n"/>
      <c r="G1" s="124" t="n"/>
      <c r="H1" s="124" t="n"/>
      <c r="I1" s="124" t="n"/>
      <c r="J1" s="125" t="n"/>
      <c r="K1" s="78" t="n"/>
      <c r="L1" s="78" t="n"/>
      <c r="M1" s="78" t="n"/>
      <c r="N1" s="78" t="n"/>
      <c r="O1" s="78" t="n"/>
      <c r="P1" s="78" t="n"/>
      <c r="Q1" s="78" t="n"/>
      <c r="R1" s="78" t="n"/>
      <c r="S1" s="78" t="n"/>
    </row>
    <row r="2" ht="24.95" customHeight="1" s="127">
      <c r="A2" s="78" t="n"/>
      <c r="B2" s="78" t="n"/>
      <c r="C2" s="134" t="inlineStr">
        <is>
          <t>Sistema de Gestión de Seguridad de la Información ISO 27001:2022</t>
        </is>
      </c>
      <c r="K2" s="78" t="n"/>
      <c r="L2" s="78" t="n"/>
      <c r="M2" s="78" t="n"/>
      <c r="N2" s="78" t="n"/>
      <c r="O2" s="78" t="n"/>
      <c r="P2" s="78" t="n"/>
      <c r="Q2" s="78" t="n"/>
      <c r="R2" s="78" t="n"/>
      <c r="S2" s="78" t="n"/>
    </row>
    <row r="3" ht="8.1" customHeight="1" s="127">
      <c r="A3" s="78" t="n"/>
      <c r="B3" s="78" t="n"/>
      <c r="C3" s="78" t="n"/>
      <c r="D3" s="78" t="n"/>
      <c r="E3" s="78" t="n"/>
      <c r="F3" s="78" t="n"/>
      <c r="G3" s="78" t="n"/>
      <c r="H3" s="78" t="n"/>
      <c r="I3" s="78" t="n"/>
      <c r="J3" s="78" t="n"/>
      <c r="K3" s="78" t="n"/>
      <c r="L3" s="78" t="n"/>
      <c r="M3" s="78" t="n"/>
      <c r="N3" s="78" t="n"/>
      <c r="O3" s="78" t="n"/>
      <c r="P3" s="78" t="n"/>
      <c r="Q3" s="78" t="n"/>
      <c r="R3" s="78" t="n"/>
      <c r="S3" s="78" t="n"/>
    </row>
    <row r="4" ht="30" customHeight="1" s="127">
      <c r="A4" s="78" t="n"/>
      <c r="B4" s="78" t="n"/>
      <c r="C4" s="120" t="inlineStr">
        <is>
          <t>🧭 NAVEGACIÓN RÁPIDA - 23 HOJAS PRINCIPALES</t>
        </is>
      </c>
      <c r="D4" s="121" t="n"/>
      <c r="E4" s="121" t="n"/>
      <c r="F4" s="121" t="n"/>
      <c r="G4" s="121" t="n"/>
      <c r="H4" s="121" t="n"/>
      <c r="I4" s="121" t="n"/>
      <c r="J4" s="122" t="n"/>
      <c r="K4" s="78" t="n"/>
      <c r="L4" s="78" t="n"/>
      <c r="M4" s="78" t="n"/>
      <c r="N4" s="78" t="n"/>
      <c r="O4" s="78" t="n"/>
      <c r="P4" s="78" t="n"/>
      <c r="Q4" s="78" t="n"/>
      <c r="R4" s="78" t="n"/>
      <c r="S4" s="78" t="n"/>
    </row>
    <row r="5" ht="21.95" customHeight="1" s="127">
      <c r="A5" s="78" t="n"/>
      <c r="B5" s="78" t="n"/>
      <c r="C5" s="79" t="inlineStr">
        <is>
          <t>📦 Inventario de Activos</t>
        </is>
      </c>
      <c r="D5" s="79" t="inlineStr">
        <is>
          <t>🏷️ Clasificación de Activos</t>
        </is>
      </c>
      <c r="E5" s="78" t="n"/>
      <c r="F5" s="79" t="inlineStr">
        <is>
          <t>💰 Valoración de Activos</t>
        </is>
      </c>
      <c r="G5" s="79" t="inlineStr">
        <is>
          <t>⚠️ Identificación de Riesgos</t>
        </is>
      </c>
      <c r="H5" s="78" t="n"/>
      <c r="I5" s="78" t="n"/>
      <c r="J5" s="78" t="n"/>
      <c r="K5" s="138" t="inlineStr">
        <is>
          <t>📊 ESTADÍSTICAS EN TIEMPO REAL</t>
        </is>
      </c>
      <c r="L5" s="124" t="n"/>
      <c r="M5" s="125" t="n"/>
      <c r="N5" s="78" t="n"/>
      <c r="O5" s="78" t="n"/>
      <c r="P5" s="78" t="n"/>
      <c r="Q5" s="78" t="n"/>
      <c r="R5" s="78" t="n"/>
      <c r="S5" s="78" t="n"/>
    </row>
    <row r="6" ht="21.95" customHeight="1" s="127">
      <c r="A6" s="78" t="n"/>
      <c r="B6" s="78" t="n"/>
      <c r="C6" s="79" t="inlineStr">
        <is>
          <t>📊 Análisis de Riesgos</t>
        </is>
      </c>
      <c r="D6" s="79" t="inlineStr">
        <is>
          <t>🎯 Evaluación de Riesgos</t>
        </is>
      </c>
      <c r="E6" s="78" t="n"/>
      <c r="F6" s="79" t="inlineStr">
        <is>
          <t>🛡️ Plan de Tratamiento</t>
        </is>
      </c>
      <c r="G6" s="79" t="inlineStr">
        <is>
          <t>📈 Seguimiento Tratamiento</t>
        </is>
      </c>
      <c r="H6" s="78" t="n"/>
      <c r="I6" s="78" t="n"/>
      <c r="J6" s="78" t="n"/>
      <c r="K6" s="78" t="n"/>
      <c r="L6" s="78" t="n"/>
      <c r="M6" s="78" t="n"/>
      <c r="N6" s="78" t="n"/>
      <c r="O6" s="78" t="n"/>
      <c r="P6" s="78" t="n"/>
      <c r="Q6" s="78" t="n"/>
      <c r="R6" s="78" t="n"/>
      <c r="S6" s="78" t="n"/>
    </row>
    <row r="7" ht="21.95" customHeight="1" s="127">
      <c r="A7" s="78" t="n"/>
      <c r="B7" s="78" t="n"/>
      <c r="C7" s="79" t="inlineStr">
        <is>
          <t>✅ Controles Implementados</t>
        </is>
      </c>
      <c r="D7" s="79" t="inlineStr">
        <is>
          <t>📋 Declaración Aplicabilidad</t>
        </is>
      </c>
      <c r="E7" s="78" t="n"/>
      <c r="F7" s="79" t="inlineStr">
        <is>
          <t>📜 Políticas de Seguridad</t>
        </is>
      </c>
      <c r="G7" s="79" t="inlineStr">
        <is>
          <t>⚙️ Procedimientos Operativos</t>
        </is>
      </c>
      <c r="H7" s="78" t="n"/>
      <c r="I7" s="78" t="n"/>
      <c r="J7" s="78" t="n"/>
      <c r="K7" s="84" t="inlineStr">
        <is>
          <t>📦 ACTIVOS TOTALES:</t>
        </is>
      </c>
      <c r="L7" s="78" t="n"/>
      <c r="M7" s="85">
        <f>COUNTA(Activos!A4:A992)</f>
        <v/>
      </c>
      <c r="N7" s="78" t="n"/>
      <c r="O7" s="78" t="n"/>
      <c r="P7" s="78" t="n"/>
      <c r="Q7" s="78" t="n"/>
      <c r="R7" s="78" t="n"/>
      <c r="S7" s="78" t="n"/>
    </row>
    <row r="8" ht="21.95" customHeight="1" s="127">
      <c r="A8" s="78" t="n"/>
      <c r="B8" s="78" t="n"/>
      <c r="C8" s="79" t="inlineStr">
        <is>
          <t>👥 Roles y Responsabilidades</t>
        </is>
      </c>
      <c r="D8" s="79" t="inlineStr">
        <is>
          <t>📊 Indicadores KPI</t>
        </is>
      </c>
      <c r="E8" s="78" t="n"/>
      <c r="F8" s="79" t="inlineStr">
        <is>
          <t>🔍 Auditoría Interna</t>
        </is>
      </c>
      <c r="G8" s="79" t="inlineStr">
        <is>
          <t>👔 Revisión Dirección</t>
        </is>
      </c>
      <c r="H8" s="78" t="n"/>
      <c r="I8" s="78" t="n"/>
      <c r="J8" s="78" t="n"/>
      <c r="K8" s="86" t="inlineStr">
        <is>
          <t>🔴 ACTIVOS CRÍTICOS:</t>
        </is>
      </c>
      <c r="L8" s="78" t="n"/>
      <c r="M8" s="87">
        <f>COUNTIF(Activos!I4:I992,"CRITICA")+COUNTIF(Activos!I4:I992,"CRÍTICA")</f>
        <v/>
      </c>
      <c r="N8" s="78" t="n"/>
      <c r="O8" s="78" t="n"/>
      <c r="P8" s="78" t="n"/>
      <c r="Q8" s="78" t="n"/>
      <c r="R8" s="78" t="n"/>
      <c r="S8" s="78" t="n"/>
    </row>
    <row r="9" ht="21.95" customHeight="1" s="127">
      <c r="A9" s="78" t="n"/>
      <c r="B9" s="78" t="n"/>
      <c r="C9" s="79" t="inlineStr">
        <is>
          <t>🚨 Incidentes de Seguridad</t>
        </is>
      </c>
      <c r="D9" s="79" t="inlineStr">
        <is>
          <t>🔄 Gestión de Cambios</t>
        </is>
      </c>
      <c r="E9" s="78" t="n"/>
      <c r="F9" s="79" t="inlineStr">
        <is>
          <t>🎓 Capacitación</t>
        </is>
      </c>
      <c r="G9" s="79" t="inlineStr">
        <is>
          <t>⚖️ Cumplimiento Legal</t>
        </is>
      </c>
      <c r="H9" s="78" t="n"/>
      <c r="I9" s="78" t="n"/>
      <c r="J9" s="78" t="n"/>
      <c r="K9" s="88" t="inlineStr">
        <is>
          <t>⚠️ RIESGOS TOTALES:</t>
        </is>
      </c>
      <c r="L9" s="78" t="n"/>
      <c r="M9" s="89">
        <f>COUNTA(Matriz_Riesgos!A4:A1000)</f>
        <v/>
      </c>
      <c r="N9" s="78" t="n"/>
      <c r="O9" s="78" t="n"/>
      <c r="P9" s="78" t="n"/>
      <c r="Q9" s="78" t="n"/>
      <c r="R9" s="78" t="n"/>
      <c r="S9" s="78" t="n"/>
    </row>
    <row r="10" ht="21.95" customHeight="1" s="127">
      <c r="A10" s="78" t="n"/>
      <c r="B10" s="78" t="n"/>
      <c r="C10" s="79" t="inlineStr">
        <is>
          <t>♻️ Mejora Continua</t>
        </is>
      </c>
      <c r="D10" s="79" t="inlineStr">
        <is>
          <t>📊 Dashboard Ejecutivo</t>
        </is>
      </c>
      <c r="E10" s="78" t="n"/>
      <c r="F10" s="79" t="inlineStr">
        <is>
          <t>📖 Instrucciones</t>
        </is>
      </c>
      <c r="G10" s="78" t="n"/>
      <c r="H10" s="78" t="n"/>
      <c r="I10" s="78" t="n"/>
      <c r="J10" s="78" t="n"/>
      <c r="K10" s="86" t="inlineStr">
        <is>
          <t>🔥 RIESGOS CRÍTICOS:</t>
        </is>
      </c>
      <c r="L10" s="78" t="n"/>
      <c r="M10" s="87">
        <f>COUNTIF(Matriz_Riesgos!J4:J1000,"CRITICO")+COUNTIF(Matriz_Riesgos!J4:J1000,"CRÍTICO")</f>
        <v/>
      </c>
      <c r="N10" s="78" t="n"/>
      <c r="O10" s="78" t="n"/>
      <c r="P10" s="78" t="n"/>
      <c r="Q10" s="78" t="n"/>
      <c r="R10" s="78" t="n"/>
      <c r="S10" s="78" t="n"/>
    </row>
    <row r="11" ht="23.25" customHeight="1" s="127">
      <c r="A11" s="78" t="inlineStr">
        <is>
          <t>0'</t>
        </is>
      </c>
      <c r="B11" s="78" t="n"/>
      <c r="C11" s="78" t="n"/>
      <c r="D11" s="78" t="n"/>
      <c r="E11" s="78" t="n"/>
      <c r="F11" s="78" t="n"/>
      <c r="G11" s="78" t="n"/>
      <c r="H11" s="78" t="n"/>
      <c r="I11" s="78" t="n"/>
      <c r="J11" s="78" t="n"/>
      <c r="K11" s="90" t="inlineStr">
        <is>
          <t>🛡️ TRATAMIENTOS ACTIVOS:</t>
        </is>
      </c>
      <c r="L11" s="78" t="n"/>
      <c r="M11" s="91">
        <f>COUNTA(Plan_Tratamiento!A4:A1000)</f>
        <v/>
      </c>
      <c r="N11" s="78" t="n"/>
      <c r="O11" s="78" t="n"/>
      <c r="P11" s="78" t="n"/>
      <c r="Q11" s="78" t="n"/>
      <c r="R11" s="78" t="n"/>
      <c r="S11" s="78" t="n"/>
    </row>
    <row r="12" ht="27.95" customHeight="1" s="127">
      <c r="A12" s="78" t="n"/>
      <c r="B12" s="78" t="n"/>
      <c r="C12" s="128" t="inlineStr">
        <is>
          <t>📦 MÓDULO DE GESTIÓN DE ACTIVOS</t>
        </is>
      </c>
      <c r="D12" s="129" t="n"/>
      <c r="E12" s="129" t="n"/>
      <c r="F12" s="129" t="n"/>
      <c r="G12" s="129" t="n"/>
      <c r="H12" s="129" t="n"/>
      <c r="I12" s="129" t="n"/>
      <c r="J12" s="130" t="n"/>
      <c r="K12" s="92" t="inlineStr">
        <is>
          <t>🔄 EN PROGRESO:</t>
        </is>
      </c>
      <c r="L12" s="78" t="n"/>
      <c r="M12" s="93">
        <f>COUNTIF(Plan_Tratamiento!I4:I1000,"En Progreso")</f>
        <v/>
      </c>
      <c r="N12" s="78" t="n"/>
      <c r="O12" s="78" t="n"/>
      <c r="P12" s="78" t="n"/>
      <c r="Q12" s="78" t="n"/>
      <c r="R12" s="78" t="n"/>
      <c r="S12" s="78" t="n"/>
    </row>
    <row r="13" ht="21.95" customHeight="1" s="127">
      <c r="A13" s="78" t="n"/>
      <c r="B13" s="78" t="n"/>
      <c r="C13" s="78" t="n"/>
      <c r="D13" s="78" t="n"/>
      <c r="E13" s="78" t="n"/>
      <c r="F13" s="78" t="n"/>
      <c r="G13" s="78" t="n"/>
      <c r="H13" s="78" t="n"/>
      <c r="I13" s="107" t="inlineStr">
        <is>
          <t>▶ Ingresar Activo</t>
        </is>
      </c>
      <c r="J13" s="80" t="inlineStr">
        <is>
          <t>Formulario para agregar nuevo activo con validación automática de campos</t>
        </is>
      </c>
      <c r="K13" s="78" t="n"/>
      <c r="L13" s="78" t="n"/>
      <c r="M13" s="78" t="n"/>
      <c r="N13" s="78" t="n"/>
      <c r="O13" s="78" t="n"/>
      <c r="P13" s="78" t="n"/>
      <c r="Q13" s="78" t="n"/>
      <c r="R13" s="78" t="n"/>
      <c r="S13" s="78" t="n"/>
    </row>
    <row r="14" ht="21.95" customHeight="1" s="127">
      <c r="A14" s="78" t="n"/>
      <c r="B14" s="78" t="n"/>
      <c r="C14" s="78" t="n"/>
      <c r="D14" s="78" t="n"/>
      <c r="E14" s="78" t="n"/>
      <c r="F14" s="78" t="n"/>
      <c r="G14" s="78" t="n"/>
      <c r="H14" s="78" t="n"/>
      <c r="I14" s="107" t="inlineStr">
        <is>
          <t>▶ Generar Reporte</t>
        </is>
      </c>
      <c r="J14" s="80" t="inlineStr">
        <is>
          <t>Genera reporte filtrado de activos por categoría y criticidad</t>
        </is>
      </c>
      <c r="K14" s="126" t="inlineStr">
        <is>
          <t>🕒 Actualizado automáticamente</t>
        </is>
      </c>
      <c r="N14" s="78" t="n"/>
      <c r="O14" s="78" t="n"/>
      <c r="P14" s="78" t="n"/>
      <c r="Q14" s="78" t="n"/>
      <c r="R14" s="78" t="n"/>
      <c r="S14" s="78" t="n"/>
    </row>
    <row r="15" ht="21.95" customHeight="1" s="127">
      <c r="A15" s="78" t="n"/>
      <c r="B15" s="78" t="n"/>
      <c r="C15" s="78" t="n"/>
      <c r="D15" s="78" t="n"/>
      <c r="E15" s="78" t="n"/>
      <c r="F15" s="78" t="n"/>
      <c r="G15" s="78" t="n"/>
      <c r="H15" s="78" t="n"/>
      <c r="I15" s="107" t="inlineStr">
        <is>
          <t>▶ Exportar CSV</t>
        </is>
      </c>
      <c r="J15" s="80" t="inlineStr">
        <is>
          <t>Exporta inventario completo a formato CSV para integración</t>
        </is>
      </c>
      <c r="K15" s="78" t="n"/>
      <c r="L15" s="78" t="n"/>
      <c r="M15" s="78" t="n"/>
      <c r="N15" s="78" t="n"/>
      <c r="O15" s="78" t="n"/>
      <c r="P15" s="78" t="n"/>
      <c r="Q15" s="78" t="n"/>
      <c r="R15" s="78" t="n"/>
      <c r="S15" s="78" t="n"/>
    </row>
    <row r="16" ht="21.95" customHeight="1" s="127">
      <c r="A16" s="78" t="n"/>
      <c r="B16" s="78" t="n"/>
      <c r="C16" s="78" t="n"/>
      <c r="D16" s="78" t="n"/>
      <c r="E16" s="78" t="n"/>
      <c r="F16" s="78" t="n"/>
      <c r="G16" s="78" t="n"/>
      <c r="H16" s="78" t="n"/>
      <c r="I16" s="107" t="inlineStr">
        <is>
          <t>▶ Actualizar Propietarios</t>
        </is>
      </c>
      <c r="J16" s="80" t="inlineStr">
        <is>
          <t>Actualiza responsable/propietario de múltiples activos</t>
        </is>
      </c>
      <c r="K16" s="78" t="n"/>
      <c r="L16" s="78" t="n"/>
      <c r="M16" s="78" t="n"/>
      <c r="N16" s="78" t="n"/>
      <c r="O16" s="78" t="n"/>
      <c r="P16" s="78" t="n"/>
      <c r="Q16" s="78" t="n"/>
      <c r="R16" s="78" t="n"/>
      <c r="S16" s="78" t="n"/>
    </row>
    <row r="17" ht="21.95" customHeight="1" s="127">
      <c r="A17" s="78" t="n"/>
      <c r="B17" s="78" t="n"/>
      <c r="C17" s="78" t="n"/>
      <c r="D17" s="78" t="n"/>
      <c r="E17" s="78" t="n"/>
      <c r="F17" s="78" t="n"/>
      <c r="G17" s="78" t="n"/>
      <c r="H17" s="78" t="n"/>
      <c r="I17" s="107" t="inlineStr">
        <is>
          <t>▶ Calcular Valor</t>
        </is>
      </c>
      <c r="J17" s="80" t="inlineStr">
        <is>
          <t>Calcula valor del activo según clasificación C+I+D y criticidad</t>
        </is>
      </c>
      <c r="K17" s="78" t="n"/>
      <c r="L17" s="78" t="n"/>
      <c r="M17" s="78" t="n"/>
      <c r="N17" s="78" t="n"/>
      <c r="O17" s="78" t="n"/>
      <c r="P17" s="78" t="n"/>
      <c r="Q17" s="78" t="n"/>
      <c r="R17" s="78" t="n"/>
      <c r="S17" s="78" t="n"/>
    </row>
    <row r="18" ht="21.95" customHeight="1" s="127">
      <c r="A18" s="78" t="n"/>
      <c r="B18" s="78" t="n"/>
      <c r="C18" s="78" t="n"/>
      <c r="D18" s="78" t="n"/>
      <c r="E18" s="78" t="n"/>
      <c r="F18" s="78" t="n"/>
      <c r="G18" s="78" t="n"/>
      <c r="H18" s="78" t="n"/>
      <c r="I18" s="107" t="inlineStr">
        <is>
          <t>▶ Validar Duplicados</t>
        </is>
      </c>
      <c r="J18" s="80" t="inlineStr">
        <is>
          <t>Busca y resalta activos duplicados para limpieza preventiva</t>
        </is>
      </c>
      <c r="K18" s="78" t="n"/>
      <c r="L18" s="78" t="n"/>
      <c r="M18" s="78" t="n"/>
      <c r="N18" s="78" t="n"/>
      <c r="O18" s="78" t="n"/>
      <c r="P18" s="78" t="n"/>
      <c r="Q18" s="78" t="n"/>
      <c r="R18" s="78" t="n"/>
      <c r="S18" s="78" t="n"/>
    </row>
    <row r="19" ht="21.95" customHeight="1" s="127">
      <c r="A19" s="78" t="n"/>
      <c r="B19" s="78" t="n"/>
      <c r="C19" s="78" t="n"/>
      <c r="D19" s="78" t="n"/>
      <c r="E19" s="78" t="n"/>
      <c r="F19" s="78" t="n"/>
      <c r="G19" s="78" t="n"/>
      <c r="H19" s="78" t="n"/>
      <c r="I19" s="107" t="inlineStr">
        <is>
          <t>▶ Eliminar Activo</t>
        </is>
      </c>
      <c r="J19" s="80" t="inlineStr">
        <is>
          <t>Elimina activo seleccionado con confirmación (al día con backups)</t>
        </is>
      </c>
      <c r="K19" s="78" t="n"/>
      <c r="L19" s="78" t="n"/>
      <c r="M19" s="78" t="n"/>
      <c r="N19" s="78" t="n"/>
      <c r="O19" s="78" t="n"/>
      <c r="P19" s="78" t="n"/>
      <c r="Q19" s="78" t="n"/>
      <c r="R19" s="78" t="n"/>
      <c r="S19" s="78" t="n"/>
    </row>
    <row r="20" ht="5.1" customHeight="1" s="127">
      <c r="A20" s="78" t="n"/>
      <c r="B20" s="78" t="n"/>
      <c r="C20" s="78" t="n"/>
      <c r="D20" s="78" t="n"/>
      <c r="E20" s="78" t="n"/>
      <c r="F20" s="78" t="n"/>
      <c r="G20" s="78" t="n"/>
      <c r="H20" s="78" t="n"/>
      <c r="I20" s="78" t="n"/>
      <c r="J20" s="78" t="n"/>
      <c r="K20" s="78" t="n"/>
      <c r="L20" s="78" t="n"/>
      <c r="M20" s="78" t="n"/>
      <c r="N20" s="78" t="n"/>
      <c r="O20" s="78" t="n"/>
      <c r="P20" s="78" t="n"/>
      <c r="Q20" s="78" t="n"/>
      <c r="R20" s="78" t="n"/>
      <c r="S20" s="78" t="n"/>
    </row>
    <row r="21" ht="27.95" customHeight="1" s="127">
      <c r="A21" s="78" t="n"/>
      <c r="B21" s="78" t="n"/>
      <c r="C21" s="131" t="inlineStr">
        <is>
          <t>⚠️ MÓDULO DE GESTIÓN DE RIESGOS</t>
        </is>
      </c>
      <c r="D21" s="132" t="n"/>
      <c r="E21" s="132" t="n"/>
      <c r="F21" s="132" t="n"/>
      <c r="G21" s="132" t="n"/>
      <c r="H21" s="132" t="n"/>
      <c r="I21" s="132" t="n"/>
      <c r="J21" s="133" t="n"/>
      <c r="K21" s="78" t="n"/>
      <c r="L21" s="78" t="n"/>
      <c r="M21" s="78" t="n"/>
      <c r="N21" s="78" t="n"/>
      <c r="O21" s="78" t="n"/>
      <c r="P21" s="78" t="n"/>
      <c r="Q21" s="78" t="n"/>
      <c r="R21" s="78" t="n"/>
      <c r="S21" s="78" t="n"/>
    </row>
    <row r="22" ht="21.95" customHeight="1" s="127">
      <c r="A22" s="78" t="n"/>
      <c r="B22" s="78" t="n"/>
      <c r="C22" s="78" t="n"/>
      <c r="D22" s="78" t="n"/>
      <c r="E22" s="78" t="n"/>
      <c r="F22" s="78" t="n"/>
      <c r="G22" s="78" t="n"/>
      <c r="H22" s="78" t="n"/>
      <c r="I22" s="108" t="inlineStr">
        <is>
          <t>▶ Ingresar Riesgo</t>
        </is>
      </c>
      <c r="J22" s="80" t="inlineStr">
        <is>
          <t>Formulario para registrar nuevo riesgo con evaluación P×I</t>
        </is>
      </c>
      <c r="K22" s="78" t="n"/>
      <c r="L22" s="78" t="n"/>
      <c r="M22" s="78" t="n"/>
      <c r="N22" s="78" t="n"/>
      <c r="O22" s="78" t="n"/>
      <c r="P22" s="78" t="n"/>
      <c r="Q22" s="78" t="n"/>
      <c r="R22" s="78" t="n"/>
      <c r="S22" s="78" t="n"/>
    </row>
    <row r="23" ht="21.95" customHeight="1" s="127">
      <c r="A23" s="78" t="n"/>
      <c r="B23" s="78" t="n"/>
      <c r="C23" s="78" t="n"/>
      <c r="D23" s="78" t="n"/>
      <c r="E23" s="78" t="n"/>
      <c r="F23" s="78" t="n"/>
      <c r="G23" s="78" t="n"/>
      <c r="H23" s="78" t="n"/>
      <c r="I23" s="108" t="inlineStr">
        <is>
          <t>▶ Calcular Inherente</t>
        </is>
      </c>
      <c r="J23" s="80" t="inlineStr">
        <is>
          <t>Calcula riesgo inherente (Probabilidad × Impacto) automático</t>
        </is>
      </c>
      <c r="K23" s="78" t="n"/>
      <c r="L23" s="78" t="n"/>
      <c r="M23" s="78" t="n"/>
      <c r="N23" s="78" t="n"/>
      <c r="O23" s="78" t="n"/>
      <c r="P23" s="78" t="n"/>
      <c r="Q23" s="78" t="n"/>
      <c r="R23" s="78" t="n"/>
      <c r="S23" s="78" t="n"/>
    </row>
    <row r="24" ht="21.95" customHeight="1" s="127">
      <c r="A24" s="78" t="n"/>
      <c r="B24" s="78" t="n"/>
      <c r="C24" s="78" t="n"/>
      <c r="D24" s="78" t="n"/>
      <c r="E24" s="78" t="n"/>
      <c r="F24" s="78" t="n"/>
      <c r="G24" s="78" t="n"/>
      <c r="H24" s="78" t="n"/>
      <c r="I24" s="108" t="inlineStr">
        <is>
          <t>▶ Mapa de Calor</t>
        </is>
      </c>
      <c r="J24" s="80" t="inlineStr">
        <is>
          <t>Crea matriz visual 5×5 con distribución de riesgos por nivel</t>
        </is>
      </c>
      <c r="K24" s="78" t="n"/>
      <c r="L24" s="78" t="n"/>
      <c r="M24" s="78" t="n"/>
      <c r="N24" s="78" t="n"/>
      <c r="O24" s="78" t="n"/>
      <c r="P24" s="78" t="n"/>
      <c r="Q24" s="78" t="n"/>
      <c r="R24" s="78" t="n"/>
      <c r="S24" s="78" t="n"/>
    </row>
    <row r="25" ht="21.95" customHeight="1" s="127">
      <c r="A25" s="78" t="n"/>
      <c r="B25" s="78" t="n"/>
      <c r="C25" s="78" t="n"/>
      <c r="D25" s="78" t="n"/>
      <c r="E25" s="78" t="n"/>
      <c r="F25" s="78" t="n"/>
      <c r="G25" s="78" t="n"/>
      <c r="H25" s="78" t="n"/>
      <c r="I25" s="108" t="inlineStr">
        <is>
          <t>▶ Actualizar Residual</t>
        </is>
      </c>
      <c r="J25" s="80" t="inlineStr">
        <is>
          <t>Recalcula riesgo residual tras implementar controles</t>
        </is>
      </c>
      <c r="K25" s="78" t="n"/>
      <c r="L25" s="78" t="n"/>
      <c r="M25" s="78" t="n"/>
      <c r="N25" s="78" t="n"/>
      <c r="O25" s="78" t="n"/>
      <c r="P25" s="78" t="n"/>
      <c r="Q25" s="78" t="n"/>
      <c r="R25" s="78" t="n"/>
      <c r="S25" s="78" t="n"/>
    </row>
    <row r="26" ht="21.95" customHeight="1" s="127">
      <c r="A26" s="78" t="n"/>
      <c r="B26" s="78" t="n"/>
      <c r="C26" s="78" t="n"/>
      <c r="D26" s="78" t="n"/>
      <c r="E26" s="78" t="n"/>
      <c r="F26" s="78" t="n"/>
      <c r="G26" s="78" t="n"/>
      <c r="H26" s="78" t="n"/>
      <c r="I26" s="108" t="inlineStr">
        <is>
          <t>▶ Colorear Riesgos</t>
        </is>
      </c>
      <c r="J26" s="80" t="inlineStr">
        <is>
          <t>Aplica formato visual automático: Verde (1-5), Amarillo (6-12), Rojo (15-25)</t>
        </is>
      </c>
      <c r="K26" s="78" t="n"/>
      <c r="L26" s="78" t="n"/>
      <c r="M26" s="78" t="n"/>
      <c r="N26" s="78" t="n"/>
      <c r="O26" s="78" t="n"/>
      <c r="P26" s="78" t="n"/>
      <c r="Q26" s="78" t="n"/>
      <c r="R26" s="78" t="n"/>
      <c r="S26" s="78" t="n"/>
    </row>
    <row r="27" ht="5.1" customHeight="1" s="127">
      <c r="A27" s="78" t="n"/>
      <c r="B27" s="78" t="n"/>
      <c r="C27" s="78" t="n"/>
      <c r="D27" s="78" t="n"/>
      <c r="E27" s="78" t="n"/>
      <c r="F27" s="78" t="n"/>
      <c r="G27" s="78" t="n"/>
      <c r="H27" s="78" t="n"/>
      <c r="I27" s="78" t="n"/>
      <c r="J27" s="78" t="n"/>
      <c r="K27" s="78" t="n"/>
      <c r="L27" s="78" t="n"/>
      <c r="M27" s="78" t="n"/>
      <c r="N27" s="78" t="n"/>
      <c r="O27" s="78" t="n"/>
      <c r="P27" s="78" t="n"/>
      <c r="Q27" s="78" t="n"/>
      <c r="R27" s="78" t="n"/>
      <c r="S27" s="78" t="n"/>
    </row>
    <row r="28" ht="27.95" customHeight="1" s="127">
      <c r="A28" s="78" t="n"/>
      <c r="B28" s="78" t="n"/>
      <c r="C28" s="139" t="inlineStr">
        <is>
          <t>🛡️ MÓDULO DE TRATAMIENTO DE RIESGOS</t>
        </is>
      </c>
      <c r="D28" s="140" t="n"/>
      <c r="E28" s="140" t="n"/>
      <c r="F28" s="140" t="n"/>
      <c r="G28" s="140" t="n"/>
      <c r="H28" s="140" t="n"/>
      <c r="I28" s="140" t="n"/>
      <c r="J28" s="141" t="n"/>
      <c r="K28" s="78" t="n"/>
      <c r="L28" s="78" t="n"/>
      <c r="M28" s="78" t="n"/>
      <c r="N28" s="78" t="n"/>
      <c r="O28" s="78" t="n"/>
      <c r="P28" s="78" t="n"/>
      <c r="Q28" s="78" t="n"/>
      <c r="R28" s="78" t="n"/>
      <c r="S28" s="78" t="n"/>
    </row>
    <row r="29" ht="21.95" customHeight="1" s="127">
      <c r="A29" s="78" t="n"/>
      <c r="B29" s="78" t="n"/>
      <c r="C29" s="78" t="n"/>
      <c r="D29" s="78" t="n"/>
      <c r="E29" s="78" t="n"/>
      <c r="F29" s="78" t="n"/>
      <c r="G29" s="78" t="n"/>
      <c r="H29" s="78" t="n"/>
      <c r="I29" s="119" t="inlineStr">
        <is>
          <t>▶ Ingresar Tratamiento</t>
        </is>
      </c>
      <c r="J29" s="80" t="inlineStr">
        <is>
          <t>Genera plan de tratamiento para riesgos seleccionados con responsables</t>
        </is>
      </c>
      <c r="K29" s="78" t="n"/>
      <c r="L29" s="78" t="n"/>
      <c r="M29" s="78" t="n"/>
      <c r="N29" s="78" t="n"/>
      <c r="O29" s="78" t="n"/>
      <c r="P29" s="78" t="n"/>
      <c r="Q29" s="78" t="n"/>
      <c r="R29" s="78" t="n"/>
      <c r="S29" s="78" t="n"/>
    </row>
    <row r="30" ht="21.95" customHeight="1" s="127">
      <c r="A30" s="78" t="n"/>
      <c r="B30" s="78" t="n"/>
      <c r="C30" s="78" t="n"/>
      <c r="D30" s="78" t="n"/>
      <c r="E30" s="78" t="n"/>
      <c r="F30" s="78" t="n"/>
      <c r="G30" s="78" t="n"/>
      <c r="H30" s="78" t="n"/>
      <c r="I30" s="119" t="inlineStr">
        <is>
          <t>▶ Actualizar Estado</t>
        </is>
      </c>
      <c r="J30" s="80" t="inlineStr">
        <is>
          <t>Actualiza progreso de implementación (%) y estado actual</t>
        </is>
      </c>
      <c r="K30" s="78" t="n"/>
      <c r="L30" s="78" t="n"/>
      <c r="M30" s="78" t="n"/>
      <c r="N30" s="78" t="n"/>
      <c r="O30" s="78" t="n"/>
      <c r="P30" s="78" t="n"/>
      <c r="Q30" s="78" t="n"/>
      <c r="R30" s="78" t="n"/>
      <c r="S30" s="78" t="n"/>
    </row>
    <row r="31" ht="21.95" customHeight="1" s="127">
      <c r="A31" s="78" t="n"/>
      <c r="B31" s="78" t="n"/>
      <c r="C31" s="78" t="n"/>
      <c r="D31" s="78" t="n"/>
      <c r="E31" s="78" t="n"/>
      <c r="F31" s="78" t="n"/>
      <c r="G31" s="78" t="n"/>
      <c r="H31" s="78" t="n"/>
      <c r="I31" s="119" t="inlineStr">
        <is>
          <t>▶ Generar Informe</t>
        </is>
      </c>
      <c r="J31" s="80" t="inlineStr">
        <is>
          <t>Reporte ejecutivo de tratamientos por estado para dirección</t>
        </is>
      </c>
      <c r="K31" s="78" t="n"/>
      <c r="L31" s="78" t="n"/>
      <c r="M31" s="78" t="n"/>
      <c r="N31" s="78" t="n"/>
      <c r="O31" s="78" t="n"/>
      <c r="P31" s="78" t="n"/>
      <c r="Q31" s="78" t="n"/>
      <c r="R31" s="78" t="n"/>
      <c r="S31" s="78" t="n"/>
    </row>
    <row r="32" ht="5.1" customHeight="1" s="127">
      <c r="A32" s="78" t="inlineStr">
        <is>
          <t>Instrucciones!A1</t>
        </is>
      </c>
      <c r="B32" s="78" t="n"/>
      <c r="C32" s="78" t="inlineStr">
        <is>
          <t>Control_Documentos!A1</t>
        </is>
      </c>
      <c r="D32" s="78" t="n"/>
      <c r="E32" s="78" t="inlineStr">
        <is>
          <t>NDA_Proveedores!A1</t>
        </is>
      </c>
      <c r="F32" s="78" t="n"/>
      <c r="G32" s="78" t="n"/>
      <c r="H32" s="78" t="n"/>
      <c r="I32" s="78" t="n"/>
      <c r="J32" s="78" t="n"/>
      <c r="K32" s="78" t="n"/>
      <c r="L32" s="78" t="n"/>
      <c r="M32" s="78" t="n"/>
      <c r="N32" s="78" t="n"/>
      <c r="O32" s="78" t="n"/>
      <c r="P32" s="78" t="n"/>
      <c r="Q32" s="78" t="n"/>
      <c r="R32" s="78" t="n"/>
      <c r="S32" s="78" t="n"/>
    </row>
    <row r="33" ht="27.95" customHeight="1" s="127">
      <c r="A33" s="78" t="n"/>
      <c r="B33" s="78" t="n"/>
      <c r="C33" s="110" t="inlineStr">
        <is>
          <t>📊 MÓDULO DE REPORTES Y ANÁLISIS</t>
        </is>
      </c>
      <c r="D33" s="111" t="n"/>
      <c r="E33" s="111" t="n"/>
      <c r="F33" s="111" t="n"/>
      <c r="G33" s="111" t="n"/>
      <c r="H33" s="111" t="n"/>
      <c r="I33" s="111" t="n"/>
      <c r="J33" s="112" t="n"/>
      <c r="K33" s="78" t="n"/>
      <c r="L33" s="78" t="n"/>
      <c r="M33" s="78" t="n"/>
      <c r="N33" s="78" t="n"/>
      <c r="O33" s="78" t="n"/>
      <c r="P33" s="78" t="n"/>
      <c r="Q33" s="78" t="n"/>
      <c r="R33" s="78" t="n"/>
      <c r="S33" s="78" t="n"/>
    </row>
    <row r="34" ht="21.95" customHeight="1" s="127">
      <c r="A34" s="78" t="n"/>
      <c r="B34" s="78" t="n"/>
      <c r="C34" s="78" t="n"/>
      <c r="D34" s="78" t="n"/>
      <c r="E34" s="78" t="n"/>
      <c r="F34" s="78" t="n"/>
      <c r="G34" s="78" t="n"/>
      <c r="H34" s="78" t="n"/>
      <c r="I34" s="109" t="inlineStr">
        <is>
          <t>▶ Actualizar Dashboard</t>
        </is>
      </c>
      <c r="J34" s="80" t="inlineStr">
        <is>
          <t>Actualiza gráficos y métricas del Dashboard antes de reuniones</t>
        </is>
      </c>
      <c r="K34" s="78" t="inlineStr">
        <is>
          <t xml:space="preserve"> </t>
        </is>
      </c>
      <c r="L34" s="78" t="n"/>
      <c r="M34" s="78" t="n"/>
      <c r="N34" s="78" t="n"/>
      <c r="O34" s="78" t="n"/>
      <c r="P34" s="78" t="n"/>
      <c r="Q34" s="78" t="n"/>
      <c r="R34" s="78" t="n"/>
      <c r="S34" s="78" t="n"/>
    </row>
    <row r="35" ht="21.95" customHeight="1" s="127">
      <c r="A35" s="78" t="n"/>
      <c r="B35" s="78" t="n"/>
      <c r="C35" s="78" t="n"/>
      <c r="D35" s="78" t="n"/>
      <c r="E35" s="78" t="n"/>
      <c r="F35" s="78" t="n"/>
      <c r="G35" s="78" t="n"/>
      <c r="H35" s="78" t="n"/>
      <c r="I35" s="109" t="inlineStr">
        <is>
          <t>▶ Reporte Completo</t>
        </is>
      </c>
      <c r="J35" s="80" t="inlineStr">
        <is>
          <t>PDF ejecutivo con resumen completo del SGSI (7 hojas principales)</t>
        </is>
      </c>
      <c r="K35" s="78" t="n"/>
      <c r="L35" s="78" t="n"/>
      <c r="M35" s="78" t="n"/>
      <c r="N35" s="78" t="n"/>
      <c r="O35" s="78" t="n"/>
      <c r="P35" s="78" t="n"/>
      <c r="Q35" s="78" t="n"/>
      <c r="R35" s="78" t="n"/>
      <c r="S35" s="78" t="n"/>
    </row>
    <row r="36" ht="21.95" customHeight="1" s="127">
      <c r="A36" s="78" t="n"/>
      <c r="B36" s="78" t="n"/>
      <c r="C36" s="78" t="n"/>
      <c r="D36" s="78" t="n"/>
      <c r="E36" s="78" t="n"/>
      <c r="F36" s="78" t="n"/>
      <c r="G36" s="78" t="n"/>
      <c r="H36" s="78" t="n"/>
      <c r="I36" s="109" t="inlineStr">
        <is>
          <t>▶ Exportar Activos PDF</t>
        </is>
      </c>
      <c r="J36" s="80" t="inlineStr">
        <is>
          <t>Exporta solo inventario de activos a PDF con diseño profesional</t>
        </is>
      </c>
      <c r="K36" s="78" t="n"/>
      <c r="L36" s="78" t="n"/>
      <c r="M36" s="78" t="n"/>
      <c r="N36" s="78" t="n"/>
      <c r="O36" s="78" t="n"/>
      <c r="P36" s="78" t="n"/>
      <c r="Q36" s="78" t="n"/>
      <c r="R36" s="78" t="n"/>
      <c r="S36" s="78" t="n"/>
    </row>
    <row r="37" ht="21.95" customHeight="1" s="127">
      <c r="A37" s="78" t="n"/>
      <c r="B37" s="78" t="n"/>
      <c r="C37" s="78" t="n"/>
      <c r="D37" s="78" t="n"/>
      <c r="E37" s="78" t="n"/>
      <c r="F37" s="78" t="n"/>
      <c r="G37" s="78" t="n"/>
      <c r="H37" s="78" t="n"/>
      <c r="I37" s="109" t="inlineStr">
        <is>
          <t>▶ Validar ISO 27001</t>
        </is>
      </c>
      <c r="J37" s="80" t="inlineStr">
        <is>
          <t>Checklist de cumplimiento ISO 27001:2022 - Verifica controles A.5-A.8</t>
        </is>
      </c>
      <c r="K37" s="78" t="n"/>
      <c r="L37" s="78" t="n"/>
      <c r="M37" s="78" t="n"/>
      <c r="N37" s="78" t="n"/>
      <c r="O37" s="78" t="n"/>
      <c r="P37" s="78" t="n"/>
      <c r="Q37" s="78" t="n"/>
      <c r="R37" s="78" t="n"/>
      <c r="S37" s="78" t="n"/>
    </row>
    <row r="38" ht="5.1" customHeight="1" s="127">
      <c r="A38" s="78" t="n"/>
      <c r="B38" s="78" t="n"/>
      <c r="C38" s="78" t="n"/>
      <c r="D38" s="78" t="n"/>
      <c r="E38" s="78" t="n"/>
      <c r="F38" s="78" t="n"/>
      <c r="G38" s="78" t="n"/>
      <c r="H38" s="78" t="n"/>
      <c r="I38" s="78" t="n"/>
      <c r="J38" s="78" t="n"/>
      <c r="K38" s="78" t="n"/>
      <c r="L38" s="78" t="n"/>
      <c r="M38" s="78" t="n"/>
      <c r="N38" s="78" t="n"/>
      <c r="O38" s="78" t="n"/>
      <c r="P38" s="78" t="n"/>
      <c r="Q38" s="78" t="n"/>
      <c r="R38" s="78" t="n"/>
      <c r="S38" s="78" t="n"/>
    </row>
    <row r="39" ht="27.95" customHeight="1" s="127">
      <c r="A39" s="78" t="n"/>
      <c r="B39" s="78" t="n"/>
      <c r="C39" s="135" t="inlineStr">
        <is>
          <t>🔧 UTILIDADES DEL SISTEMA</t>
        </is>
      </c>
      <c r="D39" s="136" t="n"/>
      <c r="E39" s="136" t="n"/>
      <c r="F39" s="136" t="n"/>
      <c r="G39" s="136" t="n"/>
      <c r="H39" s="136" t="n"/>
      <c r="I39" s="136" t="n"/>
      <c r="J39" s="137" t="n"/>
      <c r="K39" s="78" t="n"/>
      <c r="L39" s="78" t="n"/>
      <c r="M39" s="78" t="n"/>
      <c r="N39" s="78" t="n"/>
      <c r="O39" s="78" t="n"/>
      <c r="P39" s="78" t="n"/>
      <c r="Q39" s="78" t="n"/>
      <c r="R39" s="78" t="n"/>
      <c r="S39" s="78" t="n"/>
    </row>
    <row r="40" ht="21.95" customHeight="1" s="127">
      <c r="A40" s="78" t="n"/>
      <c r="B40" s="78" t="n"/>
      <c r="C40" s="116" t="inlineStr">
        <is>
          <t>▶ Info Sistema</t>
        </is>
      </c>
      <c r="D40" s="117" t="n"/>
      <c r="E40" s="118" t="n"/>
      <c r="F40" s="78" t="n"/>
      <c r="G40" s="116" t="inlineStr">
        <is>
          <t>▶ Validar Estructura Excel</t>
        </is>
      </c>
      <c r="H40" s="117" t="n"/>
      <c r="I40" s="117" t="n"/>
      <c r="J40" s="118" t="n"/>
      <c r="K40" s="78" t="n"/>
      <c r="L40" s="78" t="n"/>
      <c r="M40" s="78" t="n"/>
      <c r="N40" s="78" t="n"/>
      <c r="O40" s="78" t="n"/>
      <c r="P40" s="78" t="n"/>
      <c r="Q40" s="78" t="n"/>
      <c r="R40" s="78" t="n"/>
      <c r="S40" s="78" t="n"/>
    </row>
    <row r="41" ht="8.1" customHeight="1" s="127">
      <c r="A41" s="78" t="n"/>
      <c r="B41" s="78" t="n"/>
      <c r="C41" s="78" t="n"/>
      <c r="D41" s="78" t="n"/>
      <c r="E41" s="78" t="n"/>
      <c r="F41" s="78" t="n"/>
      <c r="G41" s="78" t="n"/>
      <c r="H41" s="78" t="n"/>
      <c r="I41" s="78" t="n"/>
      <c r="J41" s="78" t="n"/>
      <c r="K41" s="78" t="n"/>
      <c r="L41" s="78" t="n"/>
      <c r="M41" s="78" t="n"/>
      <c r="N41" s="78" t="n"/>
      <c r="O41" s="78" t="n"/>
      <c r="P41" s="78" t="n"/>
      <c r="Q41" s="78" t="n"/>
      <c r="R41" s="78" t="n"/>
      <c r="S41" s="78" t="n"/>
    </row>
    <row r="42" ht="30" customHeight="1" s="127">
      <c r="A42" s="78" t="n"/>
      <c r="B42" s="78" t="n"/>
      <c r="C42" s="113" t="inlineStr">
        <is>
          <t>💡 Instrucciones: Haz clic en los hipervínculos azules para navegar | Ejecuta CrearBotonesAutomaticos_Simple() en VBA para crear botones</t>
        </is>
      </c>
      <c r="D42" s="114" t="n"/>
      <c r="E42" s="114" t="n"/>
      <c r="F42" s="114" t="n"/>
      <c r="G42" s="114" t="n"/>
      <c r="H42" s="114" t="n"/>
      <c r="I42" s="114" t="n"/>
      <c r="J42" s="115" t="n"/>
      <c r="K42" s="78" t="n"/>
      <c r="L42" s="78" t="n"/>
      <c r="M42" s="78" t="n"/>
      <c r="N42" s="78" t="n"/>
      <c r="O42" s="78" t="n"/>
      <c r="P42" s="78" t="n"/>
      <c r="Q42" s="78" t="n"/>
      <c r="R42" s="78" t="n"/>
      <c r="S42" s="78" t="n"/>
    </row>
    <row r="43">
      <c r="A43" s="78" t="n"/>
      <c r="B43" s="78" t="n"/>
      <c r="C43" s="78" t="n"/>
      <c r="D43" s="78" t="n"/>
      <c r="E43" s="78" t="n"/>
      <c r="F43" s="78" t="n"/>
      <c r="G43" s="78" t="n"/>
      <c r="H43" s="78" t="n"/>
      <c r="I43" s="78" t="n"/>
      <c r="J43" s="78" t="n"/>
      <c r="K43" s="78" t="n"/>
      <c r="L43" s="78" t="n"/>
      <c r="M43" s="78" t="n"/>
      <c r="N43" s="78" t="n"/>
      <c r="O43" s="78" t="n"/>
      <c r="P43" s="78" t="n"/>
      <c r="Q43" s="78" t="n"/>
      <c r="R43" s="78" t="n"/>
      <c r="S43" s="78" t="n"/>
    </row>
    <row r="44">
      <c r="A44" s="78" t="n"/>
      <c r="B44" s="78" t="n"/>
      <c r="C44" s="78" t="n"/>
      <c r="D44" s="78" t="n"/>
      <c r="E44" s="78" t="n"/>
      <c r="F44" s="78" t="n"/>
      <c r="G44" s="78" t="n"/>
      <c r="H44" s="78" t="n"/>
      <c r="I44" s="78" t="n"/>
      <c r="J44" s="78" t="n"/>
      <c r="K44" s="78" t="n"/>
      <c r="L44" s="78" t="n"/>
      <c r="M44" s="78" t="n"/>
      <c r="N44" s="78" t="n"/>
      <c r="O44" s="78" t="n"/>
      <c r="P44" s="78" t="n"/>
      <c r="Q44" s="78" t="n"/>
      <c r="R44" s="78" t="n"/>
      <c r="S44" s="78" t="n"/>
    </row>
    <row r="45">
      <c r="A45" s="78" t="n"/>
      <c r="B45" s="78" t="n"/>
      <c r="C45" s="78" t="n"/>
      <c r="D45" s="78" t="n"/>
      <c r="E45" s="78" t="n"/>
      <c r="F45" s="78" t="n"/>
      <c r="G45" s="78" t="n"/>
      <c r="H45" s="78" t="n"/>
      <c r="I45" s="78" t="n"/>
      <c r="J45" s="78" t="n"/>
      <c r="K45" s="78" t="n"/>
      <c r="L45" s="78" t="n"/>
      <c r="M45" s="78" t="n"/>
      <c r="N45" s="78" t="n"/>
      <c r="O45" s="78" t="n"/>
      <c r="P45" s="78" t="n"/>
      <c r="Q45" s="78" t="n"/>
      <c r="R45" s="78" t="n"/>
      <c r="S45" s="78" t="n"/>
    </row>
    <row r="46">
      <c r="A46" s="78" t="n"/>
      <c r="B46" s="78" t="n"/>
      <c r="C46" s="78" t="n"/>
      <c r="D46" s="78" t="n"/>
      <c r="E46" s="78" t="n"/>
      <c r="F46" s="78" t="n"/>
      <c r="G46" s="78" t="n"/>
      <c r="H46" s="78" t="n"/>
      <c r="I46" s="78" t="n"/>
      <c r="J46" s="78" t="n"/>
      <c r="K46" s="78" t="n"/>
      <c r="L46" s="78" t="n"/>
      <c r="M46" s="78" t="n"/>
      <c r="N46" s="78" t="n"/>
      <c r="O46" s="78" t="n"/>
      <c r="P46" s="78" t="n"/>
      <c r="Q46" s="78" t="n"/>
      <c r="R46" s="78" t="n"/>
      <c r="S46" s="78" t="n"/>
    </row>
    <row r="47">
      <c r="A47" s="78" t="n"/>
      <c r="B47" s="78" t="n"/>
      <c r="C47" s="78" t="n"/>
      <c r="D47" s="78" t="n"/>
      <c r="E47" s="78" t="n"/>
      <c r="F47" s="78" t="n"/>
      <c r="G47" s="78" t="n"/>
      <c r="H47" s="78" t="n"/>
      <c r="I47" s="78" t="n"/>
      <c r="J47" s="78" t="n"/>
      <c r="K47" s="78" t="n"/>
      <c r="L47" s="78" t="n"/>
      <c r="M47" s="78" t="n"/>
      <c r="N47" s="78" t="n"/>
      <c r="O47" s="78" t="n"/>
      <c r="P47" s="78" t="n"/>
      <c r="Q47" s="78" t="n"/>
      <c r="R47" s="78" t="n"/>
      <c r="S47" s="78" t="n"/>
    </row>
    <row r="48">
      <c r="A48" s="78" t="n"/>
      <c r="B48" s="78" t="n"/>
      <c r="C48" s="78" t="n"/>
      <c r="D48" s="78" t="n"/>
      <c r="E48" s="78" t="n"/>
      <c r="F48" s="78" t="n"/>
      <c r="G48" s="78" t="n"/>
      <c r="H48" s="78" t="n"/>
      <c r="I48" s="78" t="n"/>
      <c r="J48" s="78" t="n"/>
      <c r="K48" s="78" t="n"/>
      <c r="L48" s="78" t="n"/>
      <c r="M48" s="78" t="n"/>
      <c r="N48" s="78" t="n"/>
      <c r="O48" s="78" t="n"/>
      <c r="P48" s="78" t="n"/>
      <c r="Q48" s="78" t="n"/>
      <c r="R48" s="78" t="n"/>
      <c r="S48" s="78" t="n"/>
    </row>
    <row r="49">
      <c r="A49" s="78" t="n"/>
      <c r="B49" s="78" t="n"/>
      <c r="C49" s="78" t="n"/>
      <c r="D49" s="78" t="n"/>
      <c r="E49" s="78" t="n"/>
      <c r="F49" s="78" t="n"/>
      <c r="G49" s="78" t="n"/>
      <c r="H49" s="78" t="n"/>
      <c r="I49" s="78" t="n"/>
      <c r="J49" s="78" t="n"/>
      <c r="K49" s="78" t="n"/>
      <c r="L49" s="78" t="n"/>
      <c r="M49" s="78" t="n"/>
      <c r="N49" s="78" t="n"/>
      <c r="O49" s="78" t="n"/>
      <c r="P49" s="78" t="n"/>
      <c r="Q49" s="78" t="n"/>
      <c r="R49" s="78" t="n"/>
      <c r="S49" s="78" t="n"/>
    </row>
    <row r="50">
      <c r="A50" s="78" t="n"/>
      <c r="B50" s="78" t="n"/>
      <c r="C50" s="78" t="n"/>
      <c r="D50" s="78" t="n"/>
      <c r="E50" s="78" t="n"/>
      <c r="F50" s="78" t="n"/>
      <c r="G50" s="78" t="n"/>
      <c r="H50" s="78" t="n"/>
      <c r="I50" s="78" t="n"/>
      <c r="J50" s="78" t="n"/>
      <c r="K50" s="78" t="n"/>
      <c r="L50" s="78" t="n"/>
      <c r="M50" s="78" t="n"/>
      <c r="N50" s="78" t="n"/>
      <c r="O50" s="78" t="n"/>
      <c r="P50" s="78" t="n"/>
      <c r="Q50" s="78" t="n"/>
      <c r="R50" s="78" t="n"/>
      <c r="S50" s="78" t="n"/>
    </row>
  </sheetData>
  <mergeCells count="32">
    <mergeCell ref="I17"/>
    <mergeCell ref="I23"/>
    <mergeCell ref="I35"/>
    <mergeCell ref="C33:J33"/>
    <mergeCell ref="C42:J42"/>
    <mergeCell ref="C40:E40"/>
    <mergeCell ref="I29"/>
    <mergeCell ref="I19"/>
    <mergeCell ref="I13"/>
    <mergeCell ref="C4:J4"/>
    <mergeCell ref="G40:J40"/>
    <mergeCell ref="I31"/>
    <mergeCell ref="I34"/>
    <mergeCell ref="C1:J1"/>
    <mergeCell ref="K14:M14"/>
    <mergeCell ref="I30"/>
    <mergeCell ref="I15"/>
    <mergeCell ref="I36"/>
    <mergeCell ref="C12:J12"/>
    <mergeCell ref="C21:J21"/>
    <mergeCell ref="I26"/>
    <mergeCell ref="C2:J2"/>
    <mergeCell ref="I25"/>
    <mergeCell ref="I16"/>
    <mergeCell ref="I22"/>
    <mergeCell ref="C39:J39"/>
    <mergeCell ref="I37"/>
    <mergeCell ref="I18"/>
    <mergeCell ref="K5:M5"/>
    <mergeCell ref="C28:J28"/>
    <mergeCell ref="I24"/>
    <mergeCell ref="I14"/>
  </mergeCells>
  <hyperlinks>
    <hyperlink ref="C5" location="Activos!A1" display="📦 Inventario de Activos"/>
    <hyperlink ref="D5" location="Config_Categorias!A1" display="🏷️ Clasificación de Activos"/>
    <hyperlink ref="F5" location="Activos!A1" display="💰 Valoración de Activos"/>
    <hyperlink ref="G5" location="Matriz_Riesgos!A1" display="⚠️ Identificación de Riesgos"/>
    <hyperlink ref="C6" location="Analisis_Riesgos!A1" display="📊 Análisis de Riesgos"/>
    <hyperlink ref="D6" location="Matriz_Riesgos!A1" display="🎯 Evaluación de Riesgos"/>
    <hyperlink ref="F6" location="Plan_Tratamiento!A1" display="🛡️ Plan de Tratamiento"/>
    <hyperlink ref="G6" location="Plan_Tratamiento!A1" display="📈 Seguimiento Tratamiento"/>
    <hyperlink ref="C7" location="Controles_ISO27001!A1" display="✅ Controles Implementados"/>
    <hyperlink ref="D7" location="SoA!A1" display="📋 Declaración Aplicabilidad"/>
    <hyperlink ref="F7" location="Politicas_Seguridad!A1" display="📜 Políticas de Seguridad"/>
    <hyperlink ref="G7" location="Procedimientos!A1" display="⚙️ Procedimientos Operativos"/>
    <hyperlink ref="C8" location="Comite_Seguridad!A1" display="👥 Roles y Responsabilidades"/>
    <hyperlink ref="D8" location="Metricas_KPI!A1" display="📊 Indicadores KPI"/>
    <hyperlink ref="F8" location="Auditorias!A1" display="🔍 Auditoría Interna"/>
    <hyperlink ref="G8" location="Revision_Direccion!A1" display="👔 Revisión Dirección"/>
    <hyperlink ref="C9" location="Gestion_Incidentes!A1" display="🚨 Incidentes de Seguridad"/>
    <hyperlink ref="D9" location="Log_Acciones!A1" display="🔄 Gestión de Cambios"/>
    <hyperlink ref="F9" location="Plan_Formacion!A1" display="🎓 Capacitación"/>
    <hyperlink ref="G9" location="Controles_ISO27001!A1" display="⚖️ Cumplimiento Legal"/>
    <hyperlink ref="C10" location="Plan_Tratamiento!A1" display="♻️ Mejora Continua"/>
    <hyperlink ref="D10" location="Dashboard!A1" display="📊 Dashboard Ejecutivo"/>
    <hyperlink ref="F10" location="Instrucciones!A1" display="📖 Instrucciones"/>
    <hyperlink ref="I22" location="Dashboard!A1" display="#Dashboard!A1"/>
    <hyperlink ref="A32" location="Instrucciones!A1" display="▶ Botón:"/>
    <hyperlink ref="C32" location="Control_Documentos!A1" display="#Control_Documentos!A1"/>
    <hyperlink ref="E32" location="NDA_Proveedores!A1" display="Verifica integridad de fórmulas y enlaces entre hojas (mantenimiento trimestral)."/>
  </hyperlink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rgb="FF2E75B5"/>
    <outlinePr summaryBelow="1" summaryRight="1"/>
    <pageSetUpPr/>
  </sheetPr>
  <dimension ref="A1:K5"/>
  <sheetViews>
    <sheetView showGridLines="0" workbookViewId="0">
      <selection activeCell="A1" sqref="A1:K1"/>
    </sheetView>
  </sheetViews>
  <sheetFormatPr baseColWidth="10" defaultColWidth="9.140625" defaultRowHeight="15"/>
  <cols>
    <col width="14" customWidth="1" style="127" min="1" max="1"/>
    <col width="30" customWidth="1" style="127" min="2" max="2"/>
    <col width="15" customWidth="1" style="127" min="3" max="3"/>
    <col width="8" customWidth="1" style="127" min="4" max="4"/>
    <col width="12" customWidth="1" style="127" min="5" max="7"/>
    <col width="10" customWidth="1" style="127" min="8" max="8"/>
    <col width="25" customWidth="1" style="127" min="9" max="9"/>
    <col width="12" customWidth="1" style="127" min="10" max="10"/>
    <col width="22" customWidth="1" style="127" min="11" max="11"/>
  </cols>
  <sheetData>
    <row r="1" ht="24.95" customHeight="1" s="127">
      <c r="A1" s="142" t="inlineStr">
        <is>
          <t>CONTROL DE DOCUMENTOS DEL SGSI</t>
        </is>
      </c>
    </row>
    <row r="3" ht="30" customHeight="1" s="127">
      <c r="A3" s="53" t="inlineStr">
        <is>
          <t>Código Doc</t>
        </is>
      </c>
      <c r="B3" s="53" t="inlineStr">
        <is>
          <t>Título</t>
        </is>
      </c>
      <c r="C3" s="53" t="inlineStr">
        <is>
          <t>Tipo</t>
        </is>
      </c>
      <c r="D3" s="53" t="inlineStr">
        <is>
          <t>Versión</t>
        </is>
      </c>
      <c r="E3" s="53" t="inlineStr">
        <is>
          <t>Fecha Emisión</t>
        </is>
      </c>
      <c r="F3" s="53" t="inlineStr">
        <is>
          <t>Autor</t>
        </is>
      </c>
      <c r="G3" s="53" t="inlineStr">
        <is>
          <t>Aprobador</t>
        </is>
      </c>
      <c r="H3" s="53" t="inlineStr">
        <is>
          <t>Estado</t>
        </is>
      </c>
      <c r="I3" s="53" t="inlineStr">
        <is>
          <t>Cambios</t>
        </is>
      </c>
      <c r="J3" s="53" t="inlineStr">
        <is>
          <t>Próx. Revisión</t>
        </is>
      </c>
      <c r="K3" s="53" t="inlineStr">
        <is>
          <t>Ubicación</t>
        </is>
      </c>
    </row>
    <row r="4">
      <c r="A4" s="20" t="inlineStr">
        <is>
          <t>DOC-SGSI-001</t>
        </is>
      </c>
      <c r="B4" s="47" t="inlineStr">
        <is>
          <t>Política General SGSI</t>
        </is>
      </c>
      <c r="C4" s="20" t="inlineStr">
        <is>
          <t>Política</t>
        </is>
      </c>
      <c r="D4" s="20" t="inlineStr">
        <is>
          <t>2.0</t>
        </is>
      </c>
      <c r="E4" s="47" t="inlineStr">
        <is>
          <t>01/01/2025</t>
        </is>
      </c>
      <c r="F4" s="47" t="inlineStr">
        <is>
          <t>CISO</t>
        </is>
      </c>
      <c r="G4" s="47" t="inlineStr">
        <is>
          <t>CEO</t>
        </is>
      </c>
      <c r="H4" s="20" t="inlineStr">
        <is>
          <t>Vigente</t>
        </is>
      </c>
      <c r="I4" s="47" t="inlineStr">
        <is>
          <t>Actualización normativa</t>
        </is>
      </c>
      <c r="J4" s="47" t="inlineStr">
        <is>
          <t>01/01/2026</t>
        </is>
      </c>
      <c r="K4" s="47" t="inlineStr">
        <is>
          <t>SharePoint/Políticas</t>
        </is>
      </c>
    </row>
    <row r="5" ht="30" customHeight="1" s="127">
      <c r="A5" s="20" t="inlineStr">
        <is>
          <t>DOC-PROC-001</t>
        </is>
      </c>
      <c r="B5" s="47" t="inlineStr">
        <is>
          <t>Procedimiento Backup</t>
        </is>
      </c>
      <c r="C5" s="20" t="inlineStr">
        <is>
          <t>Procedimiento</t>
        </is>
      </c>
      <c r="D5" s="20" t="inlineStr">
        <is>
          <t>1.5</t>
        </is>
      </c>
      <c r="E5" s="47" t="inlineStr">
        <is>
          <t>15/02/2025</t>
        </is>
      </c>
      <c r="F5" s="47" t="inlineStr">
        <is>
          <t>Admin TI</t>
        </is>
      </c>
      <c r="G5" s="47" t="inlineStr">
        <is>
          <t>CISO</t>
        </is>
      </c>
      <c r="H5" s="20" t="inlineStr">
        <is>
          <t>Vigente</t>
        </is>
      </c>
      <c r="I5" s="47" t="inlineStr">
        <is>
          <t>Nuevas tecnologías</t>
        </is>
      </c>
      <c r="J5" s="47" t="inlineStr">
        <is>
          <t>15/08/2025</t>
        </is>
      </c>
      <c r="K5" s="47" t="inlineStr">
        <is>
          <t>SharePoint/Procedimientos</t>
        </is>
      </c>
    </row>
  </sheetData>
  <mergeCells count="1">
    <mergeCell ref="A1:K1"/>
  </mergeCells>
  <dataValidations count="2">
    <dataValidation sqref="C4:C1000" showDropDown="0" showInputMessage="0" showErrorMessage="0" allowBlank="0" type="list">
      <formula1>"Política,Procedimiento,Instrucción,Registro,Formulario,Otro"</formula1>
    </dataValidation>
    <dataValidation sqref="H4:H1000" showDropDown="0" showInputMessage="0" showErrorMessage="0" allowBlank="0" type="list">
      <formula1>"Vigente,En Revisión,Obsoleto,Borrador"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Hoja3">
    <tabColor rgb="FF4472C4"/>
    <outlinePr summaryBelow="1" summaryRight="1"/>
    <pageSetUpPr/>
  </sheetPr>
  <dimension ref="A5:F40"/>
  <sheetViews>
    <sheetView showGridLines="0" workbookViewId="0">
      <selection activeCell="A1" sqref="A1"/>
    </sheetView>
  </sheetViews>
  <sheetFormatPr baseColWidth="10" defaultColWidth="9.140625" defaultRowHeight="15"/>
  <cols>
    <col width="18" customWidth="1" style="127" min="1" max="6"/>
  </cols>
  <sheetData>
    <row r="5">
      <c r="A5" s="144" t="inlineStr">
        <is>
          <t>SISTEMA DE GESTIÓN DE
SEGURIDAD DE LA INFORMACIÓN</t>
        </is>
      </c>
    </row>
    <row r="6"/>
    <row r="7"/>
    <row r="8"/>
    <row r="10">
      <c r="A10" s="145" t="inlineStr">
        <is>
          <t>ISO/IEC 27001:2022</t>
        </is>
      </c>
    </row>
    <row r="11"/>
    <row r="13" ht="18.75" customHeight="1" s="127">
      <c r="A13" s="146" t="inlineStr">
        <is>
          <t>Versión 4.0 - Sistema Completo</t>
        </is>
      </c>
    </row>
    <row r="18" ht="21" customHeight="1" s="127">
      <c r="A18" s="148" t="inlineStr">
        <is>
          <t>[NOMBRE DE LA ORGANIZACIÓN]</t>
        </is>
      </c>
    </row>
    <row r="20" ht="15.75" customHeight="1" s="127">
      <c r="A20" s="149" t="inlineStr">
        <is>
          <t>Fecha: 06 de Noviembre de 2025</t>
        </is>
      </c>
    </row>
    <row r="25" ht="18.75" customHeight="1" s="127">
      <c r="A25" s="150" t="inlineStr">
        <is>
          <t>✨ CARACTERÍSTICAS DEL SISTEMA ✨</t>
        </is>
      </c>
    </row>
    <row r="27">
      <c r="A27" s="143" t="inlineStr">
        <is>
          <t>✅ Cumplimiento total ISO 27001:2022</t>
        </is>
      </c>
    </row>
    <row r="28">
      <c r="A28" s="143" t="inlineStr">
        <is>
          <t>✅ 93 controles del Anexo A documentados</t>
        </is>
      </c>
    </row>
    <row r="29">
      <c r="A29" s="143" t="inlineStr">
        <is>
          <t>✅ 20+ macros automatizadas</t>
        </is>
      </c>
    </row>
    <row r="30">
      <c r="A30" s="143" t="inlineStr">
        <is>
          <t>✅ Dashboard interactivo de métricas</t>
        </is>
      </c>
    </row>
    <row r="31">
      <c r="A31" s="143" t="inlineStr">
        <is>
          <t>✅ Exportación profesional a PDF</t>
        </is>
      </c>
    </row>
    <row r="32">
      <c r="A32" s="143" t="inlineStr">
        <is>
          <t>✅ Integración MITRE ATT&amp;CK ICS</t>
        </is>
      </c>
    </row>
    <row r="40">
      <c r="A40" s="147" t="inlineStr">
        <is>
          <t>Documento Confidencial - Uso Interno</t>
        </is>
      </c>
    </row>
  </sheetData>
  <mergeCells count="13">
    <mergeCell ref="A28:F28"/>
    <mergeCell ref="A5:F8"/>
    <mergeCell ref="A10:F11"/>
    <mergeCell ref="A13:F13"/>
    <mergeCell ref="A32:F32"/>
    <mergeCell ref="A27:F27"/>
    <mergeCell ref="A31:F31"/>
    <mergeCell ref="A40:F40"/>
    <mergeCell ref="A18:F18"/>
    <mergeCell ref="A20:F20"/>
    <mergeCell ref="A30:F30"/>
    <mergeCell ref="A29:F29"/>
    <mergeCell ref="A25:F25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tabColor rgb="FFC65911"/>
    <outlinePr summaryBelow="1" summaryRight="1"/>
    <pageSetUpPr/>
  </sheetPr>
  <dimension ref="A1:F23"/>
  <sheetViews>
    <sheetView showGridLines="0" workbookViewId="0">
      <selection activeCell="A1" sqref="A1:F1"/>
    </sheetView>
  </sheetViews>
  <sheetFormatPr baseColWidth="10" defaultColWidth="9.140625" defaultRowHeight="15"/>
  <cols>
    <col width="12" customWidth="1" style="127" min="1" max="1"/>
    <col width="35" customWidth="1" style="127" min="2" max="2"/>
    <col width="30" customWidth="1" style="127" min="3" max="3"/>
    <col width="8" customWidth="1" style="127" min="4" max="4"/>
    <col width="15" customWidth="1" style="127" min="5" max="6"/>
  </cols>
  <sheetData>
    <row r="1" ht="24.95" customHeight="1" s="127">
      <c r="A1" s="152" t="inlineStr">
        <is>
          <t>METODOLOGÍA DE ANÁLISIS DE RIESGOS</t>
        </is>
      </c>
    </row>
    <row r="3" ht="15.75" customHeight="1" s="127">
      <c r="A3" s="151" t="inlineStr">
        <is>
          <t>ESCALA DE PROBABILIDAD</t>
        </is>
      </c>
    </row>
    <row r="5">
      <c r="A5" s="75" t="inlineStr">
        <is>
          <t>Nivel</t>
        </is>
      </c>
      <c r="B5" s="75" t="inlineStr">
        <is>
          <t>Descripción</t>
        </is>
      </c>
      <c r="C5" s="75" t="inlineStr">
        <is>
          <t>Frecuencia</t>
        </is>
      </c>
      <c r="D5" s="75" t="inlineStr">
        <is>
          <t>Valor</t>
        </is>
      </c>
    </row>
    <row r="6">
      <c r="A6" s="20" t="inlineStr">
        <is>
          <t>Muy Alta</t>
        </is>
      </c>
      <c r="B6" s="47" t="inlineStr">
        <is>
          <t>Ocurre frecuentemente</t>
        </is>
      </c>
      <c r="C6" s="47" t="inlineStr">
        <is>
          <t>Más de 1 vez/mes</t>
        </is>
      </c>
      <c r="D6" s="20" t="inlineStr">
        <is>
          <t>5</t>
        </is>
      </c>
    </row>
    <row r="7">
      <c r="A7" s="20" t="inlineStr">
        <is>
          <t>Alta</t>
        </is>
      </c>
      <c r="B7" s="47" t="inlineStr">
        <is>
          <t>Probable que ocurra</t>
        </is>
      </c>
      <c r="C7" s="47" t="inlineStr">
        <is>
          <t>1 vez cada 1-6 meses</t>
        </is>
      </c>
      <c r="D7" s="20" t="inlineStr">
        <is>
          <t>4</t>
        </is>
      </c>
    </row>
    <row r="8">
      <c r="A8" s="20" t="inlineStr">
        <is>
          <t>Media</t>
        </is>
      </c>
      <c r="B8" s="47" t="inlineStr">
        <is>
          <t>Puede ocurrir</t>
        </is>
      </c>
      <c r="C8" s="47" t="inlineStr">
        <is>
          <t>1 vez cada 6-12 meses</t>
        </is>
      </c>
      <c r="D8" s="20" t="inlineStr">
        <is>
          <t>3</t>
        </is>
      </c>
    </row>
    <row r="9">
      <c r="A9" s="20" t="inlineStr">
        <is>
          <t>Baja</t>
        </is>
      </c>
      <c r="B9" s="47" t="inlineStr">
        <is>
          <t>Poco probable</t>
        </is>
      </c>
      <c r="C9" s="47" t="inlineStr">
        <is>
          <t>1 vez cada 1-3 años</t>
        </is>
      </c>
      <c r="D9" s="20" t="inlineStr">
        <is>
          <t>2</t>
        </is>
      </c>
    </row>
    <row r="10">
      <c r="A10" s="20" t="inlineStr">
        <is>
          <t>Muy Baja</t>
        </is>
      </c>
      <c r="B10" s="47" t="inlineStr">
        <is>
          <t>Muy improbable</t>
        </is>
      </c>
      <c r="C10" s="47" t="inlineStr">
        <is>
          <t>Menos de 1 vez cada 3 años</t>
        </is>
      </c>
      <c r="D10" s="20" t="inlineStr">
        <is>
          <t>1</t>
        </is>
      </c>
    </row>
    <row r="13" ht="15.75" customHeight="1" s="127">
      <c r="A13" s="151" t="inlineStr">
        <is>
          <t>ESCALA DE IMPACTO</t>
        </is>
      </c>
    </row>
    <row r="15">
      <c r="A15" s="75" t="inlineStr">
        <is>
          <t>Nivel</t>
        </is>
      </c>
      <c r="B15" s="75" t="inlineStr">
        <is>
          <t>Descripción</t>
        </is>
      </c>
      <c r="C15" s="75" t="inlineStr">
        <is>
          <t>Impacto Negocio</t>
        </is>
      </c>
      <c r="D15" s="75" t="inlineStr">
        <is>
          <t>Valor</t>
        </is>
      </c>
    </row>
    <row r="16">
      <c r="A16" s="20" t="inlineStr">
        <is>
          <t>Muy Alto</t>
        </is>
      </c>
      <c r="B16" s="47" t="inlineStr">
        <is>
          <t>Impacto catastrófico</t>
        </is>
      </c>
      <c r="C16" s="47" t="inlineStr">
        <is>
          <t>Pérdida &gt; 500K€, cierre negocio</t>
        </is>
      </c>
      <c r="D16" s="20" t="inlineStr">
        <is>
          <t>5</t>
        </is>
      </c>
    </row>
    <row r="17">
      <c r="A17" s="20" t="inlineStr">
        <is>
          <t>Alto</t>
        </is>
      </c>
      <c r="B17" s="47" t="inlineStr">
        <is>
          <t>Impacto grave</t>
        </is>
      </c>
      <c r="C17" s="47" t="inlineStr">
        <is>
          <t>Pérdida 100-500K€</t>
        </is>
      </c>
      <c r="D17" s="20" t="inlineStr">
        <is>
          <t>4</t>
        </is>
      </c>
    </row>
    <row r="18">
      <c r="A18" s="20" t="inlineStr">
        <is>
          <t>Medio</t>
        </is>
      </c>
      <c r="B18" s="47" t="inlineStr">
        <is>
          <t>Impacto moderado</t>
        </is>
      </c>
      <c r="C18" s="47" t="inlineStr">
        <is>
          <t>Pérdida 20-100K€</t>
        </is>
      </c>
      <c r="D18" s="20" t="inlineStr">
        <is>
          <t>3</t>
        </is>
      </c>
    </row>
    <row r="19">
      <c r="A19" s="20" t="inlineStr">
        <is>
          <t>Bajo</t>
        </is>
      </c>
      <c r="B19" s="47" t="inlineStr">
        <is>
          <t>Impacto menor</t>
        </is>
      </c>
      <c r="C19" s="47" t="inlineStr">
        <is>
          <t>Pérdida 5-20K€</t>
        </is>
      </c>
      <c r="D19" s="20" t="inlineStr">
        <is>
          <t>2</t>
        </is>
      </c>
    </row>
    <row r="20">
      <c r="A20" s="20" t="inlineStr">
        <is>
          <t>Muy Bajo</t>
        </is>
      </c>
      <c r="B20" s="47" t="inlineStr">
        <is>
          <t>Impacto insignificante</t>
        </is>
      </c>
      <c r="C20" s="47" t="inlineStr">
        <is>
          <t>Pérdida &lt; 5K€</t>
        </is>
      </c>
      <c r="D20" s="20" t="inlineStr">
        <is>
          <t>1</t>
        </is>
      </c>
    </row>
    <row r="23">
      <c r="A23" s="153" t="inlineStr">
        <is>
          <t>MATRIZ DE EVALUACIÓN: Riesgo = Probabilidad × Impacto</t>
        </is>
      </c>
    </row>
  </sheetData>
  <mergeCells count="4">
    <mergeCell ref="A3:F3"/>
    <mergeCell ref="A13:F13"/>
    <mergeCell ref="A1:F1"/>
    <mergeCell ref="A23:F2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Hoja5">
    <tabColor rgb="FF548235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55" t="inlineStr">
        <is>
          <t>STATEMENT OF APPLICABILITY (SOA)</t>
        </is>
      </c>
    </row>
    <row r="3">
      <c r="A3" s="154" t="inlineStr">
        <is>
          <t>📋 Plantilla para: STATEMENT OF APPLICABILITY (SOA)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Hoja6">
    <tabColor rgb="FF7030A0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57" t="inlineStr">
        <is>
          <t>PLAN DE AUDITORÍA INTERNA</t>
        </is>
      </c>
    </row>
    <row r="3">
      <c r="A3" s="154" t="inlineStr">
        <is>
          <t>📋 Plantilla para: PLAN DE AUDITORÍA INTERNA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Hoja7">
    <tabColor rgb="FF203764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58" t="inlineStr">
        <is>
          <t>REVISIÓN POR LA DIRECCIÓN</t>
        </is>
      </c>
    </row>
    <row r="3">
      <c r="A3" s="154" t="inlineStr">
        <is>
          <t>📋 Plantilla para: REVISIÓN POR LA DIRECCIÓN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Hoja8">
    <tabColor rgb="FFC65911"/>
    <outlinePr summaryBelow="1" summaryRight="1"/>
    <pageSetUpPr/>
  </sheetPr>
  <dimension ref="A1:F5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52" t="inlineStr">
        <is>
          <t>PLAN DE PROYECTO SGSI</t>
        </is>
      </c>
    </row>
    <row r="3">
      <c r="A3" s="154" t="inlineStr">
        <is>
          <t>📋 Plantilla para: PLAN DE PROYECTO SGSI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Hoja9">
    <tabColor rgb="FF70AD47"/>
    <outlinePr summaryBelow="1" summaryRight="1"/>
    <pageSetUpPr/>
  </sheetPr>
  <dimension ref="A1:D28"/>
  <sheetViews>
    <sheetView showGridLines="0" workbookViewId="0">
      <selection activeCell="A1" sqref="A1:D1"/>
    </sheetView>
  </sheetViews>
  <sheetFormatPr baseColWidth="10" defaultColWidth="9.140625" defaultRowHeight="15"/>
  <cols>
    <col width="20" customWidth="1" style="127" min="1" max="1"/>
    <col width="5" customWidth="1" style="127" min="2" max="2"/>
    <col width="25" customWidth="1" style="127" min="3" max="3"/>
    <col width="15" customWidth="1" style="127" min="4" max="4"/>
  </cols>
  <sheetData>
    <row r="1" ht="30" customHeight="1" s="127">
      <c r="A1" s="159" t="inlineStr">
        <is>
          <t>DATOS DE LA ORGANIZACIÓN</t>
        </is>
      </c>
    </row>
    <row r="3" ht="15.75" customHeight="1" s="127">
      <c r="A3" s="160" t="inlineStr">
        <is>
          <t>📋 INFORMACIÓN GENERAL</t>
        </is>
      </c>
    </row>
    <row r="5">
      <c r="A5" s="2" t="inlineStr">
        <is>
          <t>Campo</t>
        </is>
      </c>
      <c r="C5" s="2" t="inlineStr">
        <is>
          <t>Valor</t>
        </is>
      </c>
    </row>
    <row r="6">
      <c r="A6" s="3" t="inlineStr">
        <is>
          <t>Razón Social:</t>
        </is>
      </c>
      <c r="C6" s="4" t="inlineStr">
        <is>
          <t>[Ingrese razón social]</t>
        </is>
      </c>
    </row>
    <row r="7">
      <c r="A7" s="3" t="inlineStr">
        <is>
          <t>NIF/CIF:</t>
        </is>
      </c>
      <c r="C7" s="4" t="inlineStr">
        <is>
          <t>[Ingrese NIF]</t>
        </is>
      </c>
    </row>
    <row r="8">
      <c r="A8" s="3" t="inlineStr">
        <is>
          <t>Dirección:</t>
        </is>
      </c>
      <c r="C8" s="4" t="inlineStr">
        <is>
          <t>[Ingrese dirección]</t>
        </is>
      </c>
    </row>
    <row r="9">
      <c r="A9" s="3" t="inlineStr">
        <is>
          <t>Ciudad:</t>
        </is>
      </c>
      <c r="C9" s="4" t="inlineStr">
        <is>
          <t>[Ciudad]</t>
        </is>
      </c>
    </row>
    <row r="10">
      <c r="A10" s="3" t="inlineStr">
        <is>
          <t>Código Postal:</t>
        </is>
      </c>
      <c r="C10" s="4" t="inlineStr">
        <is>
          <t>[CP]</t>
        </is>
      </c>
    </row>
    <row r="11">
      <c r="A11" s="3" t="inlineStr">
        <is>
          <t>País:</t>
        </is>
      </c>
      <c r="C11" s="4" t="inlineStr">
        <is>
          <t>[País]</t>
        </is>
      </c>
    </row>
    <row r="12">
      <c r="A12" s="3" t="inlineStr">
        <is>
          <t>Teléfono:</t>
        </is>
      </c>
      <c r="C12" s="4" t="inlineStr">
        <is>
          <t>[Teléfono]</t>
        </is>
      </c>
    </row>
    <row r="13">
      <c r="A13" s="3" t="inlineStr">
        <is>
          <t>Email:</t>
        </is>
      </c>
      <c r="C13" s="4" t="inlineStr">
        <is>
          <t>[Email]</t>
        </is>
      </c>
    </row>
    <row r="14">
      <c r="A14" s="3" t="inlineStr">
        <is>
          <t>Sitio Web:</t>
        </is>
      </c>
      <c r="C14" s="4" t="inlineStr">
        <is>
          <t>[www.example.com]</t>
        </is>
      </c>
    </row>
    <row r="16" ht="15.75" customHeight="1" s="127">
      <c r="A16" s="160" t="inlineStr">
        <is>
          <t>👤 RESPONSABLE DEL SGSI</t>
        </is>
      </c>
    </row>
    <row r="18">
      <c r="A18" s="3" t="inlineStr">
        <is>
          <t>Nombre:</t>
        </is>
      </c>
      <c r="C18" s="4" t="inlineStr">
        <is>
          <t>[Nombre completo]</t>
        </is>
      </c>
    </row>
    <row r="19">
      <c r="A19" s="3" t="inlineStr">
        <is>
          <t>Cargo:</t>
        </is>
      </c>
      <c r="C19" s="4" t="inlineStr">
        <is>
          <t>[Cargo]</t>
        </is>
      </c>
    </row>
    <row r="20">
      <c r="A20" s="3" t="inlineStr">
        <is>
          <t>Email:</t>
        </is>
      </c>
      <c r="C20" s="4" t="inlineStr">
        <is>
          <t>[Email]</t>
        </is>
      </c>
    </row>
    <row r="21">
      <c r="A21" s="3" t="inlineStr">
        <is>
          <t>Teléfono:</t>
        </is>
      </c>
      <c r="C21" s="4" t="inlineStr">
        <is>
          <t>[Teléfono]</t>
        </is>
      </c>
    </row>
    <row r="23" ht="15.75" customHeight="1" s="127">
      <c r="A23" s="160" t="inlineStr">
        <is>
          <t>🎯 ALCANCE DEL SGSI</t>
        </is>
      </c>
    </row>
    <row r="25">
      <c r="A25" s="161" t="inlineStr">
        <is>
          <t>[Descripción del alcance del SGSI]
Ejemplo: "Aplica a todos los procesos de tecnología de la información que soportan las operaciones de la organización, incluyendo..."</t>
        </is>
      </c>
      <c r="B25" s="162" t="n"/>
      <c r="C25" s="162" t="n"/>
      <c r="D25" s="163" t="n"/>
    </row>
    <row r="26">
      <c r="A26" s="164" t="n"/>
      <c r="D26" s="165" t="n"/>
    </row>
    <row r="27">
      <c r="A27" s="164" t="n"/>
      <c r="D27" s="165" t="n"/>
    </row>
    <row r="28">
      <c r="A28" s="166" t="n"/>
      <c r="B28" s="167" t="n"/>
      <c r="C28" s="167" t="n"/>
      <c r="D28" s="168" t="n"/>
    </row>
  </sheetData>
  <mergeCells count="5">
    <mergeCell ref="A1:D1"/>
    <mergeCell ref="A23:D23"/>
    <mergeCell ref="A3:D3"/>
    <mergeCell ref="A16:D16"/>
    <mergeCell ref="A25:D28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10">
    <tabColor rgb="FFFFC000"/>
    <outlinePr summaryBelow="1" summaryRight="1"/>
    <pageSetUpPr/>
  </sheetPr>
  <dimension ref="A1:T7"/>
  <sheetViews>
    <sheetView showGridLines="0" workbookViewId="0">
      <selection activeCell="P7" sqref="P7"/>
    </sheetView>
  </sheetViews>
  <sheetFormatPr baseColWidth="10" defaultColWidth="9.140625" defaultRowHeight="15"/>
  <cols>
    <col width="12" customWidth="1" style="127" min="1" max="1"/>
    <col width="25" customWidth="1" style="127" min="2" max="2"/>
    <col width="35" customWidth="1" style="127" min="3" max="3"/>
    <col width="15" customWidth="1" style="127" min="4" max="5"/>
    <col width="12" customWidth="1" style="127" min="6" max="7"/>
    <col width="15" customWidth="1" style="127" min="8" max="9"/>
    <col width="12" customWidth="1" style="127" min="10" max="11"/>
    <col width="8" customWidth="1" style="127" min="12" max="14"/>
    <col width="10" customWidth="1" style="127" min="15" max="17"/>
    <col width="12" customWidth="1" style="127" min="18" max="19"/>
    <col width="15" customWidth="1" style="127" min="20" max="20"/>
  </cols>
  <sheetData>
    <row r="1" ht="24.95" customHeight="1" s="127">
      <c r="A1" s="169" t="inlineStr">
        <is>
          <t>INVENTARIO DE ACTIVOS DE INFORMACIÓN</t>
        </is>
      </c>
    </row>
    <row r="2" ht="30" customHeight="1" s="127">
      <c r="A2" s="5" t="inlineStr">
        <is>
          <t>ID</t>
        </is>
      </c>
      <c r="B2" s="5" t="inlineStr">
        <is>
          <t>Nombre</t>
        </is>
      </c>
      <c r="C2" s="5" t="inlineStr">
        <is>
          <t>Descripción</t>
        </is>
      </c>
      <c r="D2" s="5" t="inlineStr">
        <is>
          <t>Categoría</t>
        </is>
      </c>
      <c r="E2" s="5" t="inlineStr">
        <is>
          <t>Subcategoría</t>
        </is>
      </c>
      <c r="F2" s="5" t="inlineStr">
        <is>
          <t>Área</t>
        </is>
      </c>
      <c r="G2" s="5" t="inlineStr">
        <is>
          <t>Ubicación</t>
        </is>
      </c>
      <c r="H2" s="5" t="inlineStr">
        <is>
          <t>Propietario</t>
        </is>
      </c>
      <c r="I2" s="5" t="inlineStr">
        <is>
          <t>Custodio</t>
        </is>
      </c>
      <c r="J2" s="5" t="inlineStr">
        <is>
          <t>Clase</t>
        </is>
      </c>
      <c r="K2" s="5" t="inlineStr">
        <is>
          <t>Subclase</t>
        </is>
      </c>
      <c r="L2" s="5" t="inlineStr">
        <is>
          <t>Confidencialidad</t>
        </is>
      </c>
      <c r="M2" s="5" t="inlineStr">
        <is>
          <t>Integridad</t>
        </is>
      </c>
      <c r="N2" s="5" t="inlineStr">
        <is>
          <t>Disponibilidad</t>
        </is>
      </c>
      <c r="O2" s="5" t="inlineStr">
        <is>
          <t>Valoración</t>
        </is>
      </c>
      <c r="P2" s="5" t="inlineStr">
        <is>
          <t>Criticidad</t>
        </is>
      </c>
      <c r="Q2" s="5" t="inlineStr">
        <is>
          <t>Estado</t>
        </is>
      </c>
      <c r="R2" s="5" t="inlineStr">
        <is>
          <t>Fecha Alta</t>
        </is>
      </c>
      <c r="S2" s="5" t="inlineStr">
        <is>
          <t>Última Modificación</t>
        </is>
      </c>
      <c r="T2" s="5" t="inlineStr">
        <is>
          <t>Usuario</t>
        </is>
      </c>
    </row>
    <row r="3">
      <c r="A3" s="81" t="inlineStr">
        <is>
          <t>ID</t>
        </is>
      </c>
      <c r="B3" s="81" t="inlineStr">
        <is>
          <t>Codigo</t>
        </is>
      </c>
      <c r="C3" s="81" t="inlineStr">
        <is>
          <t>Nombre</t>
        </is>
      </c>
      <c r="D3" s="81" t="inlineStr">
        <is>
          <t>Categoria</t>
        </is>
      </c>
      <c r="E3" s="81" t="inlineStr">
        <is>
          <t>Tipo</t>
        </is>
      </c>
      <c r="F3" s="81" t="inlineStr">
        <is>
          <t>Ubicacion</t>
        </is>
      </c>
      <c r="G3" s="81" t="inlineStr">
        <is>
          <t>Responsable</t>
        </is>
      </c>
      <c r="H3" s="81" t="inlineStr">
        <is>
          <t>Estado</t>
        </is>
      </c>
      <c r="I3" s="81" t="inlineStr">
        <is>
          <t>Criticidad</t>
        </is>
      </c>
      <c r="J3" s="81" t="inlineStr">
        <is>
          <t>Hardware</t>
        </is>
      </c>
      <c r="K3" s="81" t="inlineStr">
        <is>
          <t>Servidor</t>
        </is>
      </c>
      <c r="L3" s="6" t="inlineStr">
        <is>
          <t>A</t>
        </is>
      </c>
      <c r="M3" s="6" t="inlineStr">
        <is>
          <t>A</t>
        </is>
      </c>
      <c r="N3" s="6" t="inlineStr">
        <is>
          <t>A</t>
        </is>
      </c>
      <c r="O3" s="6" t="inlineStr">
        <is>
          <t>Alta</t>
        </is>
      </c>
      <c r="P3" s="6" t="inlineStr">
        <is>
          <t>Crítica</t>
        </is>
      </c>
      <c r="Q3" s="6" t="inlineStr">
        <is>
          <t>Activo</t>
        </is>
      </c>
      <c r="R3" s="6" t="inlineStr">
        <is>
          <t>01/01/2025</t>
        </is>
      </c>
      <c r="S3" s="6" t="inlineStr">
        <is>
          <t>06/11/2025</t>
        </is>
      </c>
      <c r="T3" s="6" t="inlineStr">
        <is>
          <t>Admin</t>
        </is>
      </c>
    </row>
    <row r="4">
      <c r="A4" t="inlineStr">
        <is>
          <t>ACT-001</t>
        </is>
      </c>
      <c r="B4" t="inlineStr">
        <is>
          <t>HW-SRV-001</t>
        </is>
      </c>
      <c r="C4" t="inlineStr">
        <is>
          <t>Servidor Principal</t>
        </is>
      </c>
      <c r="D4" t="inlineStr">
        <is>
          <t>Hardware</t>
        </is>
      </c>
      <c r="E4" t="inlineStr">
        <is>
          <t>Servidor</t>
        </is>
      </c>
      <c r="F4" t="inlineStr">
        <is>
          <t>Datacenter A1</t>
        </is>
      </c>
      <c r="G4" t="inlineStr">
        <is>
          <t>IT Admin</t>
        </is>
      </c>
      <c r="H4" t="inlineStr">
        <is>
          <t>Activo</t>
        </is>
      </c>
      <c r="I4" t="inlineStr">
        <is>
          <t>CRITICA</t>
        </is>
      </c>
      <c r="J4" t="inlineStr">
        <is>
          <t>Hardware</t>
        </is>
      </c>
      <c r="K4" t="inlineStr">
        <is>
          <t>Servidor</t>
        </is>
      </c>
    </row>
    <row r="5">
      <c r="A5" t="inlineStr">
        <is>
          <t>ACT-002</t>
        </is>
      </c>
      <c r="B5" t="inlineStr">
        <is>
          <t>SW-ERP-001</t>
        </is>
      </c>
      <c r="C5" t="inlineStr">
        <is>
          <t>Sistema ERP SAP</t>
        </is>
      </c>
      <c r="D5" t="inlineStr">
        <is>
          <t>Software</t>
        </is>
      </c>
      <c r="E5" t="inlineStr">
        <is>
          <t>ERP</t>
        </is>
      </c>
      <c r="F5" t="inlineStr">
        <is>
          <t>Servidor</t>
        </is>
      </c>
      <c r="G5" t="inlineStr">
        <is>
          <t>IT Manager</t>
        </is>
      </c>
      <c r="H5" t="inlineStr">
        <is>
          <t>Activo</t>
        </is>
      </c>
      <c r="I5" t="inlineStr">
        <is>
          <t>CRITICA</t>
        </is>
      </c>
      <c r="J5" t="inlineStr">
        <is>
          <t>Software</t>
        </is>
      </c>
      <c r="K5" t="inlineStr">
        <is>
          <t>Aplicación</t>
        </is>
      </c>
    </row>
    <row r="6">
      <c r="A6" t="inlineStr">
        <is>
          <t>ACT-003</t>
        </is>
      </c>
      <c r="B6" t="inlineStr">
        <is>
          <t>DATA-CLI-001</t>
        </is>
      </c>
      <c r="C6" t="inlineStr">
        <is>
          <t>BBDD Clientes</t>
        </is>
      </c>
      <c r="D6" t="inlineStr">
        <is>
          <t>Datos</t>
        </is>
      </c>
      <c r="E6" t="inlineStr">
        <is>
          <t>Informacion</t>
        </is>
      </c>
      <c r="F6" t="inlineStr">
        <is>
          <t>Servidor BD</t>
        </is>
      </c>
      <c r="G6" t="inlineStr">
        <is>
          <t>Data Manager</t>
        </is>
      </c>
      <c r="H6" t="inlineStr">
        <is>
          <t>Activo</t>
        </is>
      </c>
      <c r="I6" t="inlineStr">
        <is>
          <t>CRITICA</t>
        </is>
      </c>
      <c r="J6" t="inlineStr">
        <is>
          <t>Datos</t>
        </is>
      </c>
      <c r="K6" t="inlineStr">
        <is>
          <t>Información</t>
        </is>
      </c>
    </row>
    <row r="7">
      <c r="A7" s="98" t="inlineStr">
        <is>
          <t>ACT-2025-006</t>
        </is>
      </c>
      <c r="B7" s="96" t="inlineStr">
        <is>
          <t>DATA-CLI-002</t>
        </is>
      </c>
      <c r="C7" s="96" t="inlineStr">
        <is>
          <t>BBDD Clientes</t>
        </is>
      </c>
      <c r="D7" s="96" t="inlineStr">
        <is>
          <t>DATOS</t>
        </is>
      </c>
      <c r="E7" s="96" t="inlineStr">
        <is>
          <t>Informacion</t>
        </is>
      </c>
      <c r="F7" s="96" t="inlineStr">
        <is>
          <t>Servidor BD</t>
        </is>
      </c>
      <c r="G7" s="96" t="inlineStr">
        <is>
          <t>Data Manage</t>
        </is>
      </c>
      <c r="H7" s="96" t="inlineStr">
        <is>
          <t>Activo</t>
        </is>
      </c>
      <c r="I7" s="96" t="inlineStr">
        <is>
          <t>Critica</t>
        </is>
      </c>
      <c r="J7" s="96" t="inlineStr">
        <is>
          <t>DATOS</t>
        </is>
      </c>
      <c r="K7" s="97" t="inlineStr">
        <is>
          <t>General</t>
        </is>
      </c>
      <c r="L7" s="96" t="inlineStr">
        <is>
          <t>A</t>
        </is>
      </c>
      <c r="M7" s="96" t="inlineStr">
        <is>
          <t>A</t>
        </is>
      </c>
      <c r="N7" s="96" t="inlineStr">
        <is>
          <t>A</t>
        </is>
      </c>
      <c r="O7" s="96" t="inlineStr">
        <is>
          <t>Alta</t>
        </is>
      </c>
      <c r="P7" s="96" t="inlineStr">
        <is>
          <t>Crítica</t>
        </is>
      </c>
      <c r="Q7" s="96" t="inlineStr">
        <is>
          <t>Activo</t>
        </is>
      </c>
      <c r="R7" s="97" t="n">
        <v>45967</v>
      </c>
      <c r="S7" s="97" t="n">
        <v>45967</v>
      </c>
      <c r="T7" s="96" t="inlineStr">
        <is>
          <t>david ñanculeo</t>
        </is>
      </c>
    </row>
  </sheetData>
  <mergeCells count="1">
    <mergeCell ref="A1:T1"/>
  </mergeCells>
  <dataValidations count="16">
    <dataValidation sqref="D4:D1000" showDropDown="0" showInputMessage="0" showErrorMessage="0" allowBlank="1" errorTitle="Categoría Inválida" error="Valor no válido" promptTitle="Categorías disponibles" prompt="Seleccione una categoría" type="list">
      <formula1>"📋 Define las categorías principales para clasificar los activos de información,ID,1,2,3,4,5,6,7"</formula1>
    </dataValidation>
    <dataValidation sqref="E4:E1000" showDropDown="0" showInputMessage="0" showErrorMessage="0" allowBlank="1" errorTitle="Subcategoría Inválida" error="Valor no válido" type="list">
      <formula1>"Servidor,PC,Laptop,Móvil,Red,ERP,CRM,Base de Datos,Aplicación,Sistema Operativo,Clientes,Financiera,RRHH,Comercial,Cloud,Hosting,Internet,Telefonía"</formula1>
    </dataValidation>
    <dataValidation sqref="F4:F1000" showDropDown="0" showInputMessage="0" showErrorMessage="0" allowBlank="1" errorTitle="Área Inválida" error="Valor no válido" type="list">
      <formula1>"🏢 Define las áreas funcionales de la organización,ID,1,2,3,4,5,6,7,8"</formula1>
    </dataValidation>
    <dataValidation sqref="J4:J1000" showDropDown="0" showInputMessage="0" showErrorMessage="0" allowBlank="1" errorTitle="Clase Inválida" error="Valor no válido" type="list">
      <formula1>"🔐 Define los niveles de clasificación según criticidad y sensibilidad,ID,1,2,3,4,5"</formula1>
    </dataValidation>
    <dataValidation sqref="K4:K1000" showDropDown="0" showInputMessage="0" showErrorMessage="0" allowBlank="1" type="list">
      <formula1>"Crítico,Alto,Medio,Bajo,Normal,Básico"</formula1>
    </dataValidation>
    <dataValidation sqref="L4:L1000" showDropDown="0" showInputMessage="0" showErrorMessage="0" allowBlank="1" promptTitle="Nivel de Confidencialidad" prompt="A=Alta, M=Media, B=Baja" type="list">
      <formula1>"A,M,B"</formula1>
    </dataValidation>
    <dataValidation sqref="M4:M1000" showDropDown="0" showInputMessage="0" showErrorMessage="0" allowBlank="1" promptTitle="Nivel de Integridad" prompt="A=Alta, M=Media, B=Baja" type="list">
      <formula1>"A,M,B"</formula1>
    </dataValidation>
    <dataValidation sqref="N4:N1000" showDropDown="0" showInputMessage="0" showErrorMessage="0" allowBlank="1" promptTitle="Nivel de Disponibilidad" prompt="A=Alta, M=Media, B=Baja" type="list">
      <formula1>"A,M,B"</formula1>
    </dataValidation>
    <dataValidation sqref="O4:O1000" showDropDown="0" showInputMessage="0" showErrorMessage="0" allowBlank="1" promptTitle="Valoración del Activo" type="list">
      <formula1>"Muy Alta,Alta,Media,Baja,Muy Baja"</formula1>
    </dataValidation>
    <dataValidation sqref="P4:P1000" showDropDown="0" showInputMessage="0" showErrorMessage="0" allowBlank="1" promptTitle="Criticidad del Activo" type="list">
      <formula1>"Crítica,Alta,Media,Baja"</formula1>
    </dataValidation>
    <dataValidation sqref="Q4:Q1000" showDropDown="0" showInputMessage="0" showErrorMessage="0" allowBlank="0" type="list">
      <formula1>"Activo,Inactivo,En Mantenimiento,Obsoleto"</formula1>
    </dataValidation>
    <dataValidation sqref="D4:D1000" showDropDown="0" showInputMessage="0" showErrorMessage="0" allowBlank="1" errorTitle="Categoría Inválida" error="Debe seleccionar una categoría válida" promptTitle="Categorías (se actualizan desde Config_Categorias)" prompt="Seleccione una categoría de la lista" type="list">
      <formula1>=Config_Categorias!$B$6:$B$50</formula1>
    </dataValidation>
    <dataValidation sqref="F4:F1000" showDropDown="0" showInputMessage="0" showErrorMessage="0" allowBlank="1" errorTitle="Área Inválida" error="Debe seleccionar un área válida" promptTitle="Áreas (se actualizan desde Config_Areas)" prompt="Seleccione un área de la lista" type="list">
      <formula1>=Config_Areas!$B$6:$B$50</formula1>
    </dataValidation>
    <dataValidation sqref="J4:J1000" showDropDown="0" showInputMessage="0" showErrorMessage="0" allowBlank="1" errorTitle="Clase Inválida" error="Debe seleccionar una clase válida" promptTitle="Clases (se actualizan desde Config_Clases)" prompt="Seleccione una clase de la lista" type="list">
      <formula1>=Config_Clases!$B$6:$B$50</formula1>
    </dataValidation>
    <dataValidation sqref="E4:E1000" showDropDown="0" showInputMessage="0" showErrorMessage="0" allowBlank="1" prompt="Seleccione una subcategoría" type="list">
      <formula1>"Servidor,Estación de Trabajo,Laptop,Móvil,Tablet,Switch,Router,Firewall,Access Point,ERP,CRM,ERP,Base de Datos,Aplicación Web,Sistema Operativo,Clientes,Financiera,RRHH,Comercial,Técnica"</formula1>
    </dataValidation>
    <dataValidation sqref="K4:K1000" showDropDown="0" showInputMessage="0" showErrorMessage="0" allowBlank="1" type="list">
      <formula1>"Muy Alto,Alto,Medio,Bajo,Muy Bajo"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Hoja11">
    <tabColor rgb="FF8E44AD"/>
    <outlinePr summaryBelow="1" summaryRight="1"/>
    <pageSetUpPr/>
  </sheetPr>
  <dimension ref="A1:F5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0" t="inlineStr">
        <is>
          <t>PLAN DE CONTINUIDAD DE NEGOCIO</t>
        </is>
      </c>
    </row>
    <row r="3">
      <c r="A3" s="154" t="inlineStr">
        <is>
          <t>📋 Plantilla para: PLAN DE CONTINUIDAD DE NEGOCIO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Hoja12">
    <tabColor rgb="FFE74C3C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71" t="inlineStr">
        <is>
          <t>ANÁLISIS DE IMPACTO AL NEGOCIO (BIA)</t>
        </is>
      </c>
    </row>
    <row r="3">
      <c r="A3" s="154" t="inlineStr">
        <is>
          <t>📋 Plantilla para: ANÁLISIS DE IMPACTO AL NEGOCIO (BIA)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Hoja13">
    <tabColor rgb="FFF39C12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72" t="inlineStr">
        <is>
          <t>PLAN DE FORMACIÓN Y CONCIENCIACIÓN</t>
        </is>
      </c>
    </row>
    <row r="3">
      <c r="A3" s="154" t="inlineStr">
        <is>
          <t>📋 Plantilla para: PLAN DE FORMACIÓN Y CONCIENCIACIÓN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14">
    <tabColor rgb="FF1ABC9C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73" t="inlineStr">
        <is>
          <t>ACUERDO CONFIDENCIALIDAD - PROVEEDORES</t>
        </is>
      </c>
    </row>
    <row r="3">
      <c r="A3" s="154" t="inlineStr">
        <is>
          <t>📋 Plantilla para: ACUERDO CONFIDENCIALIDAD - PROVEEDORES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Hoja15">
    <tabColor rgb="FF16A085"/>
    <outlinePr summaryBelow="1" summaryRight="1"/>
    <pageSetUpPr/>
  </sheetPr>
  <dimension ref="A1:F5"/>
  <sheetViews>
    <sheetView showGridLines="0" workbookViewId="0">
      <selection activeCell="A1" sqref="A1"/>
    </sheetView>
  </sheetViews>
  <sheetFormatPr baseColWidth="10" defaultColWidth="9.140625" defaultRowHeight="15"/>
  <sheetData>
    <row r="1" ht="24.95" customHeight="1" s="127">
      <c r="A1" s="174" t="inlineStr">
        <is>
          <t>ACUERDO CONFIDENCIALIDAD - EMPLEADOS</t>
        </is>
      </c>
    </row>
    <row r="3">
      <c r="A3" s="154" t="inlineStr">
        <is>
          <t>📋 Plantilla para: ACUERDO CONFIDENCIALIDAD - EMPLEADOS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Hoja16">
    <tabColor rgb="FF9B59B6"/>
    <outlinePr summaryBelow="1" summaryRight="1"/>
    <pageSetUpPr/>
  </sheetPr>
  <dimension ref="A1:F5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5" t="inlineStr">
        <is>
          <t>COMITÉ DE SEGURIDAD DE LA INFORMACIÓN</t>
        </is>
      </c>
    </row>
    <row r="3">
      <c r="A3" s="154" t="inlineStr">
        <is>
          <t>📋 Plantilla para: COMITÉ DE SEGURIDAD DE LA INFORMACIÓN</t>
        </is>
      </c>
    </row>
    <row r="5">
      <c r="A5" s="156" t="inlineStr">
        <is>
          <t>Esta hoja debe personalizarse según las necesidades de la organización.</t>
        </is>
      </c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Hoja17">
    <tabColor rgb="FF2980B9"/>
    <outlinePr summaryBelow="1" summaryRight="1"/>
    <pageSetUpPr/>
  </sheetPr>
  <dimension ref="A1:H3"/>
  <sheetViews>
    <sheetView showGridLines="0" workbookViewId="0">
      <selection activeCell="A1" sqref="A1:H1"/>
    </sheetView>
  </sheetViews>
  <sheetFormatPr baseColWidth="10" defaultColWidth="9.140625" defaultRowHeight="15"/>
  <sheetData>
    <row r="1" ht="24.95" customHeight="1" s="127">
      <c r="A1" s="176" t="inlineStr">
        <is>
          <t>CONFIGURATION MANAGEMENT DATABASE</t>
        </is>
      </c>
    </row>
    <row r="3">
      <c r="A3" s="76" t="inlineStr">
        <is>
          <t>CI ID</t>
        </is>
      </c>
      <c r="B3" s="76" t="inlineStr">
        <is>
          <t>Nombre CI</t>
        </is>
      </c>
      <c r="C3" s="76" t="inlineStr">
        <is>
          <t>Tipo</t>
        </is>
      </c>
      <c r="D3" s="76" t="inlineStr">
        <is>
          <t>Propietario</t>
        </is>
      </c>
      <c r="E3" s="76" t="inlineStr">
        <is>
          <t>Estado</t>
        </is>
      </c>
      <c r="F3" s="76" t="inlineStr">
        <is>
          <t>Versión</t>
        </is>
      </c>
      <c r="G3" s="76" t="inlineStr">
        <is>
          <t>Ubicación</t>
        </is>
      </c>
      <c r="H3" s="76" t="inlineStr">
        <is>
          <t>Dependencias</t>
        </is>
      </c>
    </row>
  </sheetData>
  <mergeCells count="1">
    <mergeCell ref="A1:H1"/>
  </mergeCells>
  <dataValidations count="2">
    <dataValidation sqref="C4:C1000" showDropDown="0" showInputMessage="0" showErrorMessage="0" allowBlank="0" type="list">
      <formula1>"Hardware,Software,Servicio,Red,Aplicación"</formula1>
    </dataValidation>
    <dataValidation sqref="E4:E1000" showDropDown="0" showInputMessage="0" showErrorMessage="0" allowBlank="0" type="list">
      <formula1>"Activo,Inactivo,En Mantenimiento,Obsoleto"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Hoja18">
    <tabColor rgb="FF34495E"/>
    <outlinePr summaryBelow="1" summaryRight="1"/>
    <pageSetUpPr/>
  </sheetPr>
  <dimension ref="A1:F1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7" t="inlineStr">
        <is>
          <t>PROCEDIMIENTO DE HARDENING</t>
        </is>
      </c>
    </row>
  </sheetData>
  <mergeCells count="1">
    <mergeCell ref="A1:F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Hoja19">
    <tabColor rgb="FF34495E"/>
    <outlinePr summaryBelow="1" summaryRight="1"/>
    <pageSetUpPr/>
  </sheetPr>
  <dimension ref="A1:F1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7" t="inlineStr">
        <is>
          <t>PLAN DIRECTOR DE CIBERSEGURIDAD</t>
        </is>
      </c>
    </row>
  </sheetData>
  <mergeCells count="1"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Hoja20">
    <tabColor rgb="FF34495E"/>
    <outlinePr summaryBelow="1" summaryRight="1"/>
    <pageSetUpPr/>
  </sheetPr>
  <dimension ref="A1:F1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7" t="inlineStr">
        <is>
          <t>PLAN DE PRUEBAS DE RECUPERACIÓN</t>
        </is>
      </c>
    </row>
  </sheetData>
  <mergeCells count="1"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Hoja21">
    <tabColor rgb="FF34495E"/>
    <outlinePr summaryBelow="1" summaryRight="1"/>
    <pageSetUpPr/>
  </sheetPr>
  <dimension ref="A1:F1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7" t="inlineStr">
        <is>
          <t>INFORMES DE RECUPERACIÓN</t>
        </is>
      </c>
    </row>
  </sheetData>
  <mergeCells count="1"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Hoja22">
    <tabColor rgb="FF34495E"/>
    <outlinePr summaryBelow="1" summaryRight="1"/>
    <pageSetUpPr/>
  </sheetPr>
  <dimension ref="A1:F1"/>
  <sheetViews>
    <sheetView showGridLines="0" workbookViewId="0">
      <selection activeCell="A1" sqref="A1:F1"/>
    </sheetView>
  </sheetViews>
  <sheetFormatPr baseColWidth="10" defaultColWidth="9.140625" defaultRowHeight="15"/>
  <sheetData>
    <row r="1" ht="24.95" customHeight="1" s="127">
      <c r="A1" s="177" t="inlineStr">
        <is>
          <t>MANTENIMIENTO DEL PLAN DRP</t>
        </is>
      </c>
    </row>
  </sheetData>
  <mergeCells count="1">
    <mergeCell ref="A1:F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Hoja23">
    <tabColor rgb="FF5B9BD5"/>
    <outlinePr summaryBelow="1" summaryRight="1"/>
    <pageSetUpPr/>
  </sheetPr>
  <dimension ref="A1:H15"/>
  <sheetViews>
    <sheetView showGridLines="0" workbookViewId="0">
      <selection activeCell="A1" sqref="A1:H1"/>
    </sheetView>
  </sheetViews>
  <sheetFormatPr baseColWidth="10" defaultColWidth="9.140625" defaultRowHeight="15"/>
  <cols>
    <col width="15" customWidth="1" style="127" min="1" max="4"/>
    <col width="5" customWidth="1" style="127" min="5" max="5"/>
    <col width="15" customWidth="1" style="127" min="6" max="8"/>
  </cols>
  <sheetData>
    <row r="1" ht="30" customHeight="1" s="127">
      <c r="A1" s="179" t="inlineStr">
        <is>
          <t>DASHBOARD DE MÉTRICAS - SGSI</t>
        </is>
      </c>
    </row>
    <row r="3" ht="15.75" customHeight="1" s="127">
      <c r="A3" s="178" t="inlineStr">
        <is>
          <t>📈 INDICADORES CLAVE (KPIs)</t>
        </is>
      </c>
    </row>
    <row r="5">
      <c r="B5" s="7" t="n">
        <v>5</v>
      </c>
      <c r="D5" s="7" t="inlineStr">
        <is>
          <t>Riesgos Identificados</t>
        </is>
      </c>
      <c r="F5" s="7" t="inlineStr">
        <is>
          <t>Riesgos Críticos</t>
        </is>
      </c>
      <c r="H5" s="7" t="inlineStr">
        <is>
          <t>Nivel de Cumplimiento</t>
        </is>
      </c>
    </row>
    <row r="6" ht="35.1" customHeight="1" s="127">
      <c r="B6" s="8" t="n">
        <v>50</v>
      </c>
      <c r="D6" s="9" t="inlineStr">
        <is>
          <t>0</t>
        </is>
      </c>
      <c r="F6" s="10" t="inlineStr">
        <is>
          <t>0</t>
        </is>
      </c>
      <c r="H6" s="11" t="inlineStr">
        <is>
          <t>0%</t>
        </is>
      </c>
    </row>
    <row r="7">
      <c r="B7" s="105" t="n">
        <v>0</v>
      </c>
    </row>
    <row r="8">
      <c r="B8" t="n">
        <v>0</v>
      </c>
    </row>
    <row r="9" ht="15.75" customHeight="1" s="127">
      <c r="A9" s="178" t="inlineStr">
        <is>
          <t>⚠️ DISTRIBUCIÓN DE RIESGOS</t>
        </is>
      </c>
      <c r="F9" s="178" t="inlineStr">
        <is>
          <t>🛡️ ESTADO DE TRATAMIENTOS</t>
        </is>
      </c>
    </row>
    <row r="10">
      <c r="B10" t="n">
        <v>0</v>
      </c>
    </row>
    <row r="11">
      <c r="A11" s="12" t="inlineStr">
        <is>
          <t>Nivel</t>
        </is>
      </c>
      <c r="B11" s="104" t="n">
        <v>45967</v>
      </c>
      <c r="C11" s="12" t="inlineStr">
        <is>
          <t>Porcentaje</t>
        </is>
      </c>
      <c r="D11" s="12" t="inlineStr">
        <is>
          <t>Estado</t>
        </is>
      </c>
      <c r="F11" s="12" t="inlineStr">
        <is>
          <t>Estado</t>
        </is>
      </c>
      <c r="G11" s="12" t="inlineStr">
        <is>
          <t>Cantidad</t>
        </is>
      </c>
      <c r="H11" s="12" t="inlineStr">
        <is>
          <t>Progreso</t>
        </is>
      </c>
    </row>
    <row r="12">
      <c r="A12" s="13" t="inlineStr">
        <is>
          <t>Crítico</t>
        </is>
      </c>
      <c r="B12" s="14" t="inlineStr">
        <is>
          <t>0</t>
        </is>
      </c>
      <c r="C12" s="14" t="inlineStr">
        <is>
          <t>0%</t>
        </is>
      </c>
      <c r="D12" s="14" t="inlineStr">
        <is>
          <t>■ Alto</t>
        </is>
      </c>
      <c r="F12" s="15" t="inlineStr">
        <is>
          <t>Implementado</t>
        </is>
      </c>
      <c r="G12" s="14" t="inlineStr">
        <is>
          <t>0</t>
        </is>
      </c>
      <c r="H12" s="14" t="inlineStr">
        <is>
          <t>0%</t>
        </is>
      </c>
    </row>
    <row r="13">
      <c r="A13" s="16" t="inlineStr">
        <is>
          <t>Alto</t>
        </is>
      </c>
      <c r="B13" s="14" t="inlineStr">
        <is>
          <t>0</t>
        </is>
      </c>
      <c r="C13" s="14" t="inlineStr">
        <is>
          <t>0%</t>
        </is>
      </c>
      <c r="D13" s="14" t="inlineStr">
        <is>
          <t>■ Alto</t>
        </is>
      </c>
      <c r="F13" s="17" t="inlineStr">
        <is>
          <t>En Progreso</t>
        </is>
      </c>
      <c r="G13" s="14" t="inlineStr">
        <is>
          <t>0</t>
        </is>
      </c>
      <c r="H13" s="14" t="inlineStr">
        <is>
          <t>0%</t>
        </is>
      </c>
    </row>
    <row r="14">
      <c r="A14" s="17" t="inlineStr">
        <is>
          <t>Medio</t>
        </is>
      </c>
      <c r="B14" s="14" t="inlineStr">
        <is>
          <t>0</t>
        </is>
      </c>
      <c r="C14" s="14" t="inlineStr">
        <is>
          <t>0%</t>
        </is>
      </c>
      <c r="D14" s="14" t="inlineStr">
        <is>
          <t>■ Medio</t>
        </is>
      </c>
      <c r="F14" s="16" t="inlineStr">
        <is>
          <t>Pendiente</t>
        </is>
      </c>
      <c r="G14" s="14" t="inlineStr">
        <is>
          <t>0</t>
        </is>
      </c>
      <c r="H14" s="14" t="inlineStr">
        <is>
          <t>0%</t>
        </is>
      </c>
    </row>
    <row r="15">
      <c r="A15" s="15" t="inlineStr">
        <is>
          <t>Bajo</t>
        </is>
      </c>
      <c r="B15" s="14" t="inlineStr">
        <is>
          <t>0</t>
        </is>
      </c>
      <c r="C15" s="14" t="inlineStr">
        <is>
          <t>0%</t>
        </is>
      </c>
      <c r="D15" s="14" t="inlineStr">
        <is>
          <t>■ Bajo</t>
        </is>
      </c>
      <c r="F15" s="18" t="inlineStr">
        <is>
          <t>Cancelado</t>
        </is>
      </c>
      <c r="G15" s="14" t="inlineStr">
        <is>
          <t>0</t>
        </is>
      </c>
      <c r="H15" s="14" t="inlineStr">
        <is>
          <t>0%</t>
        </is>
      </c>
    </row>
  </sheetData>
  <mergeCells count="4">
    <mergeCell ref="A3:H3"/>
    <mergeCell ref="A9:D9"/>
    <mergeCell ref="F9:H9"/>
    <mergeCell ref="A1:H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Hoja24">
    <tabColor rgb="FFFF6600"/>
    <outlinePr summaryBelow="1" summaryRight="1"/>
    <pageSetUpPr/>
  </sheetPr>
  <dimension ref="A1:W51"/>
  <sheetViews>
    <sheetView showGridLines="0" tabSelected="1" workbookViewId="0">
      <selection activeCell="M9" sqref="M9"/>
    </sheetView>
  </sheetViews>
  <sheetFormatPr baseColWidth="10" defaultColWidth="9.140625" defaultRowHeight="15"/>
  <cols>
    <col width="12" customWidth="1" style="127" min="1" max="1"/>
    <col width="25" customWidth="1" style="127" min="2" max="2"/>
    <col width="35" customWidth="1" style="127" min="3" max="3"/>
    <col width="20" customWidth="1" style="127" min="4" max="6"/>
    <col width="15" customWidth="1" style="127" min="7" max="7"/>
    <col width="10" customWidth="1" style="127" min="8" max="8"/>
    <col width="8" customWidth="1" style="127" min="9" max="11"/>
    <col width="10" customWidth="1" style="127" min="12" max="12"/>
    <col width="12" customWidth="1" style="127" min="13" max="14"/>
    <col width="25" customWidth="1" style="127" min="15" max="15"/>
    <col width="10" customWidth="1" style="127" min="16" max="18"/>
    <col width="12" customWidth="1" style="127" min="19" max="20"/>
    <col width="15" customWidth="1" style="127" min="21" max="22"/>
    <col width="12" customWidth="1" style="127" min="23" max="23"/>
  </cols>
  <sheetData>
    <row r="1" ht="24.95" customHeight="1" s="127">
      <c r="A1" s="180" t="inlineStr">
        <is>
          <t>MATRIZ DE RIESGOS - ISO 27001:2022</t>
        </is>
      </c>
    </row>
    <row r="3" ht="39.95" customHeight="1" s="127">
      <c r="A3" s="82" t="inlineStr">
        <is>
          <t>ID</t>
        </is>
      </c>
      <c r="B3" s="82" t="inlineStr">
        <is>
          <t>ID_Activo</t>
        </is>
      </c>
      <c r="C3" s="82" t="inlineStr">
        <is>
          <t>Amenaza</t>
        </is>
      </c>
      <c r="D3" s="82" t="inlineStr">
        <is>
          <t>Vulnerabilidad</t>
        </is>
      </c>
      <c r="E3" s="82" t="inlineStr">
        <is>
          <t>Probabilidad</t>
        </is>
      </c>
      <c r="F3" s="82" t="inlineStr">
        <is>
          <t>Impacto</t>
        </is>
      </c>
      <c r="G3" s="82" t="inlineStr">
        <is>
          <t>Nivel</t>
        </is>
      </c>
      <c r="H3" s="82" t="inlineStr">
        <is>
          <t>Estado</t>
        </is>
      </c>
      <c r="I3" s="19" t="inlineStr">
        <is>
          <t>Impacto Conf.</t>
        </is>
      </c>
      <c r="J3" s="19" t="inlineStr">
        <is>
          <t>Impacto Integ.</t>
        </is>
      </c>
      <c r="K3" s="19" t="inlineStr">
        <is>
          <t>Impacto Disp.</t>
        </is>
      </c>
      <c r="L3" s="19" t="inlineStr">
        <is>
          <t>Impacto Total</t>
        </is>
      </c>
      <c r="M3" s="19" t="inlineStr">
        <is>
          <t>Nivel Riesgo Inherente</t>
        </is>
      </c>
      <c r="N3" s="19" t="inlineStr">
        <is>
          <t>Valoración Inherente</t>
        </is>
      </c>
      <c r="O3" s="19" t="inlineStr">
        <is>
          <t>Controles Existentes</t>
        </is>
      </c>
      <c r="P3" s="19" t="inlineStr">
        <is>
          <t>Eficacia Controles</t>
        </is>
      </c>
      <c r="Q3" s="19" t="inlineStr">
        <is>
          <t>Probabilidad Residual</t>
        </is>
      </c>
      <c r="R3" s="19" t="inlineStr">
        <is>
          <t>Impacto Residual</t>
        </is>
      </c>
      <c r="S3" s="19" t="inlineStr">
        <is>
          <t>Nivel Riesgo Residual</t>
        </is>
      </c>
      <c r="T3" s="19" t="inlineStr">
        <is>
          <t>Valoración Residual</t>
        </is>
      </c>
      <c r="U3" s="19" t="inlineStr">
        <is>
          <t>Tratamiento</t>
        </is>
      </c>
      <c r="V3" s="19" t="inlineStr">
        <is>
          <t>Propietario</t>
        </is>
      </c>
      <c r="W3" s="19" t="inlineStr">
        <is>
          <t>Estado</t>
        </is>
      </c>
    </row>
    <row r="4" ht="30" customHeight="1" s="127">
      <c r="A4" s="20" t="inlineStr">
        <is>
          <t>RSG-001</t>
        </is>
      </c>
      <c r="B4" s="20" t="inlineStr">
        <is>
          <t>ACT-001</t>
        </is>
      </c>
      <c r="C4" s="20" t="inlineStr">
        <is>
          <t>Fallo hardware</t>
        </is>
      </c>
      <c r="D4" s="20" t="inlineStr">
        <is>
          <t>Servidor antiguo</t>
        </is>
      </c>
      <c r="E4" s="20" t="inlineStr">
        <is>
          <t>MEDIA</t>
        </is>
      </c>
      <c r="F4" s="20" t="inlineStr">
        <is>
          <t>CRITICO</t>
        </is>
      </c>
      <c r="G4" s="20" t="inlineStr">
        <is>
          <t>ALTO</t>
        </is>
      </c>
      <c r="H4" s="20" t="inlineStr">
        <is>
          <t>Identificado</t>
        </is>
      </c>
      <c r="I4" s="20" t="inlineStr">
        <is>
          <t>3</t>
        </is>
      </c>
      <c r="J4" s="20" t="inlineStr">
        <is>
          <t>3</t>
        </is>
      </c>
      <c r="K4" s="20" t="inlineStr">
        <is>
          <t>3</t>
        </is>
      </c>
      <c r="L4" s="20" t="inlineStr">
        <is>
          <t>3</t>
        </is>
      </c>
      <c r="M4" s="20" t="inlineStr">
        <is>
          <t>9</t>
        </is>
      </c>
      <c r="N4" s="21" t="inlineStr">
        <is>
          <t>Alto</t>
        </is>
      </c>
      <c r="O4" s="20" t="inlineStr">
        <is>
          <t>Firewall, Autenticación</t>
        </is>
      </c>
      <c r="P4" s="20" t="inlineStr">
        <is>
          <t>70%</t>
        </is>
      </c>
      <c r="Q4" s="20" t="inlineStr">
        <is>
          <t>2</t>
        </is>
      </c>
      <c r="R4" s="20" t="inlineStr">
        <is>
          <t>2</t>
        </is>
      </c>
      <c r="S4" s="20" t="inlineStr">
        <is>
          <t>4</t>
        </is>
      </c>
      <c r="T4" s="22" t="inlineStr">
        <is>
          <t>Medio</t>
        </is>
      </c>
      <c r="U4" s="20" t="inlineStr">
        <is>
          <t>Mitigar</t>
        </is>
      </c>
      <c r="V4" s="20" t="inlineStr">
        <is>
          <t>CISO</t>
        </is>
      </c>
      <c r="W4" s="20" t="inlineStr">
        <is>
          <t>Activo</t>
        </is>
      </c>
    </row>
    <row r="5">
      <c r="A5" t="inlineStr">
        <is>
          <t>RSG-002</t>
        </is>
      </c>
      <c r="B5" t="inlineStr">
        <is>
          <t>ACT-002</t>
        </is>
      </c>
      <c r="C5" t="inlineStr">
        <is>
          <t>Ransomware</t>
        </is>
      </c>
      <c r="D5" t="inlineStr">
        <is>
          <t>Sin backup</t>
        </is>
      </c>
      <c r="E5" t="inlineStr">
        <is>
          <t>ALTA</t>
        </is>
      </c>
      <c r="F5" t="inlineStr">
        <is>
          <t>CRITICO</t>
        </is>
      </c>
      <c r="G5" t="inlineStr">
        <is>
          <t>CRITICO</t>
        </is>
      </c>
      <c r="H5" t="inlineStr">
        <is>
          <t>Identificado</t>
        </is>
      </c>
    </row>
    <row r="6">
      <c r="A6" t="inlineStr">
        <is>
          <t>RSG-003</t>
        </is>
      </c>
      <c r="B6" t="inlineStr">
        <is>
          <t>ACT-003</t>
        </is>
      </c>
      <c r="C6" t="inlineStr">
        <is>
          <t>Fuga datos</t>
        </is>
      </c>
      <c r="D6" t="inlineStr">
        <is>
          <t>Sin cifrado</t>
        </is>
      </c>
      <c r="E6" t="inlineStr">
        <is>
          <t>MEDIA</t>
        </is>
      </c>
      <c r="F6" t="inlineStr">
        <is>
          <t>CRITICO</t>
        </is>
      </c>
      <c r="G6" t="inlineStr">
        <is>
          <t>ALTO</t>
        </is>
      </c>
      <c r="H6" t="inlineStr">
        <is>
          <t>En Tratamiento</t>
        </is>
      </c>
    </row>
    <row r="45">
      <c r="A45" s="185" t="inlineStr">
        <is>
          <t>LEYENDA DE NIVELES</t>
        </is>
      </c>
    </row>
    <row r="47">
      <c r="A47" s="184" t="inlineStr">
        <is>
          <t>Crítico (15-25):</t>
        </is>
      </c>
      <c r="B47" s="182" t="n"/>
      <c r="C47" s="183" t="n"/>
    </row>
    <row r="48">
      <c r="A48" s="187" t="inlineStr">
        <is>
          <t>Alto (10-14):</t>
        </is>
      </c>
      <c r="B48" s="182" t="n"/>
      <c r="C48" s="183" t="n"/>
    </row>
    <row r="49">
      <c r="A49" s="181" t="inlineStr">
        <is>
          <t>Medio (5-9):</t>
        </is>
      </c>
      <c r="B49" s="182" t="n"/>
      <c r="C49" s="183" t="n"/>
    </row>
    <row r="50">
      <c r="A50" s="186" t="inlineStr">
        <is>
          <t>Bajo (1-4):</t>
        </is>
      </c>
      <c r="B50" s="182" t="n"/>
      <c r="C50" s="183" t="n"/>
    </row>
    <row r="51">
      <c r="A51" s="99" t="inlineStr">
        <is>
          <t>RIS-2025-050</t>
        </is>
      </c>
      <c r="B51" s="94" t="n"/>
      <c r="C51" s="94" t="n"/>
      <c r="D51" s="94" t="n"/>
      <c r="E51" s="94" t="n"/>
      <c r="F51" s="94" t="n"/>
      <c r="G51" s="94" t="n"/>
      <c r="H51" s="94" t="n"/>
      <c r="I51" s="94" t="n"/>
      <c r="J51" s="94" t="n"/>
      <c r="K51" s="94" t="n"/>
      <c r="L51" s="94" t="n"/>
      <c r="M51" s="100" t="inlineStr">
        <is>
          <t>Identificado</t>
        </is>
      </c>
      <c r="N51" s="95" t="n">
        <v>45967</v>
      </c>
      <c r="O51" s="94" t="inlineStr">
        <is>
          <t>david ñanculeo</t>
        </is>
      </c>
    </row>
  </sheetData>
  <mergeCells count="6">
    <mergeCell ref="A1:W1"/>
    <mergeCell ref="A49:C49"/>
    <mergeCell ref="A47:C47"/>
    <mergeCell ref="A45:C45"/>
    <mergeCell ref="A50:C50"/>
    <mergeCell ref="A48:C48"/>
  </mergeCells>
  <dataValidations count="4">
    <dataValidation sqref="E4:E1000 N4:N1000 Q4:Q1000 T4:T1000" showDropDown="0" showInputMessage="0" showErrorMessage="0" allowBlank="0" type="list">
      <formula1>"Muy Alta,Alta,Media,Baja,Muy Baja"</formula1>
    </dataValidation>
    <dataValidation sqref="F4:F1000 I4:K1000 R4:R1000" showDropDown="0" showInputMessage="0" showErrorMessage="0" allowBlank="0" type="list">
      <formula1>"Muy Alto,Alto,Medio,Bajo,Muy Bajo"</formula1>
    </dataValidation>
    <dataValidation sqref="G4:G1000 M4:M1000 S4:S1000" showDropDown="0" showInputMessage="0" showErrorMessage="0" allowBlank="0" type="list">
      <formula1>"Crítico,Alto,Medio,Bajo"</formula1>
    </dataValidation>
    <dataValidation sqref="H4:H1000 W4:W1000" showDropDown="0" showInputMessage="0" showErrorMessage="0" allowBlank="0" type="list">
      <formula1>"Abierto,En Proceso,Completado,Cerrado,Cancelado"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Hoja25">
    <tabColor rgb="FFC00000"/>
    <outlinePr summaryBelow="1" summaryRight="1"/>
    <pageSetUpPr/>
  </sheetPr>
  <dimension ref="A1:L23"/>
  <sheetViews>
    <sheetView showGridLines="0" workbookViewId="0">
      <selection activeCell="A1" sqref="A1:L1"/>
    </sheetView>
  </sheetViews>
  <sheetFormatPr baseColWidth="10" defaultColWidth="9.140625" defaultRowHeight="15"/>
  <cols>
    <col width="15" customWidth="1" style="127" min="1" max="2"/>
    <col width="30" customWidth="1" style="127" min="3" max="3"/>
    <col width="20" customWidth="1" style="127" min="4" max="4"/>
    <col width="12" customWidth="1" style="127" min="5" max="7"/>
    <col width="15" customWidth="1" style="127" min="8" max="8"/>
    <col width="12" customWidth="1" style="127" min="9" max="12"/>
  </cols>
  <sheetData>
    <row r="1" ht="24.95" customHeight="1" s="127">
      <c r="A1" s="192" t="inlineStr">
        <is>
          <t>ANÁLISIS DETALLADO DE RIESGOS</t>
        </is>
      </c>
    </row>
    <row r="3" ht="15.75" customHeight="1" s="127">
      <c r="A3" s="195" t="inlineStr">
        <is>
          <t>🔥 MAPA DE CALOR DE RIESGOS</t>
        </is>
      </c>
    </row>
    <row r="5">
      <c r="A5" s="194" t="inlineStr">
        <is>
          <t>PROBABILIDAD / IMPACTO</t>
        </is>
      </c>
      <c r="C5" s="26" t="inlineStr">
        <is>
          <t>Muy Bajo (1)</t>
        </is>
      </c>
      <c r="D5" s="26" t="inlineStr">
        <is>
          <t>Bajo (2)</t>
        </is>
      </c>
      <c r="E5" s="26" t="inlineStr">
        <is>
          <t>Medio (3)</t>
        </is>
      </c>
      <c r="F5" s="26" t="inlineStr">
        <is>
          <t>Alto (4)</t>
        </is>
      </c>
      <c r="G5" s="26" t="inlineStr">
        <is>
          <t>Muy Alto (5)</t>
        </is>
      </c>
    </row>
    <row r="6" ht="15.75" customHeight="1" s="127">
      <c r="A6" s="191" t="inlineStr">
        <is>
          <t>Muy Alta (5)</t>
        </is>
      </c>
      <c r="B6" s="183" t="n"/>
      <c r="C6" s="28" t="inlineStr">
        <is>
          <t>5</t>
        </is>
      </c>
      <c r="D6" s="29" t="inlineStr">
        <is>
          <t>10</t>
        </is>
      </c>
      <c r="E6" s="30" t="inlineStr">
        <is>
          <t>15</t>
        </is>
      </c>
      <c r="F6" s="30" t="inlineStr">
        <is>
          <t>20</t>
        </is>
      </c>
      <c r="G6" s="31" t="inlineStr">
        <is>
          <t>25</t>
        </is>
      </c>
      <c r="I6" s="197" t="inlineStr">
        <is>
          <t>LEYENDA</t>
        </is>
      </c>
    </row>
    <row r="7" ht="15.75" customHeight="1" s="127">
      <c r="A7" s="191" t="inlineStr">
        <is>
          <t>Alta (4)</t>
        </is>
      </c>
      <c r="B7" s="183" t="n"/>
      <c r="C7" s="32" t="inlineStr">
        <is>
          <t>4</t>
        </is>
      </c>
      <c r="D7" s="28" t="inlineStr">
        <is>
          <t>8</t>
        </is>
      </c>
      <c r="E7" s="29" t="inlineStr">
        <is>
          <t>12</t>
        </is>
      </c>
      <c r="F7" s="30" t="inlineStr">
        <is>
          <t>16</t>
        </is>
      </c>
      <c r="G7" s="30" t="inlineStr">
        <is>
          <t>20</t>
        </is>
      </c>
      <c r="I7" s="196" t="inlineStr">
        <is>
          <t>Crítico</t>
        </is>
      </c>
      <c r="J7" s="182" t="n"/>
      <c r="K7" s="183" t="n"/>
    </row>
    <row r="8" ht="15.75" customHeight="1" s="127">
      <c r="A8" s="191" t="inlineStr">
        <is>
          <t>Media (3)</t>
        </is>
      </c>
      <c r="B8" s="183" t="n"/>
      <c r="C8" s="32" t="inlineStr">
        <is>
          <t>3</t>
        </is>
      </c>
      <c r="D8" s="28" t="inlineStr">
        <is>
          <t>6</t>
        </is>
      </c>
      <c r="E8" s="29" t="inlineStr">
        <is>
          <t>9</t>
        </is>
      </c>
      <c r="F8" s="29" t="inlineStr">
        <is>
          <t>12</t>
        </is>
      </c>
      <c r="G8" s="30" t="inlineStr">
        <is>
          <t>15</t>
        </is>
      </c>
      <c r="I8" s="184" t="inlineStr">
        <is>
          <t>Alto</t>
        </is>
      </c>
      <c r="J8" s="182" t="n"/>
      <c r="K8" s="183" t="n"/>
    </row>
    <row r="9" ht="15.75" customHeight="1" s="127">
      <c r="A9" s="191" t="inlineStr">
        <is>
          <t>Baja (2)</t>
        </is>
      </c>
      <c r="B9" s="183" t="n"/>
      <c r="C9" s="32" t="inlineStr">
        <is>
          <t>2</t>
        </is>
      </c>
      <c r="D9" s="34" t="inlineStr">
        <is>
          <t>4</t>
        </is>
      </c>
      <c r="E9" s="28" t="inlineStr">
        <is>
          <t>6</t>
        </is>
      </c>
      <c r="F9" s="28" t="inlineStr">
        <is>
          <t>8</t>
        </is>
      </c>
      <c r="G9" s="29" t="inlineStr">
        <is>
          <t>10</t>
        </is>
      </c>
      <c r="I9" s="193" t="inlineStr">
        <is>
          <t>Medio-Alto</t>
        </is>
      </c>
      <c r="J9" s="182" t="n"/>
      <c r="K9" s="183" t="n"/>
    </row>
    <row r="10" ht="15.75" customHeight="1" s="127">
      <c r="A10" s="191" t="inlineStr">
        <is>
          <t>Muy Baja (1)</t>
        </is>
      </c>
      <c r="B10" s="183" t="n"/>
      <c r="C10" s="32" t="inlineStr">
        <is>
          <t>1</t>
        </is>
      </c>
      <c r="D10" s="34" t="inlineStr">
        <is>
          <t>2</t>
        </is>
      </c>
      <c r="E10" s="34" t="inlineStr">
        <is>
          <t>3</t>
        </is>
      </c>
      <c r="F10" s="28" t="inlineStr">
        <is>
          <t>4</t>
        </is>
      </c>
      <c r="G10" s="28" t="inlineStr">
        <is>
          <t>5</t>
        </is>
      </c>
      <c r="I10" s="190" t="inlineStr">
        <is>
          <t>Medio</t>
        </is>
      </c>
      <c r="J10" s="182" t="n"/>
      <c r="K10" s="183" t="n"/>
    </row>
    <row r="11">
      <c r="I11" s="188" t="inlineStr">
        <is>
          <t>Bajo</t>
        </is>
      </c>
      <c r="J11" s="182" t="n"/>
      <c r="K11" s="183" t="n"/>
    </row>
    <row r="13" ht="15.75" customHeight="1" s="127">
      <c r="A13" s="195" t="inlineStr">
        <is>
          <t>📈 RESUMEN ESTADÍSTICO</t>
        </is>
      </c>
    </row>
    <row r="15">
      <c r="A15" s="191" t="inlineStr">
        <is>
          <t>Categoría</t>
        </is>
      </c>
      <c r="B15" s="191" t="inlineStr">
        <is>
          <t>Total</t>
        </is>
      </c>
      <c r="C15" s="191" t="inlineStr">
        <is>
          <t>Críticos</t>
        </is>
      </c>
      <c r="D15" s="191" t="inlineStr">
        <is>
          <t>Altos</t>
        </is>
      </c>
      <c r="E15" s="191" t="inlineStr">
        <is>
          <t>Medios</t>
        </is>
      </c>
      <c r="F15" s="191" t="inlineStr">
        <is>
          <t>Bajos</t>
        </is>
      </c>
      <c r="G15" s="191" t="inlineStr">
        <is>
          <t>% Críticos</t>
        </is>
      </c>
      <c r="H15" s="191" t="inlineStr">
        <is>
          <t>% Altos</t>
        </is>
      </c>
      <c r="I15" s="191" t="inlineStr">
        <is>
          <t>Promedio</t>
        </is>
      </c>
    </row>
    <row r="16">
      <c r="A16" s="1" t="inlineStr">
        <is>
          <t>Seguridad de Acceso</t>
        </is>
      </c>
      <c r="B16" s="6" t="inlineStr">
        <is>
          <t>0</t>
        </is>
      </c>
      <c r="C16" s="6" t="inlineStr">
        <is>
          <t>0</t>
        </is>
      </c>
      <c r="D16" s="6" t="inlineStr">
        <is>
          <t>0</t>
        </is>
      </c>
      <c r="E16" s="6" t="inlineStr">
        <is>
          <t>0</t>
        </is>
      </c>
      <c r="F16" s="6" t="inlineStr">
        <is>
          <t>0</t>
        </is>
      </c>
      <c r="G16" s="6" t="inlineStr">
        <is>
          <t>0%</t>
        </is>
      </c>
      <c r="H16" s="6" t="inlineStr">
        <is>
          <t>0%</t>
        </is>
      </c>
      <c r="I16" s="6" t="inlineStr">
        <is>
          <t>0</t>
        </is>
      </c>
    </row>
    <row r="17">
      <c r="A17" s="1" t="inlineStr">
        <is>
          <t>Protección de Datos</t>
        </is>
      </c>
      <c r="B17" s="6" t="inlineStr">
        <is>
          <t>0</t>
        </is>
      </c>
      <c r="C17" s="6" t="inlineStr">
        <is>
          <t>0</t>
        </is>
      </c>
      <c r="D17" s="6" t="inlineStr">
        <is>
          <t>0</t>
        </is>
      </c>
      <c r="E17" s="6" t="inlineStr">
        <is>
          <t>0</t>
        </is>
      </c>
      <c r="F17" s="6" t="inlineStr">
        <is>
          <t>0</t>
        </is>
      </c>
      <c r="G17" s="6" t="inlineStr">
        <is>
          <t>0%</t>
        </is>
      </c>
      <c r="H17" s="6" t="inlineStr">
        <is>
          <t>0%</t>
        </is>
      </c>
      <c r="I17" s="6" t="inlineStr">
        <is>
          <t>0</t>
        </is>
      </c>
    </row>
    <row r="18">
      <c r="A18" s="1" t="inlineStr">
        <is>
          <t>Continuidad de Negocio</t>
        </is>
      </c>
      <c r="B18" s="6" t="inlineStr">
        <is>
          <t>0</t>
        </is>
      </c>
      <c r="C18" s="6" t="inlineStr">
        <is>
          <t>0</t>
        </is>
      </c>
      <c r="D18" s="6" t="inlineStr">
        <is>
          <t>0</t>
        </is>
      </c>
      <c r="E18" s="6" t="inlineStr">
        <is>
          <t>0</t>
        </is>
      </c>
      <c r="F18" s="6" t="inlineStr">
        <is>
          <t>0</t>
        </is>
      </c>
      <c r="G18" s="6" t="inlineStr">
        <is>
          <t>0%</t>
        </is>
      </c>
      <c r="H18" s="6" t="inlineStr">
        <is>
          <t>0%</t>
        </is>
      </c>
      <c r="I18" s="6" t="inlineStr">
        <is>
          <t>0</t>
        </is>
      </c>
    </row>
    <row r="21" ht="15.75" customHeight="1" s="127">
      <c r="A21" s="189" t="inlineStr">
        <is>
          <t>⚠️ TOP 10 RIESGOS CRÍTICOS</t>
        </is>
      </c>
    </row>
    <row r="23">
      <c r="A23" s="35" t="inlineStr">
        <is>
          <t>#</t>
        </is>
      </c>
      <c r="B23" s="35" t="inlineStr">
        <is>
          <t>ID Riesgo</t>
        </is>
      </c>
      <c r="C23" s="35" t="inlineStr">
        <is>
          <t>Nombre</t>
        </is>
      </c>
      <c r="D23" s="35" t="inlineStr">
        <is>
          <t>Activo</t>
        </is>
      </c>
      <c r="E23" s="35" t="inlineStr">
        <is>
          <t>Nivel</t>
        </is>
      </c>
      <c r="F23" s="35" t="inlineStr">
        <is>
          <t>Probabilidad</t>
        </is>
      </c>
      <c r="G23" s="35" t="inlineStr">
        <is>
          <t>Impacto</t>
        </is>
      </c>
      <c r="H23" s="35" t="inlineStr">
        <is>
          <t>Propietario</t>
        </is>
      </c>
      <c r="I23" s="35" t="inlineStr">
        <is>
          <t>Estado</t>
        </is>
      </c>
    </row>
  </sheetData>
  <mergeCells count="16">
    <mergeCell ref="I11:K11"/>
    <mergeCell ref="I10:K10"/>
    <mergeCell ref="A7:B7"/>
    <mergeCell ref="A8:B8"/>
    <mergeCell ref="A1:L1"/>
    <mergeCell ref="I9:K9"/>
    <mergeCell ref="A5:B5"/>
    <mergeCell ref="A13:L13"/>
    <mergeCell ref="I8:K8"/>
    <mergeCell ref="A10:B10"/>
    <mergeCell ref="A9:B9"/>
    <mergeCell ref="A3:L3"/>
    <mergeCell ref="A21:L21"/>
    <mergeCell ref="A6:B6"/>
    <mergeCell ref="I7:K7"/>
    <mergeCell ref="I6:K6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Hoja26">
    <tabColor rgb="FF009900"/>
    <outlinePr summaryBelow="1" summaryRight="1"/>
    <pageSetUpPr/>
  </sheetPr>
  <dimension ref="A1:P50"/>
  <sheetViews>
    <sheetView showGridLines="0" workbookViewId="0">
      <selection activeCell="A1" sqref="A1:P1"/>
    </sheetView>
  </sheetViews>
  <sheetFormatPr baseColWidth="10" defaultColWidth="9.140625" defaultRowHeight="15"/>
  <cols>
    <col width="15" customWidth="1" style="127" min="1" max="1"/>
    <col width="12" customWidth="1" style="127" min="2" max="2"/>
    <col width="25" customWidth="1" style="127" min="3" max="3"/>
    <col width="12" customWidth="1" style="127" min="4" max="4"/>
    <col width="15" customWidth="1" style="127" min="5" max="5"/>
    <col width="35" customWidth="1" style="127" min="6" max="6"/>
    <col width="15" customWidth="1" style="127" min="7" max="8"/>
    <col width="12" customWidth="1" style="127" min="9" max="11"/>
    <col width="10" customWidth="1" style="127" min="12" max="12"/>
    <col width="12" customWidth="1" style="127" min="13" max="15"/>
    <col width="30" customWidth="1" style="127" min="16" max="16"/>
  </cols>
  <sheetData>
    <row r="1" ht="24.95" customHeight="1" s="127">
      <c r="A1" s="199" t="inlineStr">
        <is>
          <t>PLAN DE TRATAMIENTO DE RIESGOS</t>
        </is>
      </c>
    </row>
    <row r="3" ht="35.1" customHeight="1" s="127">
      <c r="A3" s="83" t="inlineStr">
        <is>
          <t>ID</t>
        </is>
      </c>
      <c r="B3" s="83" t="inlineStr">
        <is>
          <t>ID_Riesgo</t>
        </is>
      </c>
      <c r="C3" s="83" t="inlineStr">
        <is>
          <t>Medida</t>
        </is>
      </c>
      <c r="D3" s="83" t="inlineStr">
        <is>
          <t>Responsable</t>
        </is>
      </c>
      <c r="E3" s="83" t="inlineStr">
        <is>
          <t>Estado</t>
        </is>
      </c>
      <c r="F3" s="83" t="inlineStr">
        <is>
          <t>Avance</t>
        </is>
      </c>
      <c r="G3" s="83" t="inlineStr">
        <is>
          <t>Presupuesto</t>
        </is>
      </c>
      <c r="H3" s="36" t="inlineStr">
        <is>
          <t>Responsable</t>
        </is>
      </c>
      <c r="I3" s="36" t="inlineStr">
        <is>
          <t>Fecha Inicio</t>
        </is>
      </c>
      <c r="J3" s="36" t="inlineStr">
        <is>
          <t>Fecha Límite</t>
        </is>
      </c>
      <c r="K3" s="36" t="inlineStr">
        <is>
          <t>Estado</t>
        </is>
      </c>
      <c r="L3" s="36" t="inlineStr">
        <is>
          <t>Progreso %</t>
        </is>
      </c>
      <c r="M3" s="36" t="inlineStr">
        <is>
          <t>Presupuesto</t>
        </is>
      </c>
      <c r="N3" s="36" t="inlineStr">
        <is>
          <t>Costo Real</t>
        </is>
      </c>
      <c r="O3" s="36" t="inlineStr">
        <is>
          <t>Nivel Esperado</t>
        </is>
      </c>
      <c r="P3" s="36" t="inlineStr">
        <is>
          <t>Observaciones</t>
        </is>
      </c>
    </row>
    <row r="4" ht="30" customHeight="1" s="127">
      <c r="A4" s="20" t="inlineStr">
        <is>
          <t>TRT-001</t>
        </is>
      </c>
      <c r="B4" s="20" t="inlineStr">
        <is>
          <t>RSG-001</t>
        </is>
      </c>
      <c r="C4" s="20" t="inlineStr">
        <is>
          <t>Renovar servidor</t>
        </is>
      </c>
      <c r="D4" s="21" t="inlineStr">
        <is>
          <t>IT Admin</t>
        </is>
      </c>
      <c r="E4" s="20" t="inlineStr">
        <is>
          <t>En Progreso</t>
        </is>
      </c>
      <c r="F4" s="20" t="n">
        <v>60</v>
      </c>
      <c r="G4" s="20" t="n">
        <v>30000</v>
      </c>
      <c r="H4" s="20" t="inlineStr">
        <is>
          <t>Admin TI</t>
        </is>
      </c>
      <c r="I4" s="20" t="inlineStr">
        <is>
          <t>01/11/2025</t>
        </is>
      </c>
      <c r="J4" s="20" t="inlineStr">
        <is>
          <t>31/12/2025</t>
        </is>
      </c>
      <c r="K4" s="22" t="inlineStr">
        <is>
          <t>En Progreso</t>
        </is>
      </c>
      <c r="L4" s="37" t="inlineStr">
        <is>
          <t>45%</t>
        </is>
      </c>
      <c r="M4" s="20" t="inlineStr">
        <is>
          <t>5000€</t>
        </is>
      </c>
      <c r="N4" s="20" t="inlineStr">
        <is>
          <t>2250€</t>
        </is>
      </c>
      <c r="O4" s="22" t="inlineStr">
        <is>
          <t>Medio</t>
        </is>
      </c>
      <c r="P4" s="20" t="inlineStr">
        <is>
          <t>En fase de pruebas</t>
        </is>
      </c>
    </row>
    <row r="5">
      <c r="A5" t="inlineStr">
        <is>
          <t>TRT-002</t>
        </is>
      </c>
      <c r="B5" t="inlineStr">
        <is>
          <t>RSG-002</t>
        </is>
      </c>
      <c r="C5" t="inlineStr">
        <is>
          <t>Backup offline</t>
        </is>
      </c>
      <c r="D5" t="inlineStr">
        <is>
          <t>CISO</t>
        </is>
      </c>
      <c r="E5" t="inlineStr">
        <is>
          <t>En Progreso</t>
        </is>
      </c>
      <c r="F5" t="n">
        <v>40</v>
      </c>
      <c r="G5" t="n">
        <v>15000</v>
      </c>
    </row>
    <row r="6">
      <c r="A6" t="inlineStr">
        <is>
          <t>TRT-003</t>
        </is>
      </c>
      <c r="B6" t="inlineStr">
        <is>
          <t>RSG-003</t>
        </is>
      </c>
      <c r="C6" t="inlineStr">
        <is>
          <t>Cifrado TDE</t>
        </is>
      </c>
      <c r="D6" t="inlineStr">
        <is>
          <t>DPO</t>
        </is>
      </c>
      <c r="E6" t="inlineStr">
        <is>
          <t>Planificado</t>
        </is>
      </c>
      <c r="F6" t="n">
        <v>10</v>
      </c>
      <c r="G6" t="n">
        <v>8000</v>
      </c>
    </row>
    <row r="40" ht="15.75" customHeight="1" s="127">
      <c r="A40" s="200" t="inlineStr">
        <is>
          <t>📊 RESUMEN DEL PLAN DE TRATAMIENTO</t>
        </is>
      </c>
    </row>
    <row r="42" ht="18.75" customHeight="1" s="127">
      <c r="A42" s="38" t="inlineStr">
        <is>
          <t>Total Tratamientos:</t>
        </is>
      </c>
      <c r="B42" s="39" t="inlineStr">
        <is>
          <t>0</t>
        </is>
      </c>
      <c r="D42" s="38" t="inlineStr">
        <is>
          <t>Implementados:</t>
        </is>
      </c>
      <c r="E42" s="40" t="inlineStr">
        <is>
          <t>0</t>
        </is>
      </c>
      <c r="G42" s="38" t="inlineStr">
        <is>
          <t>En Progreso:</t>
        </is>
      </c>
      <c r="H42" s="41" t="inlineStr">
        <is>
          <t>0</t>
        </is>
      </c>
      <c r="J42" s="38" t="inlineStr">
        <is>
          <t>Pendientes:</t>
        </is>
      </c>
      <c r="K42" s="42" t="inlineStr">
        <is>
          <t>0</t>
        </is>
      </c>
      <c r="M42" s="38" t="inlineStr">
        <is>
          <t>Cancelados:</t>
        </is>
      </c>
      <c r="N42" s="43" t="inlineStr">
        <is>
          <t>0</t>
        </is>
      </c>
    </row>
    <row r="44" ht="18.75" customHeight="1" s="127">
      <c r="A44" s="38" t="inlineStr">
        <is>
          <t>Presupuesto Total:</t>
        </is>
      </c>
      <c r="B44" s="44" t="inlineStr">
        <is>
          <t>0 €</t>
        </is>
      </c>
      <c r="D44" s="38" t="inlineStr">
        <is>
          <t>Gastado:</t>
        </is>
      </c>
      <c r="E44" s="42" t="inlineStr">
        <is>
          <t>0 €</t>
        </is>
      </c>
      <c r="G44" s="38" t="inlineStr">
        <is>
          <t>Disponible:</t>
        </is>
      </c>
      <c r="H44" s="40" t="inlineStr">
        <is>
          <t>0 €</t>
        </is>
      </c>
      <c r="J44" s="38" t="inlineStr">
        <is>
          <t>Progreso General:</t>
        </is>
      </c>
      <c r="K44" s="39" t="inlineStr">
        <is>
          <t>0%</t>
        </is>
      </c>
    </row>
    <row r="47">
      <c r="A47" s="198" t="inlineStr">
        <is>
          <t>ESTADOS DE TRATAMIENTO</t>
        </is>
      </c>
      <c r="F47" s="198" t="inlineStr">
        <is>
          <t>OPCIONES DE TRATAMIENTO</t>
        </is>
      </c>
    </row>
    <row r="49">
      <c r="A49" s="186" t="inlineStr">
        <is>
          <t>Implementado</t>
        </is>
      </c>
      <c r="B49" s="181" t="inlineStr">
        <is>
          <t>En Progreso</t>
        </is>
      </c>
      <c r="C49" s="187" t="inlineStr">
        <is>
          <t>Pendiente</t>
        </is>
      </c>
      <c r="D49" s="196" t="inlineStr">
        <is>
          <t>Cancelado</t>
        </is>
      </c>
      <c r="F49" s="45" t="inlineStr">
        <is>
          <t>Mitigar</t>
        </is>
      </c>
      <c r="G49" s="196" t="inlineStr">
        <is>
          <t>Evitar</t>
        </is>
      </c>
      <c r="H49" s="181" t="inlineStr">
        <is>
          <t>Transferir</t>
        </is>
      </c>
      <c r="I49" s="186" t="inlineStr">
        <is>
          <t>Aceptar</t>
        </is>
      </c>
    </row>
    <row r="50">
      <c r="A50" s="101" t="inlineStr">
        <is>
          <t>TRT-2025-049</t>
        </is>
      </c>
      <c r="B50" s="94" t="n"/>
      <c r="C50" s="94" t="n"/>
      <c r="D50" s="94" t="n"/>
      <c r="E50" s="94" t="n"/>
      <c r="F50" s="94" t="n"/>
      <c r="G50" s="94" t="n"/>
      <c r="H50" s="102" t="inlineStr">
        <is>
          <t>Planificado</t>
        </is>
      </c>
      <c r="I50" s="95" t="n">
        <v>45967</v>
      </c>
      <c r="J50" s="94" t="n"/>
      <c r="K50" s="103" t="n">
        <v>0</v>
      </c>
      <c r="L50" s="94" t="n"/>
    </row>
  </sheetData>
  <mergeCells count="4">
    <mergeCell ref="F47:I47"/>
    <mergeCell ref="A47:D47"/>
    <mergeCell ref="A1:P1"/>
    <mergeCell ref="A40:P40"/>
  </mergeCells>
  <dataValidations count="2">
    <dataValidation sqref="E4:E1000 K4:K1000" showDropDown="0" showInputMessage="0" showErrorMessage="0" allowBlank="0" type="list">
      <formula1>"Planificado,En Proceso,Implementado,Completado"</formula1>
    </dataValidation>
    <dataValidation sqref="O4:O1000" showDropDown="0" showInputMessage="0" showErrorMessage="0" allowBlank="0" type="list">
      <formula1>"Crítico,Alto,Medio,Bajo"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Hoja27">
    <tabColor rgb="FF7030A0"/>
    <outlinePr summaryBelow="1" summaryRight="1"/>
    <pageSetUpPr/>
  </sheetPr>
  <dimension ref="A1:E49"/>
  <sheetViews>
    <sheetView showGridLines="0" workbookViewId="0">
      <selection activeCell="A1" sqref="A1:E1"/>
    </sheetView>
  </sheetViews>
  <sheetFormatPr baseColWidth="10" defaultColWidth="9.140625" defaultRowHeight="15"/>
  <cols>
    <col width="8" customWidth="1" style="127" min="1" max="1"/>
    <col width="20" customWidth="1" style="127" min="2" max="2"/>
    <col width="35" customWidth="1" style="127" min="3" max="3"/>
    <col width="40" customWidth="1" style="127" min="4" max="4"/>
    <col width="12" customWidth="1" style="127" min="5" max="5"/>
  </cols>
  <sheetData>
    <row r="1" ht="24.95" customHeight="1" s="127">
      <c r="A1" s="157" t="inlineStr">
        <is>
          <t>CONFIGURACIÓN: CATEGORÍAS DE ACTIVOS</t>
        </is>
      </c>
    </row>
    <row r="3">
      <c r="A3" s="201" t="inlineStr">
        <is>
          <t>📋 Define las categorías principales para clasificar los activos de información</t>
        </is>
      </c>
    </row>
    <row r="5">
      <c r="A5" s="46" t="inlineStr">
        <is>
          <t>ID</t>
        </is>
      </c>
      <c r="B5" s="46" t="inlineStr">
        <is>
          <t>Categoría</t>
        </is>
      </c>
      <c r="C5" s="46" t="inlineStr">
        <is>
          <t>Descripción</t>
        </is>
      </c>
      <c r="D5" s="46" t="inlineStr">
        <is>
          <t>Subcategorías</t>
        </is>
      </c>
      <c r="E5" s="46" t="inlineStr">
        <is>
          <t>Estado</t>
        </is>
      </c>
    </row>
    <row r="6">
      <c r="A6" s="20" t="inlineStr">
        <is>
          <t>1</t>
        </is>
      </c>
      <c r="B6" s="47" t="inlineStr">
        <is>
          <t>Hardware</t>
        </is>
      </c>
      <c r="C6" s="47" t="inlineStr">
        <is>
          <t>Equipos físicos y dispositivos</t>
        </is>
      </c>
      <c r="D6" s="47" t="inlineStr">
        <is>
          <t>Servidores, PCs, Portátiles, Móviles</t>
        </is>
      </c>
      <c r="E6" s="20" t="inlineStr">
        <is>
          <t>Activo</t>
        </is>
      </c>
    </row>
    <row r="7">
      <c r="A7" s="20" t="inlineStr">
        <is>
          <t>2</t>
        </is>
      </c>
      <c r="B7" s="47" t="inlineStr">
        <is>
          <t>Software</t>
        </is>
      </c>
      <c r="C7" s="47" t="inlineStr">
        <is>
          <t>Aplicaciones y sistemas operativos</t>
        </is>
      </c>
      <c r="D7" s="47" t="inlineStr">
        <is>
          <t>Aplicaciones, SO, Herramientas</t>
        </is>
      </c>
      <c r="E7" s="20" t="inlineStr">
        <is>
          <t>Activo</t>
        </is>
      </c>
    </row>
    <row r="8">
      <c r="A8" s="20" t="inlineStr">
        <is>
          <t>3</t>
        </is>
      </c>
      <c r="B8" s="47" t="inlineStr">
        <is>
          <t>Información</t>
        </is>
      </c>
      <c r="C8" s="47" t="inlineStr">
        <is>
          <t>Datos y documentación</t>
        </is>
      </c>
      <c r="D8" s="47" t="inlineStr">
        <is>
          <t>BBDD, Documentos, Registros</t>
        </is>
      </c>
      <c r="E8" s="20" t="inlineStr">
        <is>
          <t>Activo</t>
        </is>
      </c>
    </row>
    <row r="9">
      <c r="A9" s="20" t="inlineStr">
        <is>
          <t>4</t>
        </is>
      </c>
      <c r="B9" s="47" t="inlineStr">
        <is>
          <t>Red</t>
        </is>
      </c>
      <c r="C9" s="47" t="inlineStr">
        <is>
          <t>Infraestructura de comunicaciones</t>
        </is>
      </c>
      <c r="D9" s="47" t="inlineStr">
        <is>
          <t>Routers, Switches, Firewalls</t>
        </is>
      </c>
      <c r="E9" s="20" t="inlineStr">
        <is>
          <t>Activo</t>
        </is>
      </c>
    </row>
    <row r="10">
      <c r="A10" s="20" t="inlineStr">
        <is>
          <t>5</t>
        </is>
      </c>
      <c r="B10" s="47" t="inlineStr">
        <is>
          <t>Servicios</t>
        </is>
      </c>
      <c r="C10" s="47" t="inlineStr">
        <is>
          <t>Servicios IT y externos</t>
        </is>
      </c>
      <c r="D10" s="47" t="inlineStr">
        <is>
          <t>Cloud, Email, Backup</t>
        </is>
      </c>
      <c r="E10" s="20" t="inlineStr">
        <is>
          <t>Activo</t>
        </is>
      </c>
    </row>
    <row r="11">
      <c r="A11" s="20" t="inlineStr">
        <is>
          <t>6</t>
        </is>
      </c>
      <c r="B11" s="47" t="inlineStr">
        <is>
          <t>Personal</t>
        </is>
      </c>
      <c r="C11" s="47" t="inlineStr">
        <is>
          <t>Recursos humanos</t>
        </is>
      </c>
      <c r="D11" s="47" t="inlineStr">
        <is>
          <t>Empleados, Consultores</t>
        </is>
      </c>
      <c r="E11" s="20" t="inlineStr">
        <is>
          <t>Activo</t>
        </is>
      </c>
    </row>
    <row r="12">
      <c r="A12" s="20" t="inlineStr">
        <is>
          <t>7</t>
        </is>
      </c>
      <c r="B12" s="47" t="inlineStr">
        <is>
          <t>Instalaciones</t>
        </is>
      </c>
      <c r="C12" s="47" t="inlineStr">
        <is>
          <t>Ubicaciones físicas</t>
        </is>
      </c>
      <c r="D12" s="47" t="inlineStr">
        <is>
          <t>CPD, Oficinas, Almacenes</t>
        </is>
      </c>
      <c r="E12" s="20" t="inlineStr">
        <is>
          <t>Activo</t>
        </is>
      </c>
    </row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2">
    <mergeCell ref="A1:E1"/>
    <mergeCell ref="A3:E3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Hoja28">
    <tabColor rgb="FF7030A0"/>
    <outlinePr summaryBelow="1" summaryRight="1"/>
    <pageSetUpPr/>
  </sheetPr>
  <dimension ref="A1:E49"/>
  <sheetViews>
    <sheetView showGridLines="0" workbookViewId="0">
      <selection activeCell="A1" sqref="A1:E1"/>
    </sheetView>
  </sheetViews>
  <sheetFormatPr baseColWidth="10" defaultColWidth="9.140625" defaultRowHeight="15"/>
  <cols>
    <col width="8" customWidth="1" style="127" min="1" max="1"/>
    <col width="18" customWidth="1" style="127" min="2" max="2"/>
    <col width="35" customWidth="1" style="127" min="3" max="3"/>
    <col width="25" customWidth="1" style="127" min="4" max="4"/>
    <col width="12" customWidth="1" style="127" min="5" max="5"/>
  </cols>
  <sheetData>
    <row r="1" ht="24.95" customHeight="1" s="127">
      <c r="A1" s="157" t="inlineStr">
        <is>
          <t>CONFIGURACIÓN: ÁREAS DE LA ORGANIZACIÓN</t>
        </is>
      </c>
    </row>
    <row r="3">
      <c r="A3" s="201" t="inlineStr">
        <is>
          <t>🏢 Define las áreas funcionales de la organización</t>
        </is>
      </c>
    </row>
    <row r="5">
      <c r="A5" s="46" t="inlineStr">
        <is>
          <t>ID</t>
        </is>
      </c>
      <c r="B5" s="46" t="inlineStr">
        <is>
          <t>Área</t>
        </is>
      </c>
      <c r="C5" s="46" t="inlineStr">
        <is>
          <t>Descripción</t>
        </is>
      </c>
      <c r="D5" s="46" t="inlineStr">
        <is>
          <t>Responsable</t>
        </is>
      </c>
      <c r="E5" s="46" t="inlineStr">
        <is>
          <t>Estado</t>
        </is>
      </c>
    </row>
    <row r="6">
      <c r="A6" s="6" t="inlineStr">
        <is>
          <t>1</t>
        </is>
      </c>
      <c r="B6" s="1" t="inlineStr">
        <is>
          <t>TI</t>
        </is>
      </c>
      <c r="C6" s="1" t="inlineStr">
        <is>
          <t>Tecnologías de la Información</t>
        </is>
      </c>
      <c r="D6" s="1" t="inlineStr">
        <is>
          <t>CIO</t>
        </is>
      </c>
      <c r="E6" s="6" t="inlineStr">
        <is>
          <t>Activo</t>
        </is>
      </c>
    </row>
    <row r="7">
      <c r="A7" s="6" t="inlineStr">
        <is>
          <t>2</t>
        </is>
      </c>
      <c r="B7" s="1" t="inlineStr">
        <is>
          <t>RRHH</t>
        </is>
      </c>
      <c r="C7" s="1" t="inlineStr">
        <is>
          <t>Recursos Humanos</t>
        </is>
      </c>
      <c r="D7" s="1" t="inlineStr">
        <is>
          <t>Director RRHH</t>
        </is>
      </c>
      <c r="E7" s="6" t="inlineStr">
        <is>
          <t>Activo</t>
        </is>
      </c>
    </row>
    <row r="8">
      <c r="A8" s="6" t="inlineStr">
        <is>
          <t>3</t>
        </is>
      </c>
      <c r="B8" s="1" t="inlineStr">
        <is>
          <t>Finanzas</t>
        </is>
      </c>
      <c r="C8" s="1" t="inlineStr">
        <is>
          <t>Departamento Financiero</t>
        </is>
      </c>
      <c r="D8" s="1" t="inlineStr">
        <is>
          <t>CFO</t>
        </is>
      </c>
      <c r="E8" s="6" t="inlineStr">
        <is>
          <t>Activo</t>
        </is>
      </c>
    </row>
    <row r="9">
      <c r="A9" s="6" t="inlineStr">
        <is>
          <t>4</t>
        </is>
      </c>
      <c r="B9" s="1" t="inlineStr">
        <is>
          <t>Operaciones</t>
        </is>
      </c>
      <c r="C9" s="1" t="inlineStr">
        <is>
          <t>Operaciones y Producción</t>
        </is>
      </c>
      <c r="D9" s="1" t="inlineStr">
        <is>
          <t>COO</t>
        </is>
      </c>
      <c r="E9" s="6" t="inlineStr">
        <is>
          <t>Activo</t>
        </is>
      </c>
    </row>
    <row r="10">
      <c r="A10" s="6" t="inlineStr">
        <is>
          <t>5</t>
        </is>
      </c>
      <c r="B10" s="1" t="inlineStr">
        <is>
          <t>Comercial</t>
        </is>
      </c>
      <c r="C10" s="1" t="inlineStr">
        <is>
          <t>Ventas y Marketing</t>
        </is>
      </c>
      <c r="D10" s="1" t="inlineStr">
        <is>
          <t>Director Comercial</t>
        </is>
      </c>
      <c r="E10" s="6" t="inlineStr">
        <is>
          <t>Activo</t>
        </is>
      </c>
    </row>
    <row r="11">
      <c r="A11" s="6" t="inlineStr">
        <is>
          <t>6</t>
        </is>
      </c>
      <c r="B11" s="1" t="inlineStr">
        <is>
          <t>Legal</t>
        </is>
      </c>
      <c r="C11" s="1" t="inlineStr">
        <is>
          <t>Departamento Legal</t>
        </is>
      </c>
      <c r="D11" s="1" t="inlineStr">
        <is>
          <t>Responsable Legal</t>
        </is>
      </c>
      <c r="E11" s="6" t="inlineStr">
        <is>
          <t>Activo</t>
        </is>
      </c>
    </row>
    <row r="12">
      <c r="A12" s="6" t="inlineStr">
        <is>
          <t>7</t>
        </is>
      </c>
      <c r="B12" s="1" t="inlineStr">
        <is>
          <t>Seguridad</t>
        </is>
      </c>
      <c r="C12" s="1" t="inlineStr">
        <is>
          <t>Seguridad de la Información</t>
        </is>
      </c>
      <c r="D12" s="1" t="inlineStr">
        <is>
          <t>CISO</t>
        </is>
      </c>
      <c r="E12" s="6" t="inlineStr">
        <is>
          <t>Activo</t>
        </is>
      </c>
    </row>
    <row r="13">
      <c r="A13" s="6" t="inlineStr">
        <is>
          <t>8</t>
        </is>
      </c>
      <c r="B13" s="1" t="inlineStr">
        <is>
          <t>Dirección</t>
        </is>
      </c>
      <c r="C13" s="1" t="inlineStr">
        <is>
          <t>Dirección General</t>
        </is>
      </c>
      <c r="D13" s="1" t="inlineStr">
        <is>
          <t>CEO</t>
        </is>
      </c>
      <c r="E13" s="6" t="inlineStr">
        <is>
          <t>Activo</t>
        </is>
      </c>
    </row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2">
    <mergeCell ref="A1:E1"/>
    <mergeCell ref="A3:E3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>
  <sheetPr codeName="Hoja29">
    <tabColor rgb="FF7030A0"/>
    <outlinePr summaryBelow="1" summaryRight="1"/>
    <pageSetUpPr/>
  </sheetPr>
  <dimension ref="A1:F49"/>
  <sheetViews>
    <sheetView showGridLines="0" workbookViewId="0">
      <selection activeCell="A1" sqref="A1:F1"/>
    </sheetView>
  </sheetViews>
  <sheetFormatPr baseColWidth="10" defaultColWidth="9.140625" defaultRowHeight="15"/>
  <cols>
    <col width="8" customWidth="1" style="127" min="1" max="1"/>
    <col width="15" customWidth="1" style="127" min="2" max="2"/>
    <col width="45" customWidth="1" style="127" min="3" max="3"/>
    <col width="10" customWidth="1" style="127" min="4" max="4"/>
    <col width="12" customWidth="1" style="127" min="5" max="6"/>
  </cols>
  <sheetData>
    <row r="1" ht="24.95" customHeight="1" s="127">
      <c r="A1" s="157" t="inlineStr">
        <is>
          <t>CONFIGURACIÓN: CLASIFICACIÓN DE ACTIVOS</t>
        </is>
      </c>
    </row>
    <row r="3">
      <c r="A3" s="201" t="inlineStr">
        <is>
          <t>🔐 Define los niveles de clasificación según criticidad y sensibilidad</t>
        </is>
      </c>
    </row>
    <row r="5">
      <c r="A5" s="46" t="inlineStr">
        <is>
          <t>ID</t>
        </is>
      </c>
      <c r="B5" s="46" t="inlineStr">
        <is>
          <t>Clase</t>
        </is>
      </c>
      <c r="C5" s="46" t="inlineStr">
        <is>
          <t>Descripción</t>
        </is>
      </c>
      <c r="D5" s="46" t="inlineStr">
        <is>
          <t>Nivel</t>
        </is>
      </c>
      <c r="E5" s="46" t="inlineStr">
        <is>
          <t>Color</t>
        </is>
      </c>
      <c r="F5" s="46" t="inlineStr">
        <is>
          <t>Estado</t>
        </is>
      </c>
    </row>
    <row r="6" ht="30" customHeight="1" s="127">
      <c r="A6" s="20" t="inlineStr">
        <is>
          <t>1</t>
        </is>
      </c>
      <c r="B6" s="47" t="inlineStr">
        <is>
          <t>Crítico</t>
        </is>
      </c>
      <c r="C6" s="47" t="inlineStr">
        <is>
          <t>Esencial para el negocio, interrupción=impacto severo</t>
        </is>
      </c>
      <c r="D6" s="20" t="inlineStr">
        <is>
          <t>5</t>
        </is>
      </c>
      <c r="E6" s="48" t="inlineStr">
        <is>
          <t>Rojo</t>
        </is>
      </c>
      <c r="F6" s="20" t="inlineStr">
        <is>
          <t>Activo</t>
        </is>
      </c>
    </row>
    <row r="7" ht="30" customHeight="1" s="127">
      <c r="A7" s="20" t="inlineStr">
        <is>
          <t>2</t>
        </is>
      </c>
      <c r="B7" s="47" t="inlineStr">
        <is>
          <t>Muy Alto</t>
        </is>
      </c>
      <c r="C7" s="47" t="inlineStr">
        <is>
          <t>Muy importante, interrupción=impacto significativo</t>
        </is>
      </c>
      <c r="D7" s="20" t="inlineStr">
        <is>
          <t>4</t>
        </is>
      </c>
      <c r="E7" s="49" t="inlineStr">
        <is>
          <t>Naranja</t>
        </is>
      </c>
      <c r="F7" s="20" t="inlineStr">
        <is>
          <t>Activo</t>
        </is>
      </c>
    </row>
    <row r="8">
      <c r="A8" s="20" t="inlineStr">
        <is>
          <t>3</t>
        </is>
      </c>
      <c r="B8" s="47" t="inlineStr">
        <is>
          <t>Alto</t>
        </is>
      </c>
      <c r="C8" s="47" t="inlineStr">
        <is>
          <t>Importante para operaciones normales</t>
        </is>
      </c>
      <c r="D8" s="20" t="inlineStr">
        <is>
          <t>3</t>
        </is>
      </c>
      <c r="E8" s="50" t="inlineStr">
        <is>
          <t>Amarillo</t>
        </is>
      </c>
      <c r="F8" s="20" t="inlineStr">
        <is>
          <t>Activo</t>
        </is>
      </c>
    </row>
    <row r="9">
      <c r="A9" s="20" t="inlineStr">
        <is>
          <t>4</t>
        </is>
      </c>
      <c r="B9" s="47" t="inlineStr">
        <is>
          <t>Medio</t>
        </is>
      </c>
      <c r="C9" s="47" t="inlineStr">
        <is>
          <t>Necesario pero no crítico</t>
        </is>
      </c>
      <c r="D9" s="20" t="inlineStr">
        <is>
          <t>2</t>
        </is>
      </c>
      <c r="E9" s="51" t="inlineStr">
        <is>
          <t>Azul</t>
        </is>
      </c>
      <c r="F9" s="20" t="inlineStr">
        <is>
          <t>Activo</t>
        </is>
      </c>
    </row>
    <row r="10">
      <c r="A10" s="20" t="inlineStr">
        <is>
          <t>5</t>
        </is>
      </c>
      <c r="B10" s="47" t="inlineStr">
        <is>
          <t>Bajo</t>
        </is>
      </c>
      <c r="C10" s="47" t="inlineStr">
        <is>
          <t>Impacto mínimo si no disponible</t>
        </is>
      </c>
      <c r="D10" s="20" t="inlineStr">
        <is>
          <t>1</t>
        </is>
      </c>
      <c r="E10" s="52" t="inlineStr">
        <is>
          <t>Verde</t>
        </is>
      </c>
      <c r="F10" s="20" t="inlineStr">
        <is>
          <t>Activo</t>
        </is>
      </c>
    </row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2">
    <mergeCell ref="A3:F3"/>
    <mergeCell ref="A1:F1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>
  <sheetPr codeName="Hoja30">
    <tabColor rgb="FF2E75B5"/>
    <outlinePr summaryBelow="1" summaryRight="1"/>
    <pageSetUpPr/>
  </sheetPr>
  <dimension ref="A1:H51"/>
  <sheetViews>
    <sheetView showGridLines="0" workbookViewId="0">
      <selection activeCell="A1" sqref="A1:H1"/>
    </sheetView>
  </sheetViews>
  <sheetFormatPr baseColWidth="10" defaultColWidth="9.140625" defaultRowHeight="15"/>
  <cols>
    <col width="12" customWidth="1" style="127" min="1" max="1"/>
    <col width="25" customWidth="1" style="127" min="2" max="2"/>
    <col width="40" customWidth="1" style="127" min="3" max="3"/>
    <col width="18" customWidth="1" style="127" min="4" max="4"/>
    <col width="12" customWidth="1" style="127" min="5" max="5"/>
    <col width="10" customWidth="1" style="127" min="6" max="6"/>
    <col width="15" customWidth="1" style="127" min="7" max="7"/>
    <col width="20" customWidth="1" style="127" min="8" max="8"/>
  </cols>
  <sheetData>
    <row r="1" ht="24.95" customHeight="1" s="127">
      <c r="A1" s="142" t="inlineStr">
        <is>
          <t>CONTROLES ISO 27001:2022 - ANEXO A</t>
        </is>
      </c>
    </row>
    <row r="3">
      <c r="A3" s="203" t="inlineStr">
        <is>
          <t>📋 93 Controles del Anexo A - ISO/IEC 27001:2022</t>
        </is>
      </c>
    </row>
    <row r="5" ht="30" customHeight="1" s="127">
      <c r="A5" s="53" t="inlineStr">
        <is>
          <t>ID Control</t>
        </is>
      </c>
      <c r="B5" s="53" t="inlineStr">
        <is>
          <t>Nombre</t>
        </is>
      </c>
      <c r="C5" s="53" t="inlineStr">
        <is>
          <t>Descripción</t>
        </is>
      </c>
      <c r="D5" s="53" t="inlineStr">
        <is>
          <t>Categoría</t>
        </is>
      </c>
      <c r="E5" s="53" t="inlineStr">
        <is>
          <t>Implementado</t>
        </is>
      </c>
      <c r="F5" s="53" t="inlineStr">
        <is>
          <t>Nivel</t>
        </is>
      </c>
      <c r="G5" s="53" t="inlineStr">
        <is>
          <t>Responsable</t>
        </is>
      </c>
      <c r="H5" s="53" t="inlineStr">
        <is>
          <t>Evidencia</t>
        </is>
      </c>
    </row>
    <row r="6" ht="30" customHeight="1" s="127">
      <c r="A6" s="20" t="inlineStr">
        <is>
          <t>A.5.1</t>
        </is>
      </c>
      <c r="B6" s="47" t="inlineStr">
        <is>
          <t>Políticas de seguridad</t>
        </is>
      </c>
      <c r="C6" s="47" t="inlineStr">
        <is>
          <t>Políticas para la seguridad de la información</t>
        </is>
      </c>
      <c r="D6" s="47" t="inlineStr">
        <is>
          <t>Organizacional</t>
        </is>
      </c>
      <c r="E6" s="54" t="inlineStr">
        <is>
          <t>Sí</t>
        </is>
      </c>
      <c r="F6" s="20" t="inlineStr">
        <is>
          <t>Alto</t>
        </is>
      </c>
      <c r="G6" s="47" t="inlineStr">
        <is>
          <t>CISO</t>
        </is>
      </c>
      <c r="H6" s="47" t="inlineStr">
        <is>
          <t>Política SGSI v2.0</t>
        </is>
      </c>
    </row>
    <row r="7">
      <c r="A7" s="20" t="inlineStr">
        <is>
          <t>A.5.2</t>
        </is>
      </c>
      <c r="B7" s="47" t="inlineStr">
        <is>
          <t>Roles de seguridad</t>
        </is>
      </c>
      <c r="C7" s="47" t="inlineStr">
        <is>
          <t>Asignación de responsabilidades</t>
        </is>
      </c>
      <c r="D7" s="47" t="inlineStr">
        <is>
          <t>Organizacional</t>
        </is>
      </c>
      <c r="E7" s="54" t="inlineStr">
        <is>
          <t>Sí</t>
        </is>
      </c>
      <c r="F7" s="20" t="inlineStr">
        <is>
          <t>Alto</t>
        </is>
      </c>
      <c r="G7" s="47" t="inlineStr">
        <is>
          <t>RRHH</t>
        </is>
      </c>
      <c r="H7" s="47" t="inlineStr">
        <is>
          <t>Matriz RACI</t>
        </is>
      </c>
    </row>
    <row r="8">
      <c r="A8" s="20" t="inlineStr">
        <is>
          <t>A.5.3</t>
        </is>
      </c>
      <c r="B8" s="47" t="inlineStr">
        <is>
          <t>Segregación de funciones</t>
        </is>
      </c>
      <c r="C8" s="47" t="inlineStr">
        <is>
          <t>Separación de deberes conflictivos</t>
        </is>
      </c>
      <c r="D8" s="47" t="inlineStr">
        <is>
          <t>Organizacional</t>
        </is>
      </c>
      <c r="E8" s="22" t="inlineStr">
        <is>
          <t>Parcial</t>
        </is>
      </c>
      <c r="F8" s="20" t="inlineStr">
        <is>
          <t>Medio</t>
        </is>
      </c>
      <c r="G8" s="47" t="inlineStr">
        <is>
          <t>CISO</t>
        </is>
      </c>
      <c r="H8" s="47" t="inlineStr">
        <is>
          <t>Doc. Roles</t>
        </is>
      </c>
    </row>
    <row r="9">
      <c r="A9" s="20" t="inlineStr">
        <is>
          <t>A.5.7</t>
        </is>
      </c>
      <c r="B9" s="47" t="inlineStr">
        <is>
          <t>Inteligencia de amenazas</t>
        </is>
      </c>
      <c r="C9" s="47" t="inlineStr">
        <is>
          <t>Información sobre amenazas</t>
        </is>
      </c>
      <c r="D9" s="47" t="inlineStr">
        <is>
          <t>Organizacional</t>
        </is>
      </c>
      <c r="E9" s="55" t="inlineStr">
        <is>
          <t>No</t>
        </is>
      </c>
      <c r="F9" s="20" t="inlineStr">
        <is>
          <t>Bajo</t>
        </is>
      </c>
      <c r="G9" s="47" t="inlineStr">
        <is>
          <t>TI</t>
        </is>
      </c>
      <c r="H9" s="47" t="inlineStr">
        <is>
          <t>N/A</t>
        </is>
      </c>
    </row>
    <row r="10">
      <c r="A10" s="20" t="inlineStr">
        <is>
          <t>A.5.10</t>
        </is>
      </c>
      <c r="B10" s="47" t="inlineStr">
        <is>
          <t>Uso aceptable</t>
        </is>
      </c>
      <c r="C10" s="47" t="inlineStr">
        <is>
          <t>Políticas de uso aceptable de información</t>
        </is>
      </c>
      <c r="D10" s="47" t="inlineStr">
        <is>
          <t>Organizacional</t>
        </is>
      </c>
      <c r="E10" s="54" t="inlineStr">
        <is>
          <t>Sí</t>
        </is>
      </c>
      <c r="F10" s="20" t="inlineStr">
        <is>
          <t>Alto</t>
        </is>
      </c>
      <c r="G10" s="47" t="inlineStr">
        <is>
          <t>CISO</t>
        </is>
      </c>
      <c r="H10" s="47" t="inlineStr">
        <is>
          <t>Política AUP</t>
        </is>
      </c>
    </row>
    <row r="50">
      <c r="A50" s="202" t="inlineStr">
        <is>
          <t>NOTA: Esta hoja debe contener los 93 controles del Anexo A de ISO 27001:2022</t>
        </is>
      </c>
    </row>
    <row r="51">
      <c r="A51" s="204" t="inlineStr">
        <is>
          <t>Categorías: A.5 (37 controles) | A.6 (8) | A.7 (14) | A.8 (34)</t>
        </is>
      </c>
    </row>
  </sheetData>
  <mergeCells count="4">
    <mergeCell ref="A50:H50"/>
    <mergeCell ref="A3:H3"/>
    <mergeCell ref="A51:H51"/>
    <mergeCell ref="A1:H1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>
  <sheetPr codeName="Hoja31">
    <tabColor rgb="FF00B050"/>
    <outlinePr summaryBelow="1" summaryRight="1"/>
    <pageSetUpPr/>
  </sheetPr>
  <dimension ref="A1:I61"/>
  <sheetViews>
    <sheetView showGridLines="0" workbookViewId="0">
      <selection activeCell="A1" sqref="A1:I1"/>
    </sheetView>
  </sheetViews>
  <sheetFormatPr baseColWidth="10" defaultColWidth="9.140625" defaultRowHeight="15"/>
  <cols>
    <col width="10" customWidth="1" style="127" min="1" max="1"/>
    <col width="22" customWidth="1" style="127" min="2" max="2"/>
    <col width="35" customWidth="1" style="127" min="3" max="3"/>
    <col width="12" customWidth="1" style="127" min="4" max="4"/>
    <col width="35" customWidth="1" style="127" min="5" max="5"/>
    <col width="12" customWidth="1" style="127" min="6" max="6"/>
    <col width="30" customWidth="1" style="127" min="7" max="7"/>
    <col width="15" customWidth="1" style="127" min="8" max="8"/>
    <col width="18" customWidth="1" style="127" min="9" max="9"/>
  </cols>
  <sheetData>
    <row r="1" ht="24.95" customHeight="1" s="127">
      <c r="A1" s="205" t="inlineStr">
        <is>
          <t>DECLARACIÓN DE APLICABILIDAD (SOA) - ISO 27001:2022</t>
        </is>
      </c>
    </row>
    <row r="3">
      <c r="A3" s="56" t="inlineStr">
        <is>
          <t>Documento:</t>
        </is>
      </c>
      <c r="B3" s="4" t="inlineStr">
        <is>
          <t>Statement of Applicability (SOA)</t>
        </is>
      </c>
    </row>
    <row r="4">
      <c r="A4" s="56" t="inlineStr">
        <is>
          <t>Versión:</t>
        </is>
      </c>
      <c r="B4" s="4" t="inlineStr">
        <is>
          <t>1.0</t>
        </is>
      </c>
    </row>
    <row r="5">
      <c r="A5" s="56" t="inlineStr">
        <is>
          <t>Fecha:</t>
        </is>
      </c>
      <c r="B5" s="4" t="inlineStr">
        <is>
          <t>06/11/2025</t>
        </is>
      </c>
    </row>
    <row r="6">
      <c r="A6" s="56" t="inlineStr">
        <is>
          <t>Responsable:</t>
        </is>
      </c>
      <c r="B6" s="4" t="inlineStr">
        <is>
          <t>CISO</t>
        </is>
      </c>
    </row>
    <row r="9" ht="15.75" customHeight="1" s="127">
      <c r="A9" s="206" t="inlineStr">
        <is>
          <t>CONTROLES DEL ANEXO A</t>
        </is>
      </c>
    </row>
    <row r="11" ht="35.1" customHeight="1" s="127">
      <c r="A11" s="57" t="inlineStr">
        <is>
          <t>ID</t>
        </is>
      </c>
      <c r="B11" s="57" t="inlineStr">
        <is>
          <t>Control</t>
        </is>
      </c>
      <c r="C11" s="57" t="inlineStr">
        <is>
          <t>Descripción</t>
        </is>
      </c>
      <c r="D11" s="57" t="inlineStr">
        <is>
          <t>¿Aplicable?</t>
        </is>
      </c>
      <c r="E11" s="57" t="inlineStr">
        <is>
          <t>Justificación</t>
        </is>
      </c>
      <c r="F11" s="57" t="inlineStr">
        <is>
          <t>¿Implementado?</t>
        </is>
      </c>
      <c r="G11" s="57" t="inlineStr">
        <is>
          <t>Método Implementación</t>
        </is>
      </c>
      <c r="H11" s="57" t="inlineStr">
        <is>
          <t>Responsable</t>
        </is>
      </c>
      <c r="I11" s="57" t="inlineStr">
        <is>
          <t>Referencia</t>
        </is>
      </c>
    </row>
    <row r="12" ht="30" customHeight="1" s="127">
      <c r="A12" s="20" t="inlineStr">
        <is>
          <t>A.5.1</t>
        </is>
      </c>
      <c r="B12" s="47" t="inlineStr">
        <is>
          <t>Políticas de seguridad</t>
        </is>
      </c>
      <c r="C12" s="47" t="inlineStr">
        <is>
          <t>Políticas para la seguridad de la información</t>
        </is>
      </c>
      <c r="D12" s="58" t="inlineStr">
        <is>
          <t>Sí</t>
        </is>
      </c>
      <c r="E12" s="47" t="inlineStr">
        <is>
          <t>Requerido por normativa y negocio</t>
        </is>
      </c>
      <c r="F12" s="54" t="inlineStr">
        <is>
          <t>Sí</t>
        </is>
      </c>
      <c r="G12" s="47" t="inlineStr">
        <is>
          <t>Política documentada y aprobada</t>
        </is>
      </c>
      <c r="H12" s="47" t="inlineStr">
        <is>
          <t>CISO</t>
        </is>
      </c>
      <c r="I12" s="47" t="inlineStr">
        <is>
          <t>POL-SGSI-001</t>
        </is>
      </c>
    </row>
    <row r="13">
      <c r="A13" s="20" t="inlineStr">
        <is>
          <t>A.5.2</t>
        </is>
      </c>
      <c r="B13" s="47" t="inlineStr">
        <is>
          <t>Roles de seguridad</t>
        </is>
      </c>
      <c r="C13" s="47" t="inlineStr">
        <is>
          <t>Asignación de responsabilidades</t>
        </is>
      </c>
      <c r="D13" s="58" t="inlineStr">
        <is>
          <t>Sí</t>
        </is>
      </c>
      <c r="E13" s="47" t="inlineStr">
        <is>
          <t>Necesario para gestión del SGSI</t>
        </is>
      </c>
      <c r="F13" s="54" t="inlineStr">
        <is>
          <t>Sí</t>
        </is>
      </c>
      <c r="G13" s="47" t="inlineStr">
        <is>
          <t>Matriz RACI + Descripciones</t>
        </is>
      </c>
      <c r="H13" s="47" t="inlineStr">
        <is>
          <t>RRHH</t>
        </is>
      </c>
      <c r="I13" s="47" t="inlineStr">
        <is>
          <t>DOC-ROLES-001</t>
        </is>
      </c>
    </row>
    <row r="14">
      <c r="A14" s="20" t="inlineStr">
        <is>
          <t>A.5.10</t>
        </is>
      </c>
      <c r="B14" s="47" t="inlineStr">
        <is>
          <t>Uso aceptable</t>
        </is>
      </c>
      <c r="C14" s="47" t="inlineStr">
        <is>
          <t>Políticas de uso aceptable</t>
        </is>
      </c>
      <c r="D14" s="58" t="inlineStr">
        <is>
          <t>Sí</t>
        </is>
      </c>
      <c r="E14" s="47" t="inlineStr">
        <is>
          <t>Protección de activos de información</t>
        </is>
      </c>
      <c r="F14" s="54" t="inlineStr">
        <is>
          <t>Sí</t>
        </is>
      </c>
      <c r="G14" s="47" t="inlineStr">
        <is>
          <t>Política AUP comunicada</t>
        </is>
      </c>
      <c r="H14" s="47" t="inlineStr">
        <is>
          <t>CISO</t>
        </is>
      </c>
      <c r="I14" s="47" t="inlineStr">
        <is>
          <t>POL-AUP-001</t>
        </is>
      </c>
    </row>
    <row r="55">
      <c r="A55" s="207" t="inlineStr">
        <is>
          <t>RESUMEN DE APLICABILIDAD</t>
        </is>
      </c>
    </row>
    <row r="57" ht="15.75" customHeight="1" s="127">
      <c r="A57" s="59" t="inlineStr">
        <is>
          <t>Total controles Anexo A:</t>
        </is>
      </c>
      <c r="B57" s="60" t="inlineStr">
        <is>
          <t>93</t>
        </is>
      </c>
    </row>
    <row r="58" ht="15.75" customHeight="1" s="127">
      <c r="A58" s="59" t="inlineStr">
        <is>
          <t>Controles aplicables:</t>
        </is>
      </c>
      <c r="B58" s="60" t="inlineStr">
        <is>
          <t>0</t>
        </is>
      </c>
    </row>
    <row r="59" ht="15.75" customHeight="1" s="127">
      <c r="A59" s="59" t="inlineStr">
        <is>
          <t>Controles no aplicables:</t>
        </is>
      </c>
      <c r="B59" s="60" t="inlineStr">
        <is>
          <t>0</t>
        </is>
      </c>
    </row>
    <row r="60" ht="15.75" customHeight="1" s="127">
      <c r="A60" s="59" t="inlineStr">
        <is>
          <t>Controles implementados:</t>
        </is>
      </c>
      <c r="B60" s="60" t="inlineStr">
        <is>
          <t>0</t>
        </is>
      </c>
    </row>
    <row r="61" ht="15.75" customHeight="1" s="127">
      <c r="A61" s="59" t="inlineStr">
        <is>
          <t>Porcentaje implementación:</t>
        </is>
      </c>
      <c r="B61" s="60" t="inlineStr">
        <is>
          <t>0%</t>
        </is>
      </c>
    </row>
  </sheetData>
  <mergeCells count="3">
    <mergeCell ref="A1:I1"/>
    <mergeCell ref="A9:I9"/>
    <mergeCell ref="A55:D55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>
  <sheetPr codeName="Hoja32">
    <tabColor rgb="FFE74C3C"/>
    <outlinePr summaryBelow="1" summaryRight="1"/>
    <pageSetUpPr/>
  </sheetPr>
  <dimension ref="A1:G54"/>
  <sheetViews>
    <sheetView showGridLines="0" workbookViewId="0">
      <selection activeCell="A1" sqref="A1"/>
    </sheetView>
  </sheetViews>
  <sheetFormatPr baseColWidth="10" defaultColWidth="9.140625" defaultRowHeight="15"/>
  <cols>
    <col width="10" customWidth="1" style="127" min="1" max="1"/>
    <col width="20" customWidth="1" style="127" min="2" max="2"/>
    <col width="45" customWidth="1" style="127" min="3" max="3"/>
    <col width="12" customWidth="1" style="127" min="4" max="4"/>
    <col width="15" customWidth="1" style="127" min="5" max="5"/>
    <col width="12" customWidth="1" style="127" min="6" max="6"/>
    <col width="15" customWidth="1" style="127" min="7" max="7"/>
  </cols>
  <sheetData>
    <row r="1" ht="24.95" customHeight="1" s="127">
      <c r="A1" s="171" t="inlineStr">
        <is>
          <t>INVENTARIO DE AMENAZAS</t>
        </is>
      </c>
    </row>
    <row r="3">
      <c r="A3" s="201" t="inlineStr">
        <is>
          <t>⚠️ Catálogo de amenazas potenciales a la seguridad de la información</t>
        </is>
      </c>
    </row>
    <row r="5" ht="30" customHeight="1" s="127">
      <c r="A5" s="61" t="inlineStr">
        <is>
          <t>ID</t>
        </is>
      </c>
      <c r="B5" s="61" t="inlineStr">
        <is>
          <t>Amenaza</t>
        </is>
      </c>
      <c r="C5" s="61" t="inlineStr">
        <is>
          <t>Descripción</t>
        </is>
      </c>
      <c r="D5" s="61" t="inlineStr">
        <is>
          <t>Tipo</t>
        </is>
      </c>
      <c r="E5" s="61" t="inlineStr">
        <is>
          <t>Origen</t>
        </is>
      </c>
      <c r="F5" s="61" t="inlineStr">
        <is>
          <t>Nivel</t>
        </is>
      </c>
      <c r="G5" s="61" t="inlineStr">
        <is>
          <t>MITRE ATT&amp;CK</t>
        </is>
      </c>
    </row>
    <row r="6" ht="30" customHeight="1" s="127">
      <c r="A6" s="20" t="inlineStr">
        <is>
          <t>AM-001</t>
        </is>
      </c>
      <c r="B6" s="47" t="inlineStr">
        <is>
          <t>Malware</t>
        </is>
      </c>
      <c r="C6" s="47" t="inlineStr">
        <is>
          <t>Software malicioso (virus, ransomware, troyanos)</t>
        </is>
      </c>
      <c r="D6" s="20" t="inlineStr">
        <is>
          <t>Técnica</t>
        </is>
      </c>
      <c r="E6" s="20" t="inlineStr">
        <is>
          <t>Externo</t>
        </is>
      </c>
      <c r="F6" s="21" t="inlineStr">
        <is>
          <t>Alto</t>
        </is>
      </c>
      <c r="G6" s="20" t="inlineStr">
        <is>
          <t>T1486</t>
        </is>
      </c>
    </row>
    <row r="7">
      <c r="A7" s="20" t="inlineStr">
        <is>
          <t>AM-002</t>
        </is>
      </c>
      <c r="B7" s="47" t="inlineStr">
        <is>
          <t>Phishing</t>
        </is>
      </c>
      <c r="C7" s="47" t="inlineStr">
        <is>
          <t>Correos fraudulentos para robar credenciales</t>
        </is>
      </c>
      <c r="D7" s="20" t="inlineStr">
        <is>
          <t>Técnica</t>
        </is>
      </c>
      <c r="E7" s="20" t="inlineStr">
        <is>
          <t>Externo</t>
        </is>
      </c>
      <c r="F7" s="21" t="inlineStr">
        <is>
          <t>Alto</t>
        </is>
      </c>
      <c r="G7" s="20" t="inlineStr">
        <is>
          <t>T1566</t>
        </is>
      </c>
    </row>
    <row r="8">
      <c r="A8" s="20" t="inlineStr">
        <is>
          <t>AM-003</t>
        </is>
      </c>
      <c r="B8" s="47" t="inlineStr">
        <is>
          <t>DDoS</t>
        </is>
      </c>
      <c r="C8" s="47" t="inlineStr">
        <is>
          <t>Ataque de denegación de servicio distribuido</t>
        </is>
      </c>
      <c r="D8" s="20" t="inlineStr">
        <is>
          <t>Técnica</t>
        </is>
      </c>
      <c r="E8" s="20" t="inlineStr">
        <is>
          <t>Externo</t>
        </is>
      </c>
      <c r="F8" s="22" t="inlineStr">
        <is>
          <t>Medio</t>
        </is>
      </c>
      <c r="G8" s="20" t="inlineStr">
        <is>
          <t>T1498</t>
        </is>
      </c>
    </row>
    <row r="9" ht="30" customHeight="1" s="127">
      <c r="A9" s="20" t="inlineStr">
        <is>
          <t>AM-004</t>
        </is>
      </c>
      <c r="B9" s="47" t="inlineStr">
        <is>
          <t>Acceso no autorizado</t>
        </is>
      </c>
      <c r="C9" s="47" t="inlineStr">
        <is>
          <t>Intrusión por credenciales comprometidas</t>
        </is>
      </c>
      <c r="D9" s="20" t="inlineStr">
        <is>
          <t>Técnica</t>
        </is>
      </c>
      <c r="E9" s="20" t="inlineStr">
        <is>
          <t>Externo/Interno</t>
        </is>
      </c>
      <c r="F9" s="62" t="inlineStr">
        <is>
          <t>Crítico</t>
        </is>
      </c>
      <c r="G9" s="20" t="inlineStr">
        <is>
          <t>T1078</t>
        </is>
      </c>
    </row>
    <row r="10">
      <c r="A10" s="20" t="inlineStr">
        <is>
          <t>AM-005</t>
        </is>
      </c>
      <c r="B10" s="47" t="inlineStr">
        <is>
          <t>Fuga de información</t>
        </is>
      </c>
      <c r="C10" s="47" t="inlineStr">
        <is>
          <t>Divulgación no autorizada de datos sensibles</t>
        </is>
      </c>
      <c r="D10" s="20" t="inlineStr">
        <is>
          <t>Humana</t>
        </is>
      </c>
      <c r="E10" s="20" t="inlineStr">
        <is>
          <t>Interno</t>
        </is>
      </c>
      <c r="F10" s="21" t="inlineStr">
        <is>
          <t>Alto</t>
        </is>
      </c>
      <c r="G10" s="20" t="inlineStr">
        <is>
          <t>T1567</t>
        </is>
      </c>
    </row>
    <row r="11">
      <c r="A11" s="20" t="inlineStr">
        <is>
          <t>AM-006</t>
        </is>
      </c>
      <c r="B11" s="47" t="inlineStr">
        <is>
          <t>Fallo eléctrico</t>
        </is>
      </c>
      <c r="C11" s="47" t="inlineStr">
        <is>
          <t>Corte de suministro eléctrico</t>
        </is>
      </c>
      <c r="D11" s="20" t="inlineStr">
        <is>
          <t>Natural</t>
        </is>
      </c>
      <c r="E11" s="20" t="inlineStr">
        <is>
          <t>Ambiental</t>
        </is>
      </c>
      <c r="F11" s="22" t="inlineStr">
        <is>
          <t>Medio</t>
        </is>
      </c>
      <c r="G11" s="20" t="inlineStr">
        <is>
          <t>N/A</t>
        </is>
      </c>
    </row>
    <row r="12">
      <c r="A12" s="20" t="inlineStr">
        <is>
          <t>AM-007</t>
        </is>
      </c>
      <c r="B12" s="47" t="inlineStr">
        <is>
          <t>Incendio</t>
        </is>
      </c>
      <c r="C12" s="47" t="inlineStr">
        <is>
          <t>Fuego en instalaciones</t>
        </is>
      </c>
      <c r="D12" s="20" t="inlineStr">
        <is>
          <t>Natural</t>
        </is>
      </c>
      <c r="E12" s="20" t="inlineStr">
        <is>
          <t>Ambiental</t>
        </is>
      </c>
      <c r="F12" s="21" t="inlineStr">
        <is>
          <t>Alto</t>
        </is>
      </c>
      <c r="G12" s="20" t="inlineStr">
        <is>
          <t>N/A</t>
        </is>
      </c>
    </row>
    <row r="13">
      <c r="A13" s="20" t="inlineStr">
        <is>
          <t>AM-008</t>
        </is>
      </c>
      <c r="B13" s="47" t="inlineStr">
        <is>
          <t>Error humano</t>
        </is>
      </c>
      <c r="C13" s="47" t="inlineStr">
        <is>
          <t>Eliminación o modificación accidental de datos</t>
        </is>
      </c>
      <c r="D13" s="20" t="inlineStr">
        <is>
          <t>Humana</t>
        </is>
      </c>
      <c r="E13" s="20" t="inlineStr">
        <is>
          <t>Interno</t>
        </is>
      </c>
      <c r="F13" s="22" t="inlineStr">
        <is>
          <t>Medio</t>
        </is>
      </c>
      <c r="G13" s="20" t="inlineStr">
        <is>
          <t>N/A</t>
        </is>
      </c>
    </row>
    <row r="50">
      <c r="A50" s="209" t="inlineStr">
        <is>
          <t>TIPOS DE AMENAZAS</t>
        </is>
      </c>
    </row>
    <row r="52">
      <c r="A52" s="63" t="inlineStr">
        <is>
          <t>Técnica</t>
        </is>
      </c>
      <c r="B52" s="208" t="inlineStr">
        <is>
          <t>Ataques cibernéticos, exploits, malware</t>
        </is>
      </c>
      <c r="C52" s="182" t="n"/>
      <c r="D52" s="183" t="n"/>
    </row>
    <row r="53">
      <c r="A53" s="63" t="inlineStr">
        <is>
          <t>Humana</t>
        </is>
      </c>
      <c r="B53" s="208" t="inlineStr">
        <is>
          <t>Errores, negligencia, acciones maliciosas internas</t>
        </is>
      </c>
      <c r="C53" s="182" t="n"/>
      <c r="D53" s="183" t="n"/>
    </row>
    <row r="54">
      <c r="A54" s="63" t="inlineStr">
        <is>
          <t>Natural</t>
        </is>
      </c>
      <c r="B54" s="208" t="inlineStr">
        <is>
          <t>Desastres naturales, fallos ambientales</t>
        </is>
      </c>
      <c r="C54" s="182" t="n"/>
      <c r="D54" s="183" t="n"/>
    </row>
  </sheetData>
  <mergeCells count="6">
    <mergeCell ref="A1:G1"/>
    <mergeCell ref="A3:G3"/>
    <mergeCell ref="B52:D52"/>
    <mergeCell ref="B53:D53"/>
    <mergeCell ref="A50:C50"/>
    <mergeCell ref="B54:D54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>
  <sheetPr codeName="Hoja33">
    <tabColor rgb="FFFD6A02"/>
    <outlinePr summaryBelow="1" summaryRight="1"/>
    <pageSetUpPr/>
  </sheetPr>
  <dimension ref="A1:L5"/>
  <sheetViews>
    <sheetView showGridLines="0" workbookViewId="0">
      <selection activeCell="A1" sqref="A1"/>
    </sheetView>
  </sheetViews>
  <sheetFormatPr baseColWidth="10" defaultColWidth="9.140625" defaultRowHeight="15"/>
  <cols>
    <col width="12" customWidth="1" style="127" min="1" max="1"/>
    <col width="20" customWidth="1" style="127" min="2" max="2"/>
    <col width="35" customWidth="1" style="127" min="3" max="3"/>
    <col width="18" customWidth="1" style="127" min="4" max="4"/>
    <col width="15" customWidth="1" style="127" min="5" max="5"/>
    <col width="12" customWidth="1" style="127" min="6" max="10"/>
    <col width="15" customWidth="1" style="127" min="11" max="11"/>
    <col width="30" customWidth="1" style="127" min="12" max="12"/>
  </cols>
  <sheetData>
    <row r="1" ht="24.95" customHeight="1" s="127">
      <c r="A1" s="210" t="inlineStr">
        <is>
          <t>INVENTARIO DE VULNERABILIDADES</t>
        </is>
      </c>
    </row>
    <row r="3" ht="30" customHeight="1" s="127">
      <c r="A3" s="64" t="inlineStr">
        <is>
          <t>ID Vuln.</t>
        </is>
      </c>
      <c r="B3" s="64" t="inlineStr">
        <is>
          <t>Nombre</t>
        </is>
      </c>
      <c r="C3" s="64" t="inlineStr">
        <is>
          <t>Descripción</t>
        </is>
      </c>
      <c r="D3" s="64" t="inlineStr">
        <is>
          <t>Activo Afectado</t>
        </is>
      </c>
      <c r="E3" s="64" t="inlineStr">
        <is>
          <t>Tipo</t>
        </is>
      </c>
      <c r="F3" s="64" t="inlineStr">
        <is>
          <t>Severidad</t>
        </is>
      </c>
      <c r="G3" s="64" t="inlineStr">
        <is>
          <t>CVE/CWE</t>
        </is>
      </c>
      <c r="H3" s="64" t="inlineStr">
        <is>
          <t>Estado</t>
        </is>
      </c>
      <c r="I3" s="64" t="inlineStr">
        <is>
          <t>Fecha Detección</t>
        </is>
      </c>
      <c r="J3" s="64" t="inlineStr">
        <is>
          <t>Fecha Resolución</t>
        </is>
      </c>
      <c r="K3" s="64" t="inlineStr">
        <is>
          <t>Responsable</t>
        </is>
      </c>
      <c r="L3" s="64" t="inlineStr">
        <is>
          <t>Acción Correctiva</t>
        </is>
      </c>
    </row>
    <row r="4" ht="30" customHeight="1" s="127">
      <c r="A4" s="20" t="inlineStr">
        <is>
          <t>VULN-001</t>
        </is>
      </c>
      <c r="B4" s="47" t="inlineStr">
        <is>
          <t>SQL Injection</t>
        </is>
      </c>
      <c r="C4" s="47" t="inlineStr">
        <is>
          <t>Vulnerabilidad de inyección SQL en formulario</t>
        </is>
      </c>
      <c r="D4" s="47" t="inlineStr">
        <is>
          <t>App Web</t>
        </is>
      </c>
      <c r="E4" s="20" t="inlineStr">
        <is>
          <t>Técnica</t>
        </is>
      </c>
      <c r="F4" s="62" t="inlineStr">
        <is>
          <t>Crítica</t>
        </is>
      </c>
      <c r="G4" s="47" t="inlineStr">
        <is>
          <t>CWE-89</t>
        </is>
      </c>
      <c r="H4" s="20" t="inlineStr">
        <is>
          <t>Pendiente</t>
        </is>
      </c>
      <c r="I4" s="47" t="inlineStr">
        <is>
          <t>01/11/2025</t>
        </is>
      </c>
      <c r="J4" s="47" t="n"/>
      <c r="K4" s="47" t="inlineStr">
        <is>
          <t>Dev Team</t>
        </is>
      </c>
      <c r="L4" s="47" t="inlineStr">
        <is>
          <t>Parametrización de consultas</t>
        </is>
      </c>
    </row>
    <row r="5">
      <c r="A5" s="20" t="inlineStr">
        <is>
          <t>VULN-002</t>
        </is>
      </c>
      <c r="B5" s="47" t="inlineStr">
        <is>
          <t>Contraseñas débiles</t>
        </is>
      </c>
      <c r="C5" s="47" t="inlineStr">
        <is>
          <t>Política de contraseñas no reforzada</t>
        </is>
      </c>
      <c r="D5" s="47" t="inlineStr">
        <is>
          <t>Active Directory</t>
        </is>
      </c>
      <c r="E5" s="20" t="inlineStr">
        <is>
          <t>Configuración</t>
        </is>
      </c>
      <c r="F5" s="21" t="inlineStr">
        <is>
          <t>Alta</t>
        </is>
      </c>
      <c r="G5" s="47" t="inlineStr">
        <is>
          <t>CWE-521</t>
        </is>
      </c>
      <c r="H5" s="20" t="inlineStr">
        <is>
          <t>En Revisión</t>
        </is>
      </c>
      <c r="I5" s="47" t="inlineStr">
        <is>
          <t>28/10/2025</t>
        </is>
      </c>
      <c r="J5" s="47" t="n"/>
      <c r="K5" s="47" t="inlineStr">
        <is>
          <t>Admin TI</t>
        </is>
      </c>
      <c r="L5" s="47" t="inlineStr">
        <is>
          <t>Implementar política GPO</t>
        </is>
      </c>
    </row>
  </sheetData>
  <mergeCells count="1">
    <mergeCell ref="A1:L1"/>
  </mergeCells>
  <dataValidations count="2">
    <dataValidation sqref="F4:F1000" showDropDown="0" showInputMessage="0" showErrorMessage="0" allowBlank="0" type="list">
      <formula1>"Crítica,Alta,Media,Baja"</formula1>
    </dataValidation>
    <dataValidation sqref="H4:H1000" showDropDown="0" showInputMessage="0" showErrorMessage="0" allowBlank="0" type="list">
      <formula1>"Abierto,En Proceso,Completado,Cerrado,Cancelado"</formula1>
    </dataValidation>
  </dataValidations>
  <pageMargins left="0.75" right="0.75" top="1" bottom="1" header="0.5" footer="0.5"/>
</worksheet>
</file>

<file path=xl/worksheets/sheet34.xml><?xml version="1.0" encoding="utf-8"?>
<worksheet xmlns="http://schemas.openxmlformats.org/spreadsheetml/2006/main">
  <sheetPr codeName="Hoja34">
    <tabColor rgb="FFC00000"/>
    <outlinePr summaryBelow="1" summaryRight="1"/>
    <pageSetUpPr/>
  </sheetPr>
  <dimension ref="A1:O4"/>
  <sheetViews>
    <sheetView showGridLines="0" workbookViewId="0">
      <selection activeCell="A1" sqref="A1"/>
    </sheetView>
  </sheetViews>
  <sheetFormatPr baseColWidth="10" defaultColWidth="9.140625" defaultRowHeight="15"/>
  <cols>
    <col width="14" customWidth="1" style="127" min="1" max="2"/>
    <col width="20" customWidth="1" style="127" min="3" max="3"/>
    <col width="30" customWidth="1" style="127" min="4" max="4"/>
    <col width="12" customWidth="1" style="127" min="5" max="5"/>
    <col width="10" customWidth="1" style="127" min="6" max="6"/>
    <col width="18" customWidth="1" style="127" min="7" max="7"/>
    <col width="15" customWidth="1" style="127" min="8" max="8"/>
    <col width="10" customWidth="1" style="127" min="9" max="9"/>
    <col width="15" customWidth="1" style="127" min="10" max="10"/>
    <col width="12" customWidth="1" style="127" min="11" max="11"/>
    <col width="10" customWidth="1" style="127" min="12" max="12"/>
    <col width="20" customWidth="1" style="127" min="13" max="13"/>
    <col width="30" customWidth="1" style="127" min="14" max="15"/>
  </cols>
  <sheetData>
    <row r="1" ht="24.95" customHeight="1" s="127">
      <c r="A1" s="192" t="inlineStr">
        <is>
          <t>GESTIÓN DE INCIDENTES DE SEGURIDAD</t>
        </is>
      </c>
    </row>
    <row r="3" ht="35.1" customHeight="1" s="127">
      <c r="A3" s="65" t="inlineStr">
        <is>
          <t>ID Incidente</t>
        </is>
      </c>
      <c r="B3" s="65" t="inlineStr">
        <is>
          <t>Fecha/Hora</t>
        </is>
      </c>
      <c r="C3" s="65" t="inlineStr">
        <is>
          <t>Título</t>
        </is>
      </c>
      <c r="D3" s="65" t="inlineStr">
        <is>
          <t>Descripción</t>
        </is>
      </c>
      <c r="E3" s="65" t="inlineStr">
        <is>
          <t>Tipo</t>
        </is>
      </c>
      <c r="F3" s="65" t="inlineStr">
        <is>
          <t>Severidad</t>
        </is>
      </c>
      <c r="G3" s="65" t="inlineStr">
        <is>
          <t>Activos Afectados</t>
        </is>
      </c>
      <c r="H3" s="65" t="inlineStr">
        <is>
          <t>Detectado Por</t>
        </is>
      </c>
      <c r="I3" s="65" t="inlineStr">
        <is>
          <t>Estado</t>
        </is>
      </c>
      <c r="J3" s="65" t="inlineStr">
        <is>
          <t>Asignado A</t>
        </is>
      </c>
      <c r="K3" s="65" t="inlineStr">
        <is>
          <t>Fecha Resolución</t>
        </is>
      </c>
      <c r="L3" s="65" t="inlineStr">
        <is>
          <t>Tiempo Resolución</t>
        </is>
      </c>
      <c r="M3" s="65" t="inlineStr">
        <is>
          <t>Causa Raíz</t>
        </is>
      </c>
      <c r="N3" s="65" t="inlineStr">
        <is>
          <t>Acciones Tomadas</t>
        </is>
      </c>
      <c r="O3" s="65" t="inlineStr">
        <is>
          <t>Lecciones Aprendidas</t>
        </is>
      </c>
    </row>
    <row r="4" ht="30" customHeight="1" s="127">
      <c r="A4" s="20" t="inlineStr">
        <is>
          <t>INC-2025-001</t>
        </is>
      </c>
      <c r="B4" s="47" t="inlineStr">
        <is>
          <t>05/11/2025 14:30</t>
        </is>
      </c>
      <c r="C4" s="47" t="inlineStr">
        <is>
          <t>Intento de phishing</t>
        </is>
      </c>
      <c r="D4" s="47" t="inlineStr">
        <is>
          <t>Email sospechoso reportado por usuario</t>
        </is>
      </c>
      <c r="E4" s="20" t="inlineStr">
        <is>
          <t>Phishing</t>
        </is>
      </c>
      <c r="F4" s="20" t="inlineStr">
        <is>
          <t>Media</t>
        </is>
      </c>
      <c r="G4" s="47" t="inlineStr">
        <is>
          <t>Correo electrónico</t>
        </is>
      </c>
      <c r="H4" s="47" t="inlineStr">
        <is>
          <t>Usuario RRHH</t>
        </is>
      </c>
      <c r="I4" s="54" t="inlineStr">
        <is>
          <t>Cerrado</t>
        </is>
      </c>
      <c r="J4" s="47" t="inlineStr">
        <is>
          <t>Equipo Seguridad</t>
        </is>
      </c>
      <c r="K4" s="47" t="inlineStr">
        <is>
          <t>05/11/2025 16:00</t>
        </is>
      </c>
      <c r="L4" s="47" t="inlineStr">
        <is>
          <t>1.5 horas</t>
        </is>
      </c>
      <c r="M4" s="47" t="inlineStr">
        <is>
          <t>Campaña externa</t>
        </is>
      </c>
      <c r="N4" s="47" t="inlineStr">
        <is>
          <t>Bloqueado remitente, formación usuario</t>
        </is>
      </c>
      <c r="O4" s="47" t="inlineStr">
        <is>
          <t>Reforzar formación anti-phishing</t>
        </is>
      </c>
    </row>
  </sheetData>
  <mergeCells count="1">
    <mergeCell ref="A1:O1"/>
  </mergeCells>
  <dataValidations count="3">
    <dataValidation sqref="E4:E1000" showDropDown="0" showInputMessage="0" showErrorMessage="0" allowBlank="0" type="list">
      <formula1>"Malware,Phishing,Acceso no autorizado,Pérdida de datos,Denegación de servicio,Otro"</formula1>
    </dataValidation>
    <dataValidation sqref="F4:F1000" showDropDown="0" showInputMessage="0" showErrorMessage="0" allowBlank="0" type="list">
      <formula1>"Crítica,Alta,Media,Baja"</formula1>
    </dataValidation>
    <dataValidation sqref="I4:I1000" showDropDown="0" showInputMessage="0" showErrorMessage="0" allowBlank="0" type="list">
      <formula1>"Nuevo,En Investigación,En Proceso,Resuelto,Cerrado"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>
  <sheetPr codeName="Hoja35">
    <tabColor rgb="FF1F4E78"/>
    <outlinePr summaryBelow="1" summaryRight="1"/>
    <pageSetUpPr/>
  </sheetPr>
  <dimension ref="A1:J8"/>
  <sheetViews>
    <sheetView showGridLines="0" workbookViewId="0">
      <selection activeCell="A1" sqref="A1"/>
    </sheetView>
  </sheetViews>
  <sheetFormatPr baseColWidth="10" defaultColWidth="9.140625" defaultRowHeight="15"/>
  <cols>
    <col width="14" customWidth="1" style="127" min="1" max="1"/>
    <col width="28" customWidth="1" style="127" min="2" max="2"/>
    <col width="35" customWidth="1" style="127" min="3" max="3"/>
    <col width="8" customWidth="1" style="127" min="4" max="4"/>
    <col width="12" customWidth="1" style="127" min="5" max="7"/>
    <col width="10" customWidth="1" style="127" min="8" max="8"/>
    <col width="20" customWidth="1" style="127" min="9" max="9"/>
    <col width="12" customWidth="1" style="127" min="10" max="10"/>
  </cols>
  <sheetData>
    <row r="1" ht="24.95" customHeight="1" s="127">
      <c r="A1" s="211" t="inlineStr">
        <is>
          <t>POLÍTICAS DE SEGURIDAD DE LA INFORMACIÓN</t>
        </is>
      </c>
    </row>
    <row r="3" ht="30" customHeight="1" s="127">
      <c r="A3" s="66" t="inlineStr">
        <is>
          <t>Código</t>
        </is>
      </c>
      <c r="B3" s="66" t="inlineStr">
        <is>
          <t>Título Política</t>
        </is>
      </c>
      <c r="C3" s="66" t="inlineStr">
        <is>
          <t>Descripción</t>
        </is>
      </c>
      <c r="D3" s="66" t="inlineStr">
        <is>
          <t>Versión</t>
        </is>
      </c>
      <c r="E3" s="66" t="inlineStr">
        <is>
          <t>Fecha Aprobación</t>
        </is>
      </c>
      <c r="F3" s="66" t="inlineStr">
        <is>
          <t>Aprobado Por</t>
        </is>
      </c>
      <c r="G3" s="66" t="inlineStr">
        <is>
          <t>Próxima Revisión</t>
        </is>
      </c>
      <c r="H3" s="66" t="inlineStr">
        <is>
          <t>Estado</t>
        </is>
      </c>
      <c r="I3" s="66" t="inlineStr">
        <is>
          <t>Ubicación Documento</t>
        </is>
      </c>
      <c r="J3" s="66" t="inlineStr">
        <is>
          <t>Control ISO</t>
        </is>
      </c>
    </row>
    <row r="4">
      <c r="A4" s="20" t="inlineStr">
        <is>
          <t>POL-SGSI-001</t>
        </is>
      </c>
      <c r="B4" s="47" t="inlineStr">
        <is>
          <t>Política General de Seguridad</t>
        </is>
      </c>
      <c r="C4" s="47" t="inlineStr">
        <is>
          <t>Política marco del SGSI</t>
        </is>
      </c>
      <c r="D4" s="20" t="inlineStr">
        <is>
          <t>2.0</t>
        </is>
      </c>
      <c r="E4" s="47" t="inlineStr">
        <is>
          <t>01/01/2025</t>
        </is>
      </c>
      <c r="F4" s="47" t="inlineStr">
        <is>
          <t>CEO</t>
        </is>
      </c>
      <c r="G4" s="47" t="inlineStr">
        <is>
          <t>01/01/2026</t>
        </is>
      </c>
      <c r="H4" s="54" t="inlineStr">
        <is>
          <t>Vigente</t>
        </is>
      </c>
      <c r="I4" s="47" t="inlineStr">
        <is>
          <t>SharePoint/Políticas</t>
        </is>
      </c>
      <c r="J4" s="20" t="inlineStr">
        <is>
          <t>A.5.1</t>
        </is>
      </c>
    </row>
    <row r="5">
      <c r="A5" s="20" t="inlineStr">
        <is>
          <t>POL-ACC-001</t>
        </is>
      </c>
      <c r="B5" s="47" t="inlineStr">
        <is>
          <t>Control de Acceso</t>
        </is>
      </c>
      <c r="C5" s="47" t="inlineStr">
        <is>
          <t>Gestión de accesos y privilegios</t>
        </is>
      </c>
      <c r="D5" s="20" t="inlineStr">
        <is>
          <t>1.5</t>
        </is>
      </c>
      <c r="E5" s="47" t="inlineStr">
        <is>
          <t>15/03/2025</t>
        </is>
      </c>
      <c r="F5" s="47" t="inlineStr">
        <is>
          <t>CISO</t>
        </is>
      </c>
      <c r="G5" s="47" t="inlineStr">
        <is>
          <t>15/03/2026</t>
        </is>
      </c>
      <c r="H5" s="54" t="inlineStr">
        <is>
          <t>Vigente</t>
        </is>
      </c>
      <c r="I5" s="47" t="inlineStr">
        <is>
          <t>SharePoint/Políticas</t>
        </is>
      </c>
      <c r="J5" s="20" t="inlineStr">
        <is>
          <t>A.5.15</t>
        </is>
      </c>
    </row>
    <row r="6">
      <c r="A6" s="20" t="inlineStr">
        <is>
          <t>POL-AUP-001</t>
        </is>
      </c>
      <c r="B6" s="47" t="inlineStr">
        <is>
          <t>Uso Aceptable</t>
        </is>
      </c>
      <c r="C6" s="47" t="inlineStr">
        <is>
          <t>Uso apropiado de recursos IT</t>
        </is>
      </c>
      <c r="D6" s="20" t="inlineStr">
        <is>
          <t>1.0</t>
        </is>
      </c>
      <c r="E6" s="47" t="inlineStr">
        <is>
          <t>20/02/2025</t>
        </is>
      </c>
      <c r="F6" s="47" t="inlineStr">
        <is>
          <t>CISO</t>
        </is>
      </c>
      <c r="G6" s="47" t="inlineStr">
        <is>
          <t>20/02/2026</t>
        </is>
      </c>
      <c r="H6" s="54" t="inlineStr">
        <is>
          <t>Vigente</t>
        </is>
      </c>
      <c r="I6" s="47" t="inlineStr">
        <is>
          <t>SharePoint/Políticas</t>
        </is>
      </c>
      <c r="J6" s="20" t="inlineStr">
        <is>
          <t>A.5.10</t>
        </is>
      </c>
    </row>
    <row r="7">
      <c r="A7" s="20" t="inlineStr">
        <is>
          <t>POL-CONT-001</t>
        </is>
      </c>
      <c r="B7" s="47" t="inlineStr">
        <is>
          <t>Continuidad de Negocio</t>
        </is>
      </c>
      <c r="C7" s="47" t="inlineStr">
        <is>
          <t>Gestión de continuidad</t>
        </is>
      </c>
      <c r="D7" s="20" t="inlineStr">
        <is>
          <t>1.0</t>
        </is>
      </c>
      <c r="E7" s="47" t="inlineStr">
        <is>
          <t>10/04/2025</t>
        </is>
      </c>
      <c r="F7" s="47" t="inlineStr">
        <is>
          <t>CEO</t>
        </is>
      </c>
      <c r="G7" s="47" t="inlineStr">
        <is>
          <t>10/04/2026</t>
        </is>
      </c>
      <c r="H7" s="54" t="inlineStr">
        <is>
          <t>Vigente</t>
        </is>
      </c>
      <c r="I7" s="47" t="inlineStr">
        <is>
          <t>SharePoint/Políticas</t>
        </is>
      </c>
      <c r="J7" s="20" t="inlineStr">
        <is>
          <t>A.5.29</t>
        </is>
      </c>
    </row>
    <row r="8">
      <c r="A8" s="20" t="inlineStr">
        <is>
          <t>POL-INC-001</t>
        </is>
      </c>
      <c r="B8" s="47" t="inlineStr">
        <is>
          <t>Gestión de Incidentes</t>
        </is>
      </c>
      <c r="C8" s="47" t="inlineStr">
        <is>
          <t>Respuesta a incidentes de seguridad</t>
        </is>
      </c>
      <c r="D8" s="20" t="inlineStr">
        <is>
          <t>1.2</t>
        </is>
      </c>
      <c r="E8" s="47" t="inlineStr">
        <is>
          <t>05/05/2025</t>
        </is>
      </c>
      <c r="F8" s="47" t="inlineStr">
        <is>
          <t>CISO</t>
        </is>
      </c>
      <c r="G8" s="47" t="inlineStr">
        <is>
          <t>05/05/2026</t>
        </is>
      </c>
      <c r="H8" s="54" t="inlineStr">
        <is>
          <t>Vigente</t>
        </is>
      </c>
      <c r="I8" s="47" t="inlineStr">
        <is>
          <t>SharePoint/Políticas</t>
        </is>
      </c>
      <c r="J8" s="20" t="inlineStr">
        <is>
          <t>A.5.24</t>
        </is>
      </c>
    </row>
  </sheetData>
  <mergeCells count="1">
    <mergeCell ref="A1:J1"/>
  </mergeCells>
  <dataValidations count="1">
    <dataValidation sqref="H4:H1000" showDropDown="0" showInputMessage="0" showErrorMessage="0" allowBlank="0" type="list">
      <formula1>"Vigente,En Revisión,Aprobada,Pendiente,Obsoleta"</formula1>
    </dataValidation>
  </dataValidations>
  <pageMargins left="0.75" right="0.75" top="1" bottom="1" header="0.5" footer="0.5"/>
</worksheet>
</file>

<file path=xl/worksheets/sheet36.xml><?xml version="1.0" encoding="utf-8"?>
<worksheet xmlns="http://schemas.openxmlformats.org/spreadsheetml/2006/main">
  <sheetPr codeName="Hoja36">
    <tabColor rgb="FF548235"/>
    <outlinePr summaryBelow="1" summaryRight="1"/>
    <pageSetUpPr/>
  </sheetPr>
  <dimension ref="A1:I8"/>
  <sheetViews>
    <sheetView showGridLines="0" workbookViewId="0">
      <selection activeCell="A1" sqref="A1"/>
    </sheetView>
  </sheetViews>
  <sheetFormatPr baseColWidth="10" defaultColWidth="9.140625" defaultRowHeight="15"/>
  <cols>
    <col width="14" customWidth="1" style="127" min="1" max="1"/>
    <col width="30" customWidth="1" style="127" min="2" max="2"/>
    <col width="35" customWidth="1" style="127" min="3" max="3"/>
    <col width="8" customWidth="1" style="127" min="4" max="4"/>
    <col width="12" customWidth="1" style="127" min="5" max="5"/>
    <col width="15" customWidth="1" style="127" min="6" max="6"/>
    <col width="10" customWidth="1" style="127" min="7" max="7"/>
    <col width="22" customWidth="1" style="127" min="8" max="8"/>
    <col width="15" customWidth="1" style="127" min="9" max="9"/>
  </cols>
  <sheetData>
    <row r="1" ht="24.95" customHeight="1" s="127">
      <c r="A1" s="155" t="inlineStr">
        <is>
          <t>PROCEDIMIENTOS DE SEGURIDAD</t>
        </is>
      </c>
    </row>
    <row r="3" ht="30" customHeight="1" s="127">
      <c r="A3" s="67" t="inlineStr">
        <is>
          <t>Código</t>
        </is>
      </c>
      <c r="B3" s="67" t="inlineStr">
        <is>
          <t>Título Procedimiento</t>
        </is>
      </c>
      <c r="C3" s="67" t="inlineStr">
        <is>
          <t>Descripción</t>
        </is>
      </c>
      <c r="D3" s="67" t="inlineStr">
        <is>
          <t>Versión</t>
        </is>
      </c>
      <c r="E3" s="67" t="inlineStr">
        <is>
          <t>Fecha Creación</t>
        </is>
      </c>
      <c r="F3" s="67" t="inlineStr">
        <is>
          <t>Responsable</t>
        </is>
      </c>
      <c r="G3" s="67" t="inlineStr">
        <is>
          <t>Estado</t>
        </is>
      </c>
      <c r="H3" s="67" t="inlineStr">
        <is>
          <t>Ubicación</t>
        </is>
      </c>
      <c r="I3" s="67" t="inlineStr">
        <is>
          <t>Relacionado Con</t>
        </is>
      </c>
    </row>
    <row r="4" ht="30" customHeight="1" s="127">
      <c r="A4" s="20" t="inlineStr">
        <is>
          <t>PROC-ACC-001</t>
        </is>
      </c>
      <c r="B4" s="47" t="inlineStr">
        <is>
          <t>Alta de Usuario</t>
        </is>
      </c>
      <c r="C4" s="47" t="inlineStr">
        <is>
          <t>Creación de cuentas de usuario</t>
        </is>
      </c>
      <c r="D4" s="20" t="inlineStr">
        <is>
          <t>1.0</t>
        </is>
      </c>
      <c r="E4" s="47" t="inlineStr">
        <is>
          <t>01/02/2025</t>
        </is>
      </c>
      <c r="F4" s="47" t="inlineStr">
        <is>
          <t>Admin TI</t>
        </is>
      </c>
      <c r="G4" s="54" t="inlineStr">
        <is>
          <t>Activo</t>
        </is>
      </c>
      <c r="H4" s="47" t="inlineStr">
        <is>
          <t>SharePoint/Procedimientos</t>
        </is>
      </c>
      <c r="I4" s="47" t="inlineStr">
        <is>
          <t>POL-ACC-001</t>
        </is>
      </c>
    </row>
    <row r="5" ht="30" customHeight="1" s="127">
      <c r="A5" s="20" t="inlineStr">
        <is>
          <t>PROC-ACC-002</t>
        </is>
      </c>
      <c r="B5" s="47" t="inlineStr">
        <is>
          <t>Baja de Usuario</t>
        </is>
      </c>
      <c r="C5" s="47" t="inlineStr">
        <is>
          <t>Eliminación de cuentas y accesos</t>
        </is>
      </c>
      <c r="D5" s="20" t="inlineStr">
        <is>
          <t>1.0</t>
        </is>
      </c>
      <c r="E5" s="47" t="inlineStr">
        <is>
          <t>01/02/2025</t>
        </is>
      </c>
      <c r="F5" s="47" t="inlineStr">
        <is>
          <t>Admin TI</t>
        </is>
      </c>
      <c r="G5" s="54" t="inlineStr">
        <is>
          <t>Activo</t>
        </is>
      </c>
      <c r="H5" s="47" t="inlineStr">
        <is>
          <t>SharePoint/Procedimientos</t>
        </is>
      </c>
      <c r="I5" s="47" t="inlineStr">
        <is>
          <t>POL-ACC-001</t>
        </is>
      </c>
    </row>
    <row r="6" ht="30" customHeight="1" s="127">
      <c r="A6" s="20" t="inlineStr">
        <is>
          <t>PROC-BACK-001</t>
        </is>
      </c>
      <c r="B6" s="47" t="inlineStr">
        <is>
          <t>Backup Diario</t>
        </is>
      </c>
      <c r="C6" s="47" t="inlineStr">
        <is>
          <t>Copias de seguridad automáticas</t>
        </is>
      </c>
      <c r="D6" s="20" t="inlineStr">
        <is>
          <t>2.0</t>
        </is>
      </c>
      <c r="E6" s="47" t="inlineStr">
        <is>
          <t>15/01/2025</t>
        </is>
      </c>
      <c r="F6" s="47" t="inlineStr">
        <is>
          <t>Admin Sistemas</t>
        </is>
      </c>
      <c r="G6" s="54" t="inlineStr">
        <is>
          <t>Activo</t>
        </is>
      </c>
      <c r="H6" s="47" t="inlineStr">
        <is>
          <t>SharePoint/Procedimientos</t>
        </is>
      </c>
      <c r="I6" s="47" t="inlineStr">
        <is>
          <t>POL-CONT-001</t>
        </is>
      </c>
    </row>
    <row r="7" ht="30" customHeight="1" s="127">
      <c r="A7" s="20" t="inlineStr">
        <is>
          <t>PROC-INC-001</t>
        </is>
      </c>
      <c r="B7" s="47" t="inlineStr">
        <is>
          <t>Respuesta a Incidentes</t>
        </is>
      </c>
      <c r="C7" s="47" t="inlineStr">
        <is>
          <t>Gestión y respuesta ante incidentes</t>
        </is>
      </c>
      <c r="D7" s="20" t="inlineStr">
        <is>
          <t>1.5</t>
        </is>
      </c>
      <c r="E7" s="47" t="inlineStr">
        <is>
          <t>20/03/2025</t>
        </is>
      </c>
      <c r="F7" s="47" t="inlineStr">
        <is>
          <t>CISO</t>
        </is>
      </c>
      <c r="G7" s="54" t="inlineStr">
        <is>
          <t>Activo</t>
        </is>
      </c>
      <c r="H7" s="47" t="inlineStr">
        <is>
          <t>SharePoint/Procedimientos</t>
        </is>
      </c>
      <c r="I7" s="47" t="inlineStr">
        <is>
          <t>POL-INC-001</t>
        </is>
      </c>
    </row>
    <row r="8" ht="30" customHeight="1" s="127">
      <c r="A8" s="20" t="inlineStr">
        <is>
          <t>PROC-PAR-001</t>
        </is>
      </c>
      <c r="B8" s="47" t="inlineStr">
        <is>
          <t>Instalación de Parches</t>
        </is>
      </c>
      <c r="C8" s="47" t="inlineStr">
        <is>
          <t>Actualización de sistemas</t>
        </is>
      </c>
      <c r="D8" s="20" t="inlineStr">
        <is>
          <t>1.0</t>
        </is>
      </c>
      <c r="E8" s="47" t="inlineStr">
        <is>
          <t>10/02/2025</t>
        </is>
      </c>
      <c r="F8" s="47" t="inlineStr">
        <is>
          <t>Admin Sistemas</t>
        </is>
      </c>
      <c r="G8" s="54" t="inlineStr">
        <is>
          <t>Activo</t>
        </is>
      </c>
      <c r="H8" s="47" t="inlineStr">
        <is>
          <t>SharePoint/Procedimientos</t>
        </is>
      </c>
      <c r="I8" s="47" t="inlineStr">
        <is>
          <t>POL-SGSI-001</t>
        </is>
      </c>
    </row>
  </sheetData>
  <mergeCells count="1">
    <mergeCell ref="A1:I1"/>
  </mergeCells>
  <dataValidations count="1">
    <dataValidation sqref="G4:G1000" showDropDown="0" showInputMessage="0" showErrorMessage="0" allowBlank="0" type="list">
      <formula1>"Vigente,En Revisión,Aprobado,Pendiente,Obsoleto"</formula1>
    </dataValidation>
  </dataValidations>
  <pageMargins left="0.75" right="0.75" top="1" bottom="1" header="0.5" footer="0.5"/>
</worksheet>
</file>

<file path=xl/worksheets/sheet37.xml><?xml version="1.0" encoding="utf-8"?>
<worksheet xmlns="http://schemas.openxmlformats.org/spreadsheetml/2006/main">
  <sheetPr codeName="Hoja37">
    <tabColor rgb="FF7030A0"/>
    <outlinePr summaryBelow="1" summaryRight="1"/>
    <pageSetUpPr/>
  </sheetPr>
  <dimension ref="A1:L6"/>
  <sheetViews>
    <sheetView showGridLines="0" workbookViewId="0">
      <selection activeCell="A1" sqref="A1:L1"/>
    </sheetView>
  </sheetViews>
  <sheetFormatPr baseColWidth="10" defaultColWidth="9.140625" defaultRowHeight="15"/>
  <cols>
    <col width="14" customWidth="1" style="127" min="1" max="1"/>
    <col width="12" customWidth="1" style="127" min="2" max="2"/>
    <col width="10" customWidth="1" style="127" min="3" max="3"/>
    <col width="22" customWidth="1" style="127" min="4" max="4"/>
    <col width="18" customWidth="1" style="127" min="5" max="5"/>
    <col width="12" customWidth="1" style="127" min="6" max="6"/>
    <col width="10" customWidth="1" style="127" min="7" max="7"/>
    <col width="12" customWidth="1" style="127" min="8" max="9"/>
    <col width="18" customWidth="1" style="127" min="10" max="10"/>
    <col width="12" customWidth="1" style="127" min="11" max="12"/>
  </cols>
  <sheetData>
    <row r="1" ht="24.95" customHeight="1" s="127">
      <c r="A1" s="157" t="inlineStr">
        <is>
          <t>AUDITORÍAS INTERNAS Y EXTERNAS</t>
        </is>
      </c>
    </row>
    <row r="3" ht="30" customHeight="1" s="127">
      <c r="A3" s="68" t="inlineStr">
        <is>
          <t>ID Auditoría</t>
        </is>
      </c>
      <c r="B3" s="68" t="inlineStr">
        <is>
          <t>Fecha</t>
        </is>
      </c>
      <c r="C3" s="68" t="inlineStr">
        <is>
          <t>Tipo</t>
        </is>
      </c>
      <c r="D3" s="68" t="inlineStr">
        <is>
          <t>Alcance</t>
        </is>
      </c>
      <c r="E3" s="68" t="inlineStr">
        <is>
          <t>Auditor</t>
        </is>
      </c>
      <c r="F3" s="68" t="inlineStr">
        <is>
          <t>Estado</t>
        </is>
      </c>
      <c r="G3" s="68" t="inlineStr">
        <is>
          <t>Hallazgos</t>
        </is>
      </c>
      <c r="H3" s="68" t="inlineStr">
        <is>
          <t>No Conformidades</t>
        </is>
      </c>
      <c r="I3" s="68" t="inlineStr">
        <is>
          <t>Observaciones</t>
        </is>
      </c>
      <c r="J3" s="68" t="inlineStr">
        <is>
          <t>Informe</t>
        </is>
      </c>
      <c r="K3" s="68" t="inlineStr">
        <is>
          <t>Fecha Cierre</t>
        </is>
      </c>
      <c r="L3" s="68" t="inlineStr">
        <is>
          <t>Resultado</t>
        </is>
      </c>
    </row>
    <row r="4">
      <c r="A4" s="20" t="inlineStr">
        <is>
          <t>AUD-2025-001</t>
        </is>
      </c>
      <c r="B4" s="20" t="inlineStr">
        <is>
          <t>15/03/2025</t>
        </is>
      </c>
      <c r="C4" s="20" t="inlineStr">
        <is>
          <t>Interna</t>
        </is>
      </c>
      <c r="D4" s="20" t="inlineStr">
        <is>
          <t>Controles A.5 y A.8</t>
        </is>
      </c>
      <c r="E4" s="20" t="inlineStr">
        <is>
          <t>Auditor Interno</t>
        </is>
      </c>
      <c r="F4" s="54" t="inlineStr">
        <is>
          <t>Completada</t>
        </is>
      </c>
      <c r="G4" s="20" t="inlineStr">
        <is>
          <t>8</t>
        </is>
      </c>
      <c r="H4" s="20" t="inlineStr">
        <is>
          <t>2</t>
        </is>
      </c>
      <c r="I4" s="20" t="inlineStr">
        <is>
          <t>3</t>
        </is>
      </c>
      <c r="J4" s="20" t="inlineStr">
        <is>
          <t>INF-AUD-001.pdf</t>
        </is>
      </c>
      <c r="K4" s="20" t="inlineStr">
        <is>
          <t>30/03/2025</t>
        </is>
      </c>
      <c r="L4" s="54" t="inlineStr">
        <is>
          <t>Conforme</t>
        </is>
      </c>
    </row>
    <row r="5">
      <c r="A5" s="20" t="inlineStr">
        <is>
          <t>AUD-2024-004</t>
        </is>
      </c>
      <c r="B5" s="20" t="inlineStr">
        <is>
          <t>20/12/2024</t>
        </is>
      </c>
      <c r="C5" s="20" t="inlineStr">
        <is>
          <t>Externa</t>
        </is>
      </c>
      <c r="D5" s="20" t="inlineStr">
        <is>
          <t>Certificación ISO 27001</t>
        </is>
      </c>
      <c r="E5" s="20" t="inlineStr">
        <is>
          <t>Bureau Veritas</t>
        </is>
      </c>
      <c r="F5" s="37" t="inlineStr">
        <is>
          <t>Cerrada</t>
        </is>
      </c>
      <c r="G5" s="20" t="inlineStr">
        <is>
          <t>12</t>
        </is>
      </c>
      <c r="H5" s="20" t="inlineStr">
        <is>
          <t>0</t>
        </is>
      </c>
      <c r="I5" s="20" t="inlineStr">
        <is>
          <t>5</t>
        </is>
      </c>
      <c r="J5" s="20" t="inlineStr">
        <is>
          <t>INF-CERT-2024.pdf</t>
        </is>
      </c>
      <c r="K5" s="20" t="inlineStr">
        <is>
          <t>10/01/2025</t>
        </is>
      </c>
      <c r="L5" s="58" t="inlineStr">
        <is>
          <t>Certificado</t>
        </is>
      </c>
    </row>
    <row r="6">
      <c r="A6" s="20" t="inlineStr">
        <is>
          <t>AUD-2025-002</t>
        </is>
      </c>
      <c r="B6" s="20" t="inlineStr">
        <is>
          <t>15/06/2025</t>
        </is>
      </c>
      <c r="C6" s="20" t="inlineStr">
        <is>
          <t>Interna</t>
        </is>
      </c>
      <c r="D6" s="20" t="inlineStr">
        <is>
          <t>Gestión de Incidentes</t>
        </is>
      </c>
      <c r="E6" s="20" t="inlineStr">
        <is>
          <t>Auditor Interno</t>
        </is>
      </c>
      <c r="F6" s="20" t="inlineStr">
        <is>
          <t>Planificada</t>
        </is>
      </c>
      <c r="G6" s="20" t="n"/>
      <c r="H6" s="20" t="n"/>
      <c r="I6" s="20" t="n"/>
      <c r="J6" s="20" t="n"/>
      <c r="K6" s="20" t="n"/>
      <c r="L6" s="20" t="inlineStr">
        <is>
          <t>Pendiente</t>
        </is>
      </c>
    </row>
  </sheetData>
  <mergeCells count="1">
    <mergeCell ref="A1:L1"/>
  </mergeCells>
  <dataValidations count="2">
    <dataValidation sqref="C4:C1000" showDropDown="0" showInputMessage="0" showErrorMessage="0" allowBlank="0" type="list">
      <formula1>"Interna,Externa,Certificación,Seguimiento"</formula1>
    </dataValidation>
    <dataValidation sqref="F4:F1000" showDropDown="0" showInputMessage="0" showErrorMessage="0" allowBlank="0" type="list">
      <formula1>"Abierto,En Proceso,Completado,Cerrado,Cancelado"</formula1>
    </dataValidation>
  </dataValidations>
  <pageMargins left="0.75" right="0.75" top="1" bottom="1" header="0.5" footer="0.5"/>
</worksheet>
</file>

<file path=xl/worksheets/sheet38.xml><?xml version="1.0" encoding="utf-8"?>
<worksheet xmlns="http://schemas.openxmlformats.org/spreadsheetml/2006/main">
  <sheetPr codeName="Hoja38">
    <tabColor rgb="FFF4B183"/>
    <outlinePr summaryBelow="1" summaryRight="1"/>
    <pageSetUpPr/>
  </sheetPr>
  <dimension ref="A1:J6"/>
  <sheetViews>
    <sheetView showGridLines="0" workbookViewId="0">
      <selection activeCell="A1" sqref="A1"/>
    </sheetView>
  </sheetViews>
  <sheetFormatPr baseColWidth="10" defaultColWidth="9.140625" defaultRowHeight="15"/>
  <cols>
    <col width="14" customWidth="1" style="127" min="1" max="1"/>
    <col width="12" customWidth="1" style="127" min="2" max="2"/>
    <col width="30" customWidth="1" style="127" min="3" max="3"/>
    <col width="18" customWidth="1" style="127" min="4" max="4"/>
    <col width="10" customWidth="1" style="127" min="5" max="6"/>
    <col width="15" customWidth="1" style="127" min="7" max="7"/>
    <col width="12" customWidth="1" style="127" min="8" max="8"/>
    <col width="10" customWidth="1" style="127" min="9" max="9"/>
    <col width="18" customWidth="1" style="127" min="10" max="10"/>
  </cols>
  <sheetData>
    <row r="1" ht="24.95" customHeight="1" s="127">
      <c r="A1" s="212" t="inlineStr">
        <is>
          <t>REGISTRO DE FORMACIÓN Y CONCIENCIACIÓN</t>
        </is>
      </c>
    </row>
    <row r="3" ht="30" customHeight="1" s="127">
      <c r="A3" s="69" t="inlineStr">
        <is>
          <t>ID Sesión</t>
        </is>
      </c>
      <c r="B3" s="69" t="inlineStr">
        <is>
          <t>Fecha</t>
        </is>
      </c>
      <c r="C3" s="69" t="inlineStr">
        <is>
          <t>Curso/Tema</t>
        </is>
      </c>
      <c r="D3" s="69" t="inlineStr">
        <is>
          <t>Instructor</t>
        </is>
      </c>
      <c r="E3" s="69" t="inlineStr">
        <is>
          <t>Duración (h)</t>
        </is>
      </c>
      <c r="F3" s="69" t="inlineStr">
        <is>
          <t>Asistentes</t>
        </is>
      </c>
      <c r="G3" s="69" t="inlineStr">
        <is>
          <t>Departamento</t>
        </is>
      </c>
      <c r="H3" s="69" t="inlineStr">
        <is>
          <t>Tipo</t>
        </is>
      </c>
      <c r="I3" s="69" t="inlineStr">
        <is>
          <t>Evaluación</t>
        </is>
      </c>
      <c r="J3" s="69" t="inlineStr">
        <is>
          <t>Material</t>
        </is>
      </c>
    </row>
    <row r="4" ht="30" customHeight="1" s="127">
      <c r="A4" s="20" t="inlineStr">
        <is>
          <t>FORM-2025-001</t>
        </is>
      </c>
      <c r="B4" s="20" t="inlineStr">
        <is>
          <t>15/01/2025</t>
        </is>
      </c>
      <c r="C4" s="20" t="inlineStr">
        <is>
          <t>Concienciación Seguridad</t>
        </is>
      </c>
      <c r="D4" s="20" t="inlineStr">
        <is>
          <t>CISO</t>
        </is>
      </c>
      <c r="E4" s="20" t="inlineStr">
        <is>
          <t>2</t>
        </is>
      </c>
      <c r="F4" s="20" t="inlineStr">
        <is>
          <t>45</t>
        </is>
      </c>
      <c r="G4" s="20" t="inlineStr">
        <is>
          <t>Todos</t>
        </is>
      </c>
      <c r="H4" s="20" t="inlineStr">
        <is>
          <t>Obligatoria</t>
        </is>
      </c>
      <c r="I4" s="20" t="inlineStr">
        <is>
          <t>85%</t>
        </is>
      </c>
      <c r="J4" s="20" t="inlineStr">
        <is>
          <t>PPT + Video</t>
        </is>
      </c>
    </row>
    <row r="5" ht="30" customHeight="1" s="127">
      <c r="A5" s="20" t="inlineStr">
        <is>
          <t>FORM-2025-002</t>
        </is>
      </c>
      <c r="B5" s="20" t="inlineStr">
        <is>
          <t>20/02/2025</t>
        </is>
      </c>
      <c r="C5" s="20" t="inlineStr">
        <is>
          <t>Phishing y Ingeniería Social</t>
        </is>
      </c>
      <c r="D5" s="20" t="inlineStr">
        <is>
          <t>Consultor Externo</t>
        </is>
      </c>
      <c r="E5" s="20" t="inlineStr">
        <is>
          <t>3</t>
        </is>
      </c>
      <c r="F5" s="20" t="inlineStr">
        <is>
          <t>30</t>
        </is>
      </c>
      <c r="G5" s="20" t="inlineStr">
        <is>
          <t>TI</t>
        </is>
      </c>
      <c r="H5" s="20" t="inlineStr">
        <is>
          <t>Especializada</t>
        </is>
      </c>
      <c r="I5" s="20" t="inlineStr">
        <is>
          <t>92%</t>
        </is>
      </c>
      <c r="J5" s="20" t="inlineStr">
        <is>
          <t>Manual + Test</t>
        </is>
      </c>
    </row>
    <row r="6" ht="30" customHeight="1" s="127">
      <c r="A6" s="20" t="inlineStr">
        <is>
          <t>FORM-2025-003</t>
        </is>
      </c>
      <c r="B6" s="20" t="inlineStr">
        <is>
          <t>10/03/2025</t>
        </is>
      </c>
      <c r="C6" s="20" t="inlineStr">
        <is>
          <t>ISO 27001:2022 Novedades</t>
        </is>
      </c>
      <c r="D6" s="20" t="inlineStr">
        <is>
          <t>Auditor Lead</t>
        </is>
      </c>
      <c r="E6" s="20" t="inlineStr">
        <is>
          <t>4</t>
        </is>
      </c>
      <c r="F6" s="20" t="inlineStr">
        <is>
          <t>12</t>
        </is>
      </c>
      <c r="G6" s="20" t="inlineStr">
        <is>
          <t>Seguridad</t>
        </is>
      </c>
      <c r="H6" s="20" t="inlineStr">
        <is>
          <t>Técnica</t>
        </is>
      </c>
      <c r="I6" s="20" t="inlineStr">
        <is>
          <t>95%</t>
        </is>
      </c>
      <c r="J6" s="20" t="inlineStr">
        <is>
          <t>Documentación</t>
        </is>
      </c>
    </row>
  </sheetData>
  <mergeCells count="1">
    <mergeCell ref="A1:J1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>
  <sheetPr codeName="Hoja39">
    <tabColor rgb="FFE67E22"/>
    <outlinePr summaryBelow="1" summaryRight="1"/>
    <pageSetUpPr/>
  </sheetPr>
  <dimension ref="A1:H26"/>
  <sheetViews>
    <sheetView showGridLines="0" workbookViewId="0">
      <selection activeCell="A1" sqref="A1"/>
    </sheetView>
  </sheetViews>
  <sheetFormatPr baseColWidth="10" defaultColWidth="9.140625" defaultRowHeight="15"/>
  <cols>
    <col width="10" customWidth="1" style="127" min="1" max="1"/>
    <col width="18" customWidth="1" style="127" min="2" max="2"/>
    <col width="25" customWidth="1" style="127" min="3" max="3"/>
    <col width="35" customWidth="1" style="127" min="4" max="4"/>
    <col width="12" customWidth="1" style="127" min="5" max="5"/>
    <col width="14" customWidth="1" style="127" min="6" max="6"/>
    <col width="18" customWidth="1" style="127" min="7" max="7"/>
    <col width="30" customWidth="1" style="127" min="8" max="8"/>
  </cols>
  <sheetData>
    <row r="1" ht="24.95" customHeight="1" s="127">
      <c r="A1" s="214" t="inlineStr">
        <is>
          <t>CLASIFICACIÓN DE INCIDENTES DE SEGURIDAD</t>
        </is>
      </c>
    </row>
    <row r="3">
      <c r="A3" s="201" t="inlineStr">
        <is>
          <t>🔖 Catálogo de tipos y categorías de incidentes según ISO 27035</t>
        </is>
      </c>
    </row>
    <row r="5" ht="30" customHeight="1" s="127">
      <c r="A5" s="70" t="inlineStr">
        <is>
          <t>Código</t>
        </is>
      </c>
      <c r="B5" s="70" t="inlineStr">
        <is>
          <t>Categoría</t>
        </is>
      </c>
      <c r="C5" s="70" t="inlineStr">
        <is>
          <t>Tipo de Incidente</t>
        </is>
      </c>
      <c r="D5" s="70" t="inlineStr">
        <is>
          <t>Descripción</t>
        </is>
      </c>
      <c r="E5" s="70" t="inlineStr">
        <is>
          <t>Severidad Base</t>
        </is>
      </c>
      <c r="F5" s="70" t="inlineStr">
        <is>
          <t>Tiempo Respuesta</t>
        </is>
      </c>
      <c r="G5" s="70" t="inlineStr">
        <is>
          <t>Escalamiento</t>
        </is>
      </c>
      <c r="H5" s="70" t="inlineStr">
        <is>
          <t>Ejemplos</t>
        </is>
      </c>
    </row>
    <row r="6" ht="30" customHeight="1" s="127">
      <c r="A6" s="20" t="inlineStr">
        <is>
          <t>INC-001</t>
        </is>
      </c>
      <c r="B6" s="47" t="inlineStr">
        <is>
          <t>Malware</t>
        </is>
      </c>
      <c r="C6" s="47" t="inlineStr">
        <is>
          <t>Infección por malware</t>
        </is>
      </c>
      <c r="D6" s="47" t="inlineStr">
        <is>
          <t>Virus, ransomware, troyanos, spyware</t>
        </is>
      </c>
      <c r="E6" s="21" t="inlineStr">
        <is>
          <t>Alta</t>
        </is>
      </c>
      <c r="F6" s="20" t="inlineStr">
        <is>
          <t>1 hora</t>
        </is>
      </c>
      <c r="G6" s="47" t="inlineStr">
        <is>
          <t>CISO</t>
        </is>
      </c>
      <c r="H6" s="47" t="inlineStr">
        <is>
          <t>Ransomware, cryptolocker</t>
        </is>
      </c>
    </row>
    <row r="7">
      <c r="A7" s="20" t="inlineStr">
        <is>
          <t>INC-002</t>
        </is>
      </c>
      <c r="B7" s="47" t="inlineStr">
        <is>
          <t>Phishing</t>
        </is>
      </c>
      <c r="C7" s="47" t="inlineStr">
        <is>
          <t>Ataque de phishing</t>
        </is>
      </c>
      <c r="D7" s="47" t="inlineStr">
        <is>
          <t>Correos o mensajes fraudulentos</t>
        </is>
      </c>
      <c r="E7" s="22" t="inlineStr">
        <is>
          <t>Media</t>
        </is>
      </c>
      <c r="F7" s="20" t="inlineStr">
        <is>
          <t>2 horas</t>
        </is>
      </c>
      <c r="G7" s="47" t="inlineStr">
        <is>
          <t>Seguridad TI</t>
        </is>
      </c>
      <c r="H7" s="47" t="inlineStr">
        <is>
          <t>Email falso CEO, spear phishing</t>
        </is>
      </c>
    </row>
    <row r="8" ht="30" customHeight="1" s="127">
      <c r="A8" s="20" t="inlineStr">
        <is>
          <t>INC-003</t>
        </is>
      </c>
      <c r="B8" s="47" t="inlineStr">
        <is>
          <t>Acceso no autorizado</t>
        </is>
      </c>
      <c r="C8" s="47" t="inlineStr">
        <is>
          <t>Intrusión de sistemas</t>
        </is>
      </c>
      <c r="D8" s="47" t="inlineStr">
        <is>
          <t>Acceso sin autorización a sistemas/datos</t>
        </is>
      </c>
      <c r="E8" s="62" t="inlineStr">
        <is>
          <t>Crítica</t>
        </is>
      </c>
      <c r="F8" s="20" t="inlineStr">
        <is>
          <t>30 min</t>
        </is>
      </c>
      <c r="G8" s="47" t="inlineStr">
        <is>
          <t>CISO + CEO</t>
        </is>
      </c>
      <c r="H8" s="47" t="inlineStr">
        <is>
          <t>Brute force, credenciales robadas</t>
        </is>
      </c>
    </row>
    <row r="9" ht="30" customHeight="1" s="127">
      <c r="A9" s="20" t="inlineStr">
        <is>
          <t>INC-004</t>
        </is>
      </c>
      <c r="B9" s="47" t="inlineStr">
        <is>
          <t>Denegación de servicio</t>
        </is>
      </c>
      <c r="C9" s="47" t="inlineStr">
        <is>
          <t>DDoS/DoS</t>
        </is>
      </c>
      <c r="D9" s="47" t="inlineStr">
        <is>
          <t>Interrupción de disponibilidad de servicios</t>
        </is>
      </c>
      <c r="E9" s="21" t="inlineStr">
        <is>
          <t>Alta</t>
        </is>
      </c>
      <c r="F9" s="20" t="inlineStr">
        <is>
          <t>1 hora</t>
        </is>
      </c>
      <c r="G9" s="47" t="inlineStr">
        <is>
          <t>CISO</t>
        </is>
      </c>
      <c r="H9" s="47" t="inlineStr">
        <is>
          <t>DDoS web, saturación red</t>
        </is>
      </c>
    </row>
    <row r="10" ht="30" customHeight="1" s="127">
      <c r="A10" s="20" t="inlineStr">
        <is>
          <t>INC-005</t>
        </is>
      </c>
      <c r="B10" s="47" t="inlineStr">
        <is>
          <t>Fuga de información</t>
        </is>
      </c>
      <c r="C10" s="47" t="inlineStr">
        <is>
          <t>Data breach</t>
        </is>
      </c>
      <c r="D10" s="47" t="inlineStr">
        <is>
          <t>Pérdida o robo de información confidencial</t>
        </is>
      </c>
      <c r="E10" s="62" t="inlineStr">
        <is>
          <t>Crítica</t>
        </is>
      </c>
      <c r="F10" s="20" t="inlineStr">
        <is>
          <t>15 min</t>
        </is>
      </c>
      <c r="G10" s="47" t="inlineStr">
        <is>
          <t>CISO + CEO + Legal</t>
        </is>
      </c>
      <c r="H10" s="47" t="inlineStr">
        <is>
          <t>USB perdido, email erróneo</t>
        </is>
      </c>
    </row>
    <row r="11">
      <c r="A11" s="20" t="inlineStr">
        <is>
          <t>INC-006</t>
        </is>
      </c>
      <c r="B11" s="47" t="inlineStr">
        <is>
          <t>Vulnerabilidad</t>
        </is>
      </c>
      <c r="C11" s="47" t="inlineStr">
        <is>
          <t>Vulnerabilidad crítica</t>
        </is>
      </c>
      <c r="D11" s="47" t="inlineStr">
        <is>
          <t>Fallo de seguridad explotable</t>
        </is>
      </c>
      <c r="E11" s="21" t="inlineStr">
        <is>
          <t>Alta</t>
        </is>
      </c>
      <c r="F11" s="20" t="inlineStr">
        <is>
          <t>4 horas</t>
        </is>
      </c>
      <c r="G11" s="47" t="inlineStr">
        <is>
          <t>Admin TI</t>
        </is>
      </c>
      <c r="H11" s="47" t="inlineStr">
        <is>
          <t>Zero-day, CVE crítico</t>
        </is>
      </c>
    </row>
    <row r="12">
      <c r="A12" s="20" t="inlineStr">
        <is>
          <t>INC-007</t>
        </is>
      </c>
      <c r="B12" s="47" t="inlineStr">
        <is>
          <t>Error humano</t>
        </is>
      </c>
      <c r="C12" s="47" t="inlineStr">
        <is>
          <t>Configuración incorrecta</t>
        </is>
      </c>
      <c r="D12" s="47" t="inlineStr">
        <is>
          <t>Error en configuración o gestión</t>
        </is>
      </c>
      <c r="E12" s="22" t="inlineStr">
        <is>
          <t>Media</t>
        </is>
      </c>
      <c r="F12" s="20" t="inlineStr">
        <is>
          <t>4 horas</t>
        </is>
      </c>
      <c r="G12" s="47" t="inlineStr">
        <is>
          <t>Admin TI</t>
        </is>
      </c>
      <c r="H12" s="47" t="inlineStr">
        <is>
          <t>Permisos incorrectos, borrado</t>
        </is>
      </c>
    </row>
    <row r="13" ht="30" customHeight="1" s="127">
      <c r="A13" s="20" t="inlineStr">
        <is>
          <t>INC-008</t>
        </is>
      </c>
      <c r="B13" s="47" t="inlineStr">
        <is>
          <t>Fraude</t>
        </is>
      </c>
      <c r="C13" s="47" t="inlineStr">
        <is>
          <t>Actividad fraudulenta</t>
        </is>
      </c>
      <c r="D13" s="47" t="inlineStr">
        <is>
          <t>Uso indebido de recursos o información</t>
        </is>
      </c>
      <c r="E13" s="21" t="inlineStr">
        <is>
          <t>Alta</t>
        </is>
      </c>
      <c r="F13" s="20" t="inlineStr">
        <is>
          <t>2 horas</t>
        </is>
      </c>
      <c r="G13" s="47" t="inlineStr">
        <is>
          <t>CISO + Legal</t>
        </is>
      </c>
      <c r="H13" s="47" t="inlineStr">
        <is>
          <t>BEC, fraude CEO</t>
        </is>
      </c>
    </row>
    <row r="14">
      <c r="A14" s="20" t="inlineStr">
        <is>
          <t>INC-009</t>
        </is>
      </c>
      <c r="B14" s="47" t="inlineStr">
        <is>
          <t>Ingeniería social</t>
        </is>
      </c>
      <c r="C14" s="47" t="inlineStr">
        <is>
          <t>Manipulación psicológica</t>
        </is>
      </c>
      <c r="D14" s="47" t="inlineStr">
        <is>
          <t>Engaño para obtener información</t>
        </is>
      </c>
      <c r="E14" s="22" t="inlineStr">
        <is>
          <t>Media</t>
        </is>
      </c>
      <c r="F14" s="20" t="inlineStr">
        <is>
          <t>2 horas</t>
        </is>
      </c>
      <c r="G14" s="47" t="inlineStr">
        <is>
          <t>Seguridad</t>
        </is>
      </c>
      <c r="H14" s="47" t="inlineStr">
        <is>
          <t>Pretexting, baiting</t>
        </is>
      </c>
    </row>
    <row r="15">
      <c r="A15" s="20" t="inlineStr">
        <is>
          <t>INC-010</t>
        </is>
      </c>
      <c r="B15" s="47" t="inlineStr">
        <is>
          <t>Físico</t>
        </is>
      </c>
      <c r="C15" s="47" t="inlineStr">
        <is>
          <t>Incidente físico</t>
        </is>
      </c>
      <c r="D15" s="47" t="inlineStr">
        <is>
          <t>Acceso físico no autorizado</t>
        </is>
      </c>
      <c r="E15" s="22" t="inlineStr">
        <is>
          <t>Media</t>
        </is>
      </c>
      <c r="F15" s="20" t="inlineStr">
        <is>
          <t>1 hora</t>
        </is>
      </c>
      <c r="G15" s="47" t="inlineStr">
        <is>
          <t>Seguridad Física</t>
        </is>
      </c>
      <c r="H15" s="47" t="inlineStr">
        <is>
          <t>Robo equipo, entrada CPD</t>
        </is>
      </c>
    </row>
    <row r="16">
      <c r="A16" s="20" t="inlineStr">
        <is>
          <t>INC-011</t>
        </is>
      </c>
      <c r="B16" s="47" t="inlineStr">
        <is>
          <t>Pérdida de servicio</t>
        </is>
      </c>
      <c r="C16" s="47" t="inlineStr">
        <is>
          <t>Interrupción operativa</t>
        </is>
      </c>
      <c r="D16" s="47" t="inlineStr">
        <is>
          <t>Caída de sistemas críticos</t>
        </is>
      </c>
      <c r="E16" s="21" t="inlineStr">
        <is>
          <t>Alta</t>
        </is>
      </c>
      <c r="F16" s="20" t="inlineStr">
        <is>
          <t>30 min</t>
        </is>
      </c>
      <c r="G16" s="47" t="inlineStr">
        <is>
          <t>Operaciones</t>
        </is>
      </c>
      <c r="H16" s="47" t="inlineStr">
        <is>
          <t>Servidor caído, red fuera</t>
        </is>
      </c>
    </row>
    <row r="17">
      <c r="A17" s="20" t="inlineStr">
        <is>
          <t>INC-012</t>
        </is>
      </c>
      <c r="B17" s="47" t="inlineStr">
        <is>
          <t>Incumplimiento</t>
        </is>
      </c>
      <c r="C17" s="47" t="inlineStr">
        <is>
          <t>Violación normativa</t>
        </is>
      </c>
      <c r="D17" s="47" t="inlineStr">
        <is>
          <t>Incumplimiento de política o norma</t>
        </is>
      </c>
      <c r="E17" s="22" t="inlineStr">
        <is>
          <t>Media</t>
        </is>
      </c>
      <c r="F17" s="20" t="inlineStr">
        <is>
          <t>8 horas</t>
        </is>
      </c>
      <c r="G17" s="47" t="inlineStr">
        <is>
          <t>Compliance</t>
        </is>
      </c>
      <c r="H17" s="47" t="inlineStr">
        <is>
          <t>GDPR, PCI-DSS</t>
        </is>
      </c>
    </row>
    <row r="20" ht="15.75" customHeight="1" s="127">
      <c r="A20" s="213" t="inlineStr">
        <is>
          <t>📊 MATRIZ DE SEVERIDAD DE INCIDENTES</t>
        </is>
      </c>
    </row>
    <row r="22">
      <c r="A22" s="71" t="inlineStr">
        <is>
          <t>Nivel</t>
        </is>
      </c>
      <c r="B22" s="71" t="inlineStr">
        <is>
          <t>Severidad</t>
        </is>
      </c>
      <c r="C22" s="71" t="inlineStr">
        <is>
          <t>Impacto</t>
        </is>
      </c>
      <c r="D22" s="71" t="inlineStr">
        <is>
          <t>Tiempo Respuesta</t>
        </is>
      </c>
      <c r="E22" s="71" t="inlineStr">
        <is>
          <t>Escalamiento</t>
        </is>
      </c>
      <c r="F22" s="71" t="inlineStr">
        <is>
          <t>Notificación</t>
        </is>
      </c>
    </row>
    <row r="23" ht="30" customHeight="1" s="127">
      <c r="A23" s="20" t="inlineStr">
        <is>
          <t>1</t>
        </is>
      </c>
      <c r="B23" s="48" t="inlineStr">
        <is>
          <t>Crítica</t>
        </is>
      </c>
      <c r="C23" s="47" t="inlineStr">
        <is>
          <t>Alto impacto negocio, datos críticos</t>
        </is>
      </c>
      <c r="D23" s="47" t="inlineStr">
        <is>
          <t>15-30 min</t>
        </is>
      </c>
      <c r="E23" s="47" t="inlineStr">
        <is>
          <t>CISO + CEO + Legal</t>
        </is>
      </c>
      <c r="F23" s="47" t="inlineStr">
        <is>
          <t>Inmediata</t>
        </is>
      </c>
    </row>
    <row r="24" ht="30" customHeight="1" s="127">
      <c r="A24" s="20" t="inlineStr">
        <is>
          <t>2</t>
        </is>
      </c>
      <c r="B24" s="49" t="inlineStr">
        <is>
          <t>Alta</t>
        </is>
      </c>
      <c r="C24" s="47" t="inlineStr">
        <is>
          <t>Impacto significativo, servicio afectado</t>
        </is>
      </c>
      <c r="D24" s="47" t="inlineStr">
        <is>
          <t>1-2 horas</t>
        </is>
      </c>
      <c r="E24" s="47" t="inlineStr">
        <is>
          <t>CISO + Gerencia</t>
        </is>
      </c>
      <c r="F24" s="47" t="inlineStr">
        <is>
          <t>&lt; 1 hora</t>
        </is>
      </c>
    </row>
    <row r="25" ht="30" customHeight="1" s="127">
      <c r="A25" s="20" t="inlineStr">
        <is>
          <t>3</t>
        </is>
      </c>
      <c r="B25" s="50" t="inlineStr">
        <is>
          <t>Media</t>
        </is>
      </c>
      <c r="C25" s="47" t="inlineStr">
        <is>
          <t>Impacto moderado, servicio degradado</t>
        </is>
      </c>
      <c r="D25" s="47" t="inlineStr">
        <is>
          <t>2-4 horas</t>
        </is>
      </c>
      <c r="E25" s="47" t="inlineStr">
        <is>
          <t>Responsable TI</t>
        </is>
      </c>
      <c r="F25" s="47" t="inlineStr">
        <is>
          <t>&lt; 4 horas</t>
        </is>
      </c>
    </row>
    <row r="26" ht="30" customHeight="1" s="127">
      <c r="A26" s="20" t="inlineStr">
        <is>
          <t>4</t>
        </is>
      </c>
      <c r="B26" s="52" t="inlineStr">
        <is>
          <t>Baja</t>
        </is>
      </c>
      <c r="C26" s="47" t="inlineStr">
        <is>
          <t>Impacto menor, no afecta operaciones</t>
        </is>
      </c>
      <c r="D26" s="47" t="inlineStr">
        <is>
          <t>8-24 horas</t>
        </is>
      </c>
      <c r="E26" s="47" t="inlineStr">
        <is>
          <t>Equipo técnico</t>
        </is>
      </c>
      <c r="F26" s="47" t="inlineStr">
        <is>
          <t>&lt; 24 horas</t>
        </is>
      </c>
    </row>
  </sheetData>
  <mergeCells count="3">
    <mergeCell ref="A20:H20"/>
    <mergeCell ref="A3:H3"/>
    <mergeCell ref="A1:H1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>
  <sheetPr codeName="Hoja40">
    <tabColor rgb="FF34495E"/>
    <outlinePr summaryBelow="1" summaryRight="1"/>
    <pageSetUpPr/>
  </sheetPr>
  <dimension ref="A1:K5"/>
  <sheetViews>
    <sheetView showGridLines="0" workbookViewId="0">
      <selection activeCell="A1" sqref="A1"/>
    </sheetView>
  </sheetViews>
  <sheetFormatPr baseColWidth="10" defaultColWidth="9.140625" defaultRowHeight="15"/>
  <cols>
    <col width="12" customWidth="1" style="127" min="1" max="1"/>
    <col width="14" customWidth="1" style="127" min="2" max="2"/>
    <col width="18" customWidth="1" style="127" min="3" max="3"/>
    <col width="15" customWidth="1" style="127" min="4" max="4"/>
    <col width="20" customWidth="1" style="127" min="5" max="5"/>
    <col width="35" customWidth="1" style="127" min="6" max="6"/>
    <col width="10" customWidth="1" style="127" min="7" max="7"/>
    <col width="12" customWidth="1" style="127" min="8" max="9"/>
    <col width="15" customWidth="1" style="127" min="10" max="10"/>
    <col width="30" customWidth="1" style="127" min="11" max="11"/>
  </cols>
  <sheetData>
    <row r="1" ht="24.95" customHeight="1" s="127">
      <c r="A1" s="177" t="inlineStr">
        <is>
          <t>REGISTRO DE EVENTOS DE SEGURIDAD</t>
        </is>
      </c>
    </row>
    <row r="3" ht="30" customHeight="1" s="127">
      <c r="A3" s="72" t="inlineStr">
        <is>
          <t>ID Evento</t>
        </is>
      </c>
      <c r="B3" s="72" t="inlineStr">
        <is>
          <t>Fecha/Hora</t>
        </is>
      </c>
      <c r="C3" s="72" t="inlineStr">
        <is>
          <t>Tipo Evento</t>
        </is>
      </c>
      <c r="D3" s="72" t="inlineStr">
        <is>
          <t>Origen</t>
        </is>
      </c>
      <c r="E3" s="72" t="inlineStr">
        <is>
          <t>Usuario/Sistema</t>
        </is>
      </c>
      <c r="F3" s="72" t="inlineStr">
        <is>
          <t>Descripción</t>
        </is>
      </c>
      <c r="G3" s="72" t="inlineStr">
        <is>
          <t>Severidad</t>
        </is>
      </c>
      <c r="H3" s="72" t="inlineStr">
        <is>
          <t>Estado</t>
        </is>
      </c>
      <c r="I3" s="72" t="inlineStr">
        <is>
          <t>Requiere Acción</t>
        </is>
      </c>
      <c r="J3" s="72" t="inlineStr">
        <is>
          <t>Asignado A</t>
        </is>
      </c>
      <c r="K3" s="72" t="inlineStr">
        <is>
          <t>Observaciones</t>
        </is>
      </c>
    </row>
    <row r="4" ht="30" customHeight="1" s="127">
      <c r="A4" s="20" t="inlineStr">
        <is>
          <t>EVT-001</t>
        </is>
      </c>
      <c r="B4" s="47" t="inlineStr">
        <is>
          <t>06/11/2025 10:15</t>
        </is>
      </c>
      <c r="C4" s="47" t="inlineStr">
        <is>
          <t>Login fallido</t>
        </is>
      </c>
      <c r="D4" s="47" t="inlineStr">
        <is>
          <t>Firewall</t>
        </is>
      </c>
      <c r="E4" s="47" t="inlineStr">
        <is>
          <t>usuario@empresa.com</t>
        </is>
      </c>
      <c r="F4" s="47" t="inlineStr">
        <is>
          <t>5 intentos fallidos de login</t>
        </is>
      </c>
      <c r="G4" s="20" t="inlineStr">
        <is>
          <t>Media</t>
        </is>
      </c>
      <c r="H4" s="20" t="inlineStr">
        <is>
          <t>Revisado</t>
        </is>
      </c>
      <c r="I4" s="20" t="inlineStr">
        <is>
          <t>No</t>
        </is>
      </c>
      <c r="J4" s="47" t="inlineStr">
        <is>
          <t>Admin TI</t>
        </is>
      </c>
      <c r="K4" s="47" t="inlineStr">
        <is>
          <t>Usuario bloqueado 30min</t>
        </is>
      </c>
    </row>
    <row r="5" ht="30" customHeight="1" s="127">
      <c r="A5" s="20" t="inlineStr">
        <is>
          <t>EVT-002</t>
        </is>
      </c>
      <c r="B5" s="47" t="inlineStr">
        <is>
          <t>06/11/2025 14:30</t>
        </is>
      </c>
      <c r="C5" s="47" t="inlineStr">
        <is>
          <t>Cambio permisos</t>
        </is>
      </c>
      <c r="D5" s="47" t="inlineStr">
        <is>
          <t>Active Directory</t>
        </is>
      </c>
      <c r="E5" s="47" t="inlineStr">
        <is>
          <t>admin_ti</t>
        </is>
      </c>
      <c r="F5" s="47" t="inlineStr">
        <is>
          <t>Elevación privilegios usuario</t>
        </is>
      </c>
      <c r="G5" s="20" t="inlineStr">
        <is>
          <t>Alta</t>
        </is>
      </c>
      <c r="H5" s="20" t="inlineStr">
        <is>
          <t>En revisión</t>
        </is>
      </c>
      <c r="I5" s="20" t="inlineStr">
        <is>
          <t>Sí</t>
        </is>
      </c>
      <c r="J5" s="47" t="inlineStr">
        <is>
          <t>CISO</t>
        </is>
      </c>
      <c r="K5" s="47" t="inlineStr">
        <is>
          <t>Verificar autorización</t>
        </is>
      </c>
    </row>
  </sheetData>
  <mergeCells count="1">
    <mergeCell ref="A1:K1"/>
  </mergeCells>
  <dataValidations count="3">
    <dataValidation sqref="C4:C1000" showDropDown="0" showInputMessage="0" showErrorMessage="0" allowBlank="0" type="list">
      <formula1>"Login,Logout,Acceso,Modificación,Error,Alerta,Crítico"</formula1>
    </dataValidation>
    <dataValidation sqref="G4:G1000" showDropDown="0" showInputMessage="0" showErrorMessage="0" allowBlank="0" type="list">
      <formula1>"Crítica,Alta,Media,Baja"</formula1>
    </dataValidation>
    <dataValidation sqref="H4:H1000" showDropDown="0" showInputMessage="0" showErrorMessage="0" allowBlank="0" type="list">
      <formula1>"Nuevo,Revisado,Investigando,Cerrado"</formula1>
    </dataValidation>
  </dataValidations>
  <pageMargins left="0.75" right="0.75" top="1" bottom="1" header="0.5" footer="0.5"/>
</worksheet>
</file>

<file path=xl/worksheets/sheet41.xml><?xml version="1.0" encoding="utf-8"?>
<worksheet xmlns="http://schemas.openxmlformats.org/spreadsheetml/2006/main">
  <sheetPr codeName="Hoja41">
    <tabColor rgb="FF00B0F0"/>
    <outlinePr summaryBelow="1" summaryRight="1"/>
    <pageSetUpPr/>
  </sheetPr>
  <dimension ref="A1:F46"/>
  <sheetViews>
    <sheetView showGridLines="0" workbookViewId="0">
      <selection activeCell="A1" sqref="A1"/>
    </sheetView>
  </sheetViews>
  <sheetFormatPr baseColWidth="10" defaultColWidth="9.140625" defaultRowHeight="15"/>
  <cols>
    <col width="80" customWidth="1" style="127" min="1" max="1"/>
    <col width="15" customWidth="1" style="127" min="2" max="6"/>
  </cols>
  <sheetData>
    <row r="1" ht="30" customHeight="1" s="127">
      <c r="A1" s="219" t="inlineStr">
        <is>
          <t>INSTRUCCIONES DE USO - SGSI v4.0</t>
        </is>
      </c>
    </row>
    <row r="3">
      <c r="A3" s="217" t="inlineStr">
        <is>
          <t>📋 BIENVENIDO AL SGSI v4.0</t>
        </is>
      </c>
    </row>
    <row r="5">
      <c r="A5" s="218" t="inlineStr">
        <is>
          <t>1. ESTRUCTURA DEL SISTEMA</t>
        </is>
      </c>
    </row>
    <row r="6">
      <c r="A6" s="220" t="inlineStr">
        <is>
          <t>Este Excel contiene 34 hojas organizadas en secciones:</t>
        </is>
      </c>
    </row>
    <row r="7">
      <c r="A7" s="216" t="inlineStr">
        <is>
          <t xml:space="preserve">  • Documentación: Control_Documentos, Políticas, Procedimientos</t>
        </is>
      </c>
    </row>
    <row r="8">
      <c r="A8" s="216" t="inlineStr">
        <is>
          <t xml:space="preserve">  • Gestión de Riesgos: Matriz_Riesgos, Análisis, Plan_Tratamiento</t>
        </is>
      </c>
    </row>
    <row r="9">
      <c r="A9" s="216" t="inlineStr">
        <is>
          <t xml:space="preserve">  • Incidentes: Gestión_Incidentes, Clasificación</t>
        </is>
      </c>
    </row>
    <row r="10">
      <c r="A10" s="216" t="inlineStr">
        <is>
          <t xml:space="preserve">  • Configuración: Categorías, Áreas, Clases</t>
        </is>
      </c>
    </row>
    <row r="11">
      <c r="A11" s="216" t="inlineStr">
        <is>
          <t xml:space="preserve">  • ISO 27001: Controles, SOA, Auditorías</t>
        </is>
      </c>
    </row>
    <row r="13">
      <c r="A13" s="218" t="inlineStr">
        <is>
          <t>2. CÓMO EMPEZAR</t>
        </is>
      </c>
    </row>
    <row r="14">
      <c r="A14" s="216" t="inlineStr">
        <is>
          <t xml:space="preserve">  1) Ir a "Datos_Organizacion" y completar información de la empresa</t>
        </is>
      </c>
    </row>
    <row r="15">
      <c r="A15" s="216" t="inlineStr">
        <is>
          <t xml:space="preserve">  2) Revisar y personalizar las hojas de Configuración</t>
        </is>
      </c>
    </row>
    <row r="16">
      <c r="A16" s="216" t="inlineStr">
        <is>
          <t xml:space="preserve">  3) Agregar activos en la hoja "Activos"</t>
        </is>
      </c>
    </row>
    <row r="17">
      <c r="A17" s="216" t="inlineStr">
        <is>
          <t xml:space="preserve">  4) Identificar riesgos en "Matriz_Riesgos"</t>
        </is>
      </c>
    </row>
    <row r="18">
      <c r="A18" s="216" t="inlineStr">
        <is>
          <t xml:space="preserve">  5) Crear tratamientos en "Plan_Tratamiento"</t>
        </is>
      </c>
    </row>
    <row r="20">
      <c r="A20" s="218" t="inlineStr">
        <is>
          <t>3. MACROS DISPONIBLES (20)</t>
        </is>
      </c>
    </row>
    <row r="21">
      <c r="A21" s="216" t="inlineStr">
        <is>
          <t>Alt+F11 para abrir VBA y ver todas las macros:</t>
        </is>
      </c>
    </row>
    <row r="22">
      <c r="A22" s="216" t="inlineStr">
        <is>
          <t xml:space="preserve">  • NuevoActivo() - Agregar activo al inventario</t>
        </is>
      </c>
    </row>
    <row r="23">
      <c r="A23" s="216" t="inlineStr">
        <is>
          <t xml:space="preserve">  • NuevoRiesgo() - Registrar nuevo riesgo</t>
        </is>
      </c>
    </row>
    <row r="24">
      <c r="A24" s="216" t="inlineStr">
        <is>
          <t xml:space="preserve">  • NuevoTratamiento() - Crear plan de tratamiento</t>
        </is>
      </c>
    </row>
    <row r="25">
      <c r="A25" s="216" t="inlineStr">
        <is>
          <t xml:space="preserve">  • ExportarReporteCompleto() - Exportar a PDF 7 hojas</t>
        </is>
      </c>
    </row>
    <row r="26">
      <c r="A26" s="216" t="inlineStr">
        <is>
          <t xml:space="preserve">  • ActualizarDashboard() - Refrescar métricas</t>
        </is>
      </c>
    </row>
    <row r="27">
      <c r="A27" s="216" t="inlineStr">
        <is>
          <t xml:space="preserve">  • OptimizarTodasLasHojasParaImpresion() - Formato profesional</t>
        </is>
      </c>
    </row>
    <row r="29">
      <c r="A29" s="218" t="inlineStr">
        <is>
          <t>4. EXPORTACIÓN A PDF</t>
        </is>
      </c>
    </row>
    <row r="30">
      <c r="A30" s="216" t="inlineStr">
        <is>
          <t>Usa los botones en Panel_Control o ejecuta las macros:</t>
        </is>
      </c>
    </row>
    <row r="31">
      <c r="A31" s="216" t="inlineStr">
        <is>
          <t xml:space="preserve">  • ExportarReporteCompleto() - Reporte de 7 hojas</t>
        </is>
      </c>
    </row>
    <row r="32">
      <c r="A32" s="216" t="inlineStr">
        <is>
          <t xml:space="preserve">  • ExportarActivosPDF() - Solo inventario de activos</t>
        </is>
      </c>
    </row>
    <row r="34">
      <c r="A34" s="218" t="inlineStr">
        <is>
          <t>5. PANEL DE CONTROL</t>
        </is>
      </c>
    </row>
    <row r="35">
      <c r="A35" s="216" t="inlineStr">
        <is>
          <t>La hoja "Panel_Control" contiene 21 botones para:</t>
        </is>
      </c>
    </row>
    <row r="36">
      <c r="A36" s="216" t="inlineStr">
        <is>
          <t xml:space="preserve">  • Gestión rápida de activos, riesgos y tratamientos</t>
        </is>
      </c>
    </row>
    <row r="37">
      <c r="A37" s="216" t="inlineStr">
        <is>
          <t xml:space="preserve">  • Navegación entre hojas principales</t>
        </is>
      </c>
    </row>
    <row r="38">
      <c r="A38" s="216" t="inlineStr">
        <is>
          <t xml:space="preserve">  • Exportación de reportes</t>
        </is>
      </c>
    </row>
    <row r="39">
      <c r="A39" s="216" t="inlineStr">
        <is>
          <t xml:space="preserve">  • Utilidades (Dashboard, Optimización, Validación)</t>
        </is>
      </c>
    </row>
    <row r="41">
      <c r="A41" s="215" t="inlineStr">
        <is>
          <t>6. CUMPLIMIENTO ISO 27001:2022</t>
        </is>
      </c>
    </row>
    <row r="42">
      <c r="A42" s="216" t="inlineStr">
        <is>
          <t>Hojas clave para certificación:</t>
        </is>
      </c>
    </row>
    <row r="43">
      <c r="A43" s="216" t="inlineStr">
        <is>
          <t xml:space="preserve">  • SOA (Statement of Applicability)</t>
        </is>
      </c>
    </row>
    <row r="44">
      <c r="A44" s="216" t="inlineStr">
        <is>
          <t xml:space="preserve">  • Controles_ISO27001 (93 controles Anexo A)</t>
        </is>
      </c>
    </row>
    <row r="45">
      <c r="A45" s="216" t="inlineStr">
        <is>
          <t xml:space="preserve">  • Declaracion_Aplicabilidad</t>
        </is>
      </c>
    </row>
    <row r="46">
      <c r="A46" s="216" t="inlineStr">
        <is>
          <t xml:space="preserve">  • Auditorias (registro de auditorías internas/externas)</t>
        </is>
      </c>
    </row>
  </sheetData>
  <mergeCells count="39">
    <mergeCell ref="A41:F41"/>
    <mergeCell ref="A16:F16"/>
    <mergeCell ref="A46:F46"/>
    <mergeCell ref="A37:F37"/>
    <mergeCell ref="A27:F27"/>
    <mergeCell ref="A18:F18"/>
    <mergeCell ref="A26:F26"/>
    <mergeCell ref="A3:F3"/>
    <mergeCell ref="A21:F21"/>
    <mergeCell ref="A42:F42"/>
    <mergeCell ref="A14:F14"/>
    <mergeCell ref="A5:F5"/>
    <mergeCell ref="A23:F23"/>
    <mergeCell ref="A32:F32"/>
    <mergeCell ref="A8:F8"/>
    <mergeCell ref="A22:F22"/>
    <mergeCell ref="A17:F17"/>
    <mergeCell ref="A35:F35"/>
    <mergeCell ref="A20:F20"/>
    <mergeCell ref="A29:F29"/>
    <mergeCell ref="A43:F43"/>
    <mergeCell ref="A38:F38"/>
    <mergeCell ref="A10:F10"/>
    <mergeCell ref="A13:F13"/>
    <mergeCell ref="A44:F44"/>
    <mergeCell ref="A9:F9"/>
    <mergeCell ref="A31:F31"/>
    <mergeCell ref="A34:F34"/>
    <mergeCell ref="A30:F30"/>
    <mergeCell ref="A39:F39"/>
    <mergeCell ref="A15:F15"/>
    <mergeCell ref="A24:F24"/>
    <mergeCell ref="A11:F11"/>
    <mergeCell ref="A36:F36"/>
    <mergeCell ref="A1:F1"/>
    <mergeCell ref="A45:F45"/>
    <mergeCell ref="A6:F6"/>
    <mergeCell ref="A7:F7"/>
    <mergeCell ref="A25:F25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>
  <sheetPr codeName="Hoja42">
    <tabColor rgb="FF8E44AD"/>
    <outlinePr summaryBelow="1" summaryRight="1"/>
    <pageSetUpPr/>
  </sheetPr>
  <dimension ref="A1:J31"/>
  <sheetViews>
    <sheetView showGridLines="0" workbookViewId="0">
      <selection activeCell="A1" sqref="A1"/>
    </sheetView>
  </sheetViews>
  <sheetFormatPr baseColWidth="10" defaultColWidth="9.140625" defaultRowHeight="15"/>
  <cols>
    <col width="12" customWidth="1" style="127" min="1" max="1"/>
    <col width="22" customWidth="1" style="127" min="2" max="2"/>
    <col width="30" customWidth="1" style="127" min="3" max="3"/>
    <col width="12" customWidth="1" style="127" min="4" max="4"/>
    <col width="10" customWidth="1" style="127" min="5" max="7"/>
    <col width="15" customWidth="1" style="127" min="8" max="8"/>
    <col width="35" customWidth="1" style="127" min="9" max="9"/>
    <col width="30" customWidth="1" style="127" min="10" max="10"/>
  </cols>
  <sheetData>
    <row r="1" ht="24.95" customHeight="1" s="127">
      <c r="A1" s="170" t="inlineStr">
        <is>
          <t>PLAN DE CONTINGENCIA Y CONTINUIDAD</t>
        </is>
      </c>
    </row>
    <row r="3" ht="30" customHeight="1" s="127">
      <c r="A3" s="73" t="inlineStr">
        <is>
          <t>ID Plan</t>
        </is>
      </c>
      <c r="B3" s="73" t="inlineStr">
        <is>
          <t>Escenario</t>
        </is>
      </c>
      <c r="C3" s="73" t="inlineStr">
        <is>
          <t>Descripción</t>
        </is>
      </c>
      <c r="D3" s="73" t="inlineStr">
        <is>
          <t>Probabilidad</t>
        </is>
      </c>
      <c r="E3" s="73" t="inlineStr">
        <is>
          <t>Impacto</t>
        </is>
      </c>
      <c r="F3" s="73" t="inlineStr">
        <is>
          <t>RTO</t>
        </is>
      </c>
      <c r="G3" s="73" t="inlineStr">
        <is>
          <t>RPO</t>
        </is>
      </c>
      <c r="H3" s="73" t="inlineStr">
        <is>
          <t>Responsable</t>
        </is>
      </c>
      <c r="I3" s="73" t="inlineStr">
        <is>
          <t>Acciones Inmediatas</t>
        </is>
      </c>
      <c r="J3" s="73" t="inlineStr">
        <is>
          <t>Recursos Necesarios</t>
        </is>
      </c>
    </row>
    <row r="4" ht="30" customHeight="1" s="127">
      <c r="A4" s="20" t="inlineStr">
        <is>
          <t>CONT-001</t>
        </is>
      </c>
      <c r="B4" s="47" t="inlineStr">
        <is>
          <t>Caída servidor principal</t>
        </is>
      </c>
      <c r="C4" s="47" t="inlineStr">
        <is>
          <t>Servidor de aplicaciones no disponible</t>
        </is>
      </c>
      <c r="D4" s="20" t="inlineStr">
        <is>
          <t>Media</t>
        </is>
      </c>
      <c r="E4" s="20" t="inlineStr">
        <is>
          <t>Alto</t>
        </is>
      </c>
      <c r="F4" s="20" t="inlineStr">
        <is>
          <t>4 horas</t>
        </is>
      </c>
      <c r="G4" s="20" t="inlineStr">
        <is>
          <t>1 hora</t>
        </is>
      </c>
      <c r="H4" s="47" t="inlineStr">
        <is>
          <t>Admin Sistemas</t>
        </is>
      </c>
      <c r="I4" s="47" t="inlineStr">
        <is>
          <t>Activar servidor backup, restaurar servicios</t>
        </is>
      </c>
      <c r="J4" s="47" t="inlineStr">
        <is>
          <t>Servidor DR, equipo técnico</t>
        </is>
      </c>
    </row>
    <row r="5">
      <c r="A5" s="20" t="inlineStr">
        <is>
          <t>CONT-002</t>
        </is>
      </c>
      <c r="B5" s="47" t="inlineStr">
        <is>
          <t>Ransomware</t>
        </is>
      </c>
      <c r="C5" s="47" t="inlineStr">
        <is>
          <t>Ataque de cifrado de datos</t>
        </is>
      </c>
      <c r="D5" s="20" t="inlineStr">
        <is>
          <t>Baja</t>
        </is>
      </c>
      <c r="E5" s="20" t="inlineStr">
        <is>
          <t>Crítico</t>
        </is>
      </c>
      <c r="F5" s="20" t="inlineStr">
        <is>
          <t>8 horas</t>
        </is>
      </c>
      <c r="G5" s="20" t="inlineStr">
        <is>
          <t>4 horas</t>
        </is>
      </c>
      <c r="H5" s="47" t="inlineStr">
        <is>
          <t>CISO</t>
        </is>
      </c>
      <c r="I5" s="47" t="inlineStr">
        <is>
          <t>Aislar sistemas, activar backups</t>
        </is>
      </c>
      <c r="J5" s="47" t="inlineStr">
        <is>
          <t>Backups offline, forense</t>
        </is>
      </c>
    </row>
    <row r="6">
      <c r="A6" s="20" t="inlineStr">
        <is>
          <t>CONT-003</t>
        </is>
      </c>
      <c r="B6" s="47" t="inlineStr">
        <is>
          <t>Incendio CPD</t>
        </is>
      </c>
      <c r="C6" s="47" t="inlineStr">
        <is>
          <t>Fuego en centro de datos</t>
        </is>
      </c>
      <c r="D6" s="20" t="inlineStr">
        <is>
          <t>Muy baja</t>
        </is>
      </c>
      <c r="E6" s="20" t="inlineStr">
        <is>
          <t>Crítico</t>
        </is>
      </c>
      <c r="F6" s="20" t="inlineStr">
        <is>
          <t>24 horas</t>
        </is>
      </c>
      <c r="G6" s="20" t="inlineStr">
        <is>
          <t>8 horas</t>
        </is>
      </c>
      <c r="H6" s="47" t="inlineStr">
        <is>
          <t>COO</t>
        </is>
      </c>
      <c r="I6" s="47" t="inlineStr">
        <is>
          <t>Evacuar, activar sitio alterno</t>
        </is>
      </c>
      <c r="J6" s="47" t="inlineStr">
        <is>
          <t>CPD alterno, seguros</t>
        </is>
      </c>
    </row>
    <row r="30">
      <c r="A30" s="202" t="inlineStr">
        <is>
          <t>RTO = Recovery Time Objective (Tiempo objetivo de recuperación)</t>
        </is>
      </c>
    </row>
    <row r="31">
      <c r="A31" s="202" t="inlineStr">
        <is>
          <t>RPO = Recovery Point Objective (Punto objetivo de recuperación)</t>
        </is>
      </c>
    </row>
  </sheetData>
  <mergeCells count="3">
    <mergeCell ref="A1:J1"/>
    <mergeCell ref="A31:J31"/>
    <mergeCell ref="A30:J30"/>
  </mergeCells>
  <dataValidations count="2">
    <dataValidation sqref="D4:D1000" showDropDown="0" showInputMessage="0" showErrorMessage="0" allowBlank="0" type="list">
      <formula1>"Muy Alta,Alta,Media,Baja,Muy Baja"</formula1>
    </dataValidation>
    <dataValidation sqref="E4:E1000" showDropDown="0" showInputMessage="0" showErrorMessage="0" allowBlank="0" type="list">
      <formula1>"Muy Alto,Alto,Medio,Bajo,Muy Bajo"</formula1>
    </dataValidation>
  </dataValidations>
  <pageMargins left="0.75" right="0.75" top="1" bottom="1" header="0.5" footer="0.5"/>
</worksheet>
</file>

<file path=xl/worksheets/sheet43.xml><?xml version="1.0" encoding="utf-8"?>
<worksheet xmlns="http://schemas.openxmlformats.org/spreadsheetml/2006/main">
  <sheetPr codeName="Hoja43">
    <tabColor rgb="FF16A085"/>
    <outlinePr summaryBelow="1" summaryRight="1"/>
    <pageSetUpPr/>
  </sheetPr>
  <dimension ref="A1:J8"/>
  <sheetViews>
    <sheetView showGridLines="0" workbookViewId="0">
      <selection activeCell="A1" sqref="A1"/>
    </sheetView>
  </sheetViews>
  <sheetFormatPr baseColWidth="10" defaultColWidth="9.140625" defaultRowHeight="15"/>
  <cols>
    <col width="10" customWidth="1" style="127" min="1" max="1"/>
    <col width="28" customWidth="1" style="127" min="2" max="2"/>
    <col width="35" customWidth="1" style="127" min="3" max="3"/>
    <col width="30" customWidth="1" style="127" min="4" max="4"/>
    <col width="12" customWidth="1" style="127" min="5" max="5"/>
    <col width="10" customWidth="1" style="127" min="6" max="7"/>
    <col width="12" customWidth="1" style="127" min="8" max="8"/>
    <col width="15" customWidth="1" style="127" min="9" max="9"/>
    <col width="14" customWidth="1" style="127" min="10" max="10"/>
  </cols>
  <sheetData>
    <row r="1" ht="24.95" customHeight="1" s="127">
      <c r="A1" s="174" t="inlineStr">
        <is>
          <t>MÉTRICAS E INDICADORES (KPIs)</t>
        </is>
      </c>
    </row>
    <row r="3" ht="30" customHeight="1" s="127">
      <c r="A3" s="74" t="inlineStr">
        <is>
          <t>ID KPI</t>
        </is>
      </c>
      <c r="B3" s="74" t="inlineStr">
        <is>
          <t>Nombre KPI</t>
        </is>
      </c>
      <c r="C3" s="74" t="inlineStr">
        <is>
          <t>Descripción</t>
        </is>
      </c>
      <c r="D3" s="74" t="inlineStr">
        <is>
          <t>Fórmula</t>
        </is>
      </c>
      <c r="E3" s="74" t="inlineStr">
        <is>
          <t>Frecuencia</t>
        </is>
      </c>
      <c r="F3" s="74" t="inlineStr">
        <is>
          <t>Objetivo</t>
        </is>
      </c>
      <c r="G3" s="74" t="inlineStr">
        <is>
          <t>Actual</t>
        </is>
      </c>
      <c r="H3" s="74" t="inlineStr">
        <is>
          <t>Estado</t>
        </is>
      </c>
      <c r="I3" s="74" t="inlineStr">
        <is>
          <t>Responsable</t>
        </is>
      </c>
      <c r="J3" s="74" t="inlineStr">
        <is>
          <t>Última Medición</t>
        </is>
      </c>
    </row>
    <row r="4" ht="30" customHeight="1" s="127">
      <c r="A4" s="20" t="inlineStr">
        <is>
          <t>KPI-001</t>
        </is>
      </c>
      <c r="B4" s="47" t="inlineStr">
        <is>
          <t>Tiempo medio resolución incidentes</t>
        </is>
      </c>
      <c r="C4" s="47" t="inlineStr">
        <is>
          <t>Tiempo promedio desde detección hasta cierre</t>
        </is>
      </c>
      <c r="D4" s="47" t="inlineStr">
        <is>
          <t>Suma tiempos / Total incidentes</t>
        </is>
      </c>
      <c r="E4" s="20" t="inlineStr">
        <is>
          <t>Mensual</t>
        </is>
      </c>
      <c r="F4" s="47" t="inlineStr">
        <is>
          <t>&lt; 24h</t>
        </is>
      </c>
      <c r="G4" s="47" t="inlineStr">
        <is>
          <t>18h</t>
        </is>
      </c>
      <c r="H4" s="54" t="inlineStr">
        <is>
          <t>✅ OK</t>
        </is>
      </c>
      <c r="I4" s="47" t="inlineStr">
        <is>
          <t>CISO</t>
        </is>
      </c>
      <c r="J4" s="47" t="inlineStr">
        <is>
          <t>01/11/2025</t>
        </is>
      </c>
    </row>
    <row r="5" ht="30" customHeight="1" s="127">
      <c r="A5" s="20" t="inlineStr">
        <is>
          <t>KPI-002</t>
        </is>
      </c>
      <c r="B5" s="47" t="inlineStr">
        <is>
          <t>Incidentes críticos</t>
        </is>
      </c>
      <c r="C5" s="47" t="inlineStr">
        <is>
          <t>Número de incidentes de severidad crítica</t>
        </is>
      </c>
      <c r="D5" s="47" t="inlineStr">
        <is>
          <t>Count(Severidad=Crítica)</t>
        </is>
      </c>
      <c r="E5" s="20" t="inlineStr">
        <is>
          <t>Mensual</t>
        </is>
      </c>
      <c r="F5" s="47" t="inlineStr">
        <is>
          <t>&lt; 3</t>
        </is>
      </c>
      <c r="G5" s="47" t="inlineStr">
        <is>
          <t>1</t>
        </is>
      </c>
      <c r="H5" s="54" t="inlineStr">
        <is>
          <t>✅ OK</t>
        </is>
      </c>
      <c r="I5" s="47" t="inlineStr">
        <is>
          <t>CISO</t>
        </is>
      </c>
      <c r="J5" s="47" t="inlineStr">
        <is>
          <t>01/11/2025</t>
        </is>
      </c>
    </row>
    <row r="6" ht="30" customHeight="1" s="127">
      <c r="A6" s="20" t="inlineStr">
        <is>
          <t>KPI-003</t>
        </is>
      </c>
      <c r="B6" s="47" t="inlineStr">
        <is>
          <t>Vulnerabilidades sin parchear</t>
        </is>
      </c>
      <c r="C6" s="47" t="inlineStr">
        <is>
          <t>Vulnerabilidades críticas pendientes</t>
        </is>
      </c>
      <c r="D6" s="47" t="inlineStr">
        <is>
          <t>Count(Estado=Abierta AND Sev=Crítica)</t>
        </is>
      </c>
      <c r="E6" s="20" t="inlineStr">
        <is>
          <t>Semanal</t>
        </is>
      </c>
      <c r="F6" s="47" t="inlineStr">
        <is>
          <t>0</t>
        </is>
      </c>
      <c r="G6" s="47" t="inlineStr">
        <is>
          <t>2</t>
        </is>
      </c>
      <c r="H6" s="22" t="inlineStr">
        <is>
          <t>⚠️ Riesgo</t>
        </is>
      </c>
      <c r="I6" s="47" t="inlineStr">
        <is>
          <t>Admin TI</t>
        </is>
      </c>
      <c r="J6" s="47" t="inlineStr">
        <is>
          <t>05/11/2025</t>
        </is>
      </c>
    </row>
    <row r="7" ht="30" customHeight="1" s="127">
      <c r="A7" s="20" t="inlineStr">
        <is>
          <t>KPI-004</t>
        </is>
      </c>
      <c r="B7" s="47" t="inlineStr">
        <is>
          <t>Cumplimiento controles ISO</t>
        </is>
      </c>
      <c r="C7" s="47" t="inlineStr">
        <is>
          <t>Porcentaje de controles implementados</t>
        </is>
      </c>
      <c r="D7" s="47" t="inlineStr">
        <is>
          <t>(Implementados / Total) * 100</t>
        </is>
      </c>
      <c r="E7" s="20" t="inlineStr">
        <is>
          <t>Trimestral</t>
        </is>
      </c>
      <c r="F7" s="47" t="inlineStr">
        <is>
          <t>&gt; 90%</t>
        </is>
      </c>
      <c r="G7" s="47" t="inlineStr">
        <is>
          <t>85%</t>
        </is>
      </c>
      <c r="H7" s="22" t="inlineStr">
        <is>
          <t>⚠️ Riesgo</t>
        </is>
      </c>
      <c r="I7" s="47" t="inlineStr">
        <is>
          <t>CISO</t>
        </is>
      </c>
      <c r="J7" s="47" t="inlineStr">
        <is>
          <t>01/10/2025</t>
        </is>
      </c>
    </row>
    <row r="8">
      <c r="A8" s="20" t="inlineStr">
        <is>
          <t>KPI-005</t>
        </is>
      </c>
      <c r="B8" s="47" t="inlineStr">
        <is>
          <t>Empleados formados</t>
        </is>
      </c>
      <c r="C8" s="47" t="inlineStr">
        <is>
          <t>Porcentaje con formación actualizada</t>
        </is>
      </c>
      <c r="D8" s="47" t="inlineStr">
        <is>
          <t>(Formados / Total) * 100</t>
        </is>
      </c>
      <c r="E8" s="20" t="inlineStr">
        <is>
          <t>Semestral</t>
        </is>
      </c>
      <c r="F8" s="47" t="inlineStr">
        <is>
          <t>&gt; 95%</t>
        </is>
      </c>
      <c r="G8" s="47" t="inlineStr">
        <is>
          <t>98%</t>
        </is>
      </c>
      <c r="H8" s="54" t="inlineStr">
        <is>
          <t>✅ OK</t>
        </is>
      </c>
      <c r="I8" s="47" t="inlineStr">
        <is>
          <t>RRHH</t>
        </is>
      </c>
      <c r="J8" s="47" t="inlineStr">
        <is>
          <t>15/09/2025</t>
        </is>
      </c>
    </row>
  </sheetData>
  <mergeCells count="1">
    <mergeCell ref="A1:J1"/>
  </mergeCells>
  <pageMargins left="0.75" right="0.75" top="1" bottom="1" header="0.5" footer="0.5"/>
</worksheet>
</file>

<file path=xl/worksheets/sheet44.xml><?xml version="1.0" encoding="utf-8"?>
<worksheet xmlns="http://schemas.openxmlformats.org/spreadsheetml/2006/main">
  <sheetPr codeName="Hoja44">
    <tabColor rgb="FFC00000"/>
    <outlinePr summaryBelow="1" summaryRight="1"/>
    <pageSetUpPr/>
  </sheetPr>
  <dimension ref="A1:H50"/>
  <sheetViews>
    <sheetView showGridLines="0" workbookViewId="0">
      <selection activeCell="A1" sqref="A1"/>
    </sheetView>
  </sheetViews>
  <sheetFormatPr baseColWidth="10" defaultColWidth="9.140625" defaultRowHeight="15"/>
  <cols>
    <col width="10" customWidth="1" style="127" min="1" max="1"/>
    <col width="15" customWidth="1" style="127" min="2" max="2"/>
    <col width="20" customWidth="1" style="127" min="3" max="3"/>
    <col width="35" customWidth="1" style="127" min="4" max="4"/>
    <col width="15" customWidth="1" style="127" min="5" max="5"/>
    <col width="30" customWidth="1" style="127" min="6" max="6"/>
    <col width="25" customWidth="1" style="127" min="7" max="7"/>
    <col width="15" customWidth="1" style="127" min="8" max="8"/>
  </cols>
  <sheetData>
    <row r="1" ht="24.95" customHeight="1" s="127">
      <c r="A1" s="192" t="inlineStr">
        <is>
          <t>MITRE ATT&amp;CK - TÁCTICAS Y TÉCNICAS</t>
        </is>
      </c>
    </row>
    <row r="3">
      <c r="A3" s="201" t="inlineStr">
        <is>
          <t>Framework MITRE ATT&amp;CK para ICS (Industrial Control Systems)</t>
        </is>
      </c>
    </row>
    <row r="5" ht="30" customHeight="1" s="127">
      <c r="A5" s="65" t="inlineStr">
        <is>
          <t>ID Técnica</t>
        </is>
      </c>
      <c r="B5" s="65" t="inlineStr">
        <is>
          <t>Táctica</t>
        </is>
      </c>
      <c r="C5" s="65" t="inlineStr">
        <is>
          <t>Técnica</t>
        </is>
      </c>
      <c r="D5" s="65" t="inlineStr">
        <is>
          <t>Descripción</t>
        </is>
      </c>
      <c r="E5" s="65" t="inlineStr">
        <is>
          <t>Riesgo Asociado</t>
        </is>
      </c>
      <c r="F5" s="65" t="inlineStr">
        <is>
          <t>Mitigación</t>
        </is>
      </c>
      <c r="G5" s="65" t="inlineStr">
        <is>
          <t>Detección</t>
        </is>
      </c>
      <c r="H5" s="65" t="inlineStr">
        <is>
          <t>Referencias</t>
        </is>
      </c>
    </row>
    <row r="6" ht="30" customHeight="1" s="127">
      <c r="A6" s="20" t="inlineStr">
        <is>
          <t>T1566</t>
        </is>
      </c>
      <c r="B6" s="20" t="inlineStr">
        <is>
          <t>Initial Access</t>
        </is>
      </c>
      <c r="C6" s="47" t="inlineStr">
        <is>
          <t>Phishing</t>
        </is>
      </c>
      <c r="D6" s="47" t="inlineStr">
        <is>
          <t>Emails maliciosos con links o adjuntos</t>
        </is>
      </c>
      <c r="E6" s="47" t="inlineStr">
        <is>
          <t>RIESGO-002</t>
        </is>
      </c>
      <c r="F6" s="47" t="inlineStr">
        <is>
          <t>Formación usuarios, filtros email</t>
        </is>
      </c>
      <c r="G6" s="47" t="inlineStr">
        <is>
          <t>Análisis logs email</t>
        </is>
      </c>
      <c r="H6" s="47" t="inlineStr">
        <is>
          <t>MITRE ATT&amp;CK</t>
        </is>
      </c>
    </row>
    <row r="7">
      <c r="A7" s="20" t="inlineStr">
        <is>
          <t>T1078</t>
        </is>
      </c>
      <c r="B7" s="20" t="inlineStr">
        <is>
          <t>Initial Access</t>
        </is>
      </c>
      <c r="C7" s="47" t="inlineStr">
        <is>
          <t>Valid Accounts</t>
        </is>
      </c>
      <c r="D7" s="47" t="inlineStr">
        <is>
          <t>Uso de credenciales legítimas robadas</t>
        </is>
      </c>
      <c r="E7" s="47" t="inlineStr">
        <is>
          <t>RIESGO-001</t>
        </is>
      </c>
      <c r="F7" s="47" t="inlineStr">
        <is>
          <t>MFA, monitoreo accesos</t>
        </is>
      </c>
      <c r="G7" s="47" t="inlineStr">
        <is>
          <t>Análisis login anómalos</t>
        </is>
      </c>
      <c r="H7" s="47" t="inlineStr">
        <is>
          <t>MITRE ATT&amp;CK</t>
        </is>
      </c>
    </row>
    <row r="8">
      <c r="A8" s="20" t="inlineStr">
        <is>
          <t>T1486</t>
        </is>
      </c>
      <c r="B8" s="20" t="inlineStr">
        <is>
          <t>Impact</t>
        </is>
      </c>
      <c r="C8" s="47" t="inlineStr">
        <is>
          <t>Data Encrypted</t>
        </is>
      </c>
      <c r="D8" s="47" t="inlineStr">
        <is>
          <t>Cifrado de datos (ransomware)</t>
        </is>
      </c>
      <c r="E8" s="47" t="inlineStr">
        <is>
          <t>RIESGO-003</t>
        </is>
      </c>
      <c r="F8" s="47" t="inlineStr">
        <is>
          <t>Backups, EDR, segmentación</t>
        </is>
      </c>
      <c r="G8" s="47" t="inlineStr">
        <is>
          <t>Detección EDR</t>
        </is>
      </c>
      <c r="H8" s="47" t="inlineStr">
        <is>
          <t>MITRE ATT&amp;CK</t>
        </is>
      </c>
    </row>
    <row r="50">
      <c r="A50" s="221" t="inlineStr">
        <is>
          <t>Nota: Integrar con inventario_amenazas.xlsx (MITRE ATT&amp;CK ICS v17.1)</t>
        </is>
      </c>
    </row>
  </sheetData>
  <mergeCells count="3">
    <mergeCell ref="A50:H50"/>
    <mergeCell ref="A3:H3"/>
    <mergeCell ref="A1:H1"/>
  </mergeCells>
  <pageMargins left="0.75" right="0.75" top="1" bottom="1" header="0.5" footer="0.5"/>
</worksheet>
</file>

<file path=xl/worksheets/sheet45.xml><?xml version="1.0" encoding="utf-8"?>
<worksheet xmlns="http://schemas.openxmlformats.org/spreadsheetml/2006/main">
  <sheetPr codeName="Hoja45">
    <tabColor rgb="FF7F7F7F"/>
    <outlinePr summaryBelow="1" summaryRight="1"/>
    <pageSetUpPr/>
  </sheetPr>
  <dimension ref="A1:H19"/>
  <sheetViews>
    <sheetView showGridLines="0" workbookViewId="0">
      <selection activeCell="A1" sqref="A1"/>
    </sheetView>
  </sheetViews>
  <sheetFormatPr baseColWidth="10" defaultColWidth="9.140625" defaultRowHeight="15"/>
  <cols>
    <col width="14" customWidth="1" style="127" min="1" max="1"/>
    <col width="12" customWidth="1" style="127" min="2" max="2"/>
    <col width="20" customWidth="1" style="127" min="3" max="3"/>
    <col width="18" customWidth="1" style="127" min="4" max="4"/>
    <col width="35" customWidth="1" style="127" min="5" max="5"/>
    <col width="12" customWidth="1" style="127" min="6" max="6"/>
    <col width="15" customWidth="1" style="127" min="7" max="7"/>
    <col width="30" customWidth="1" style="127" min="8" max="8"/>
  </cols>
  <sheetData>
    <row r="1" ht="24.95" customHeight="1" s="127">
      <c r="A1" s="222" t="inlineStr">
        <is>
          <t>LOG DE ACCIONES Y CAMBIOS</t>
        </is>
      </c>
    </row>
    <row r="3" ht="24.95" customHeight="1" s="127">
      <c r="A3" s="77" t="inlineStr">
        <is>
          <t>Fecha/Hora</t>
        </is>
      </c>
      <c r="B3" s="77" t="inlineStr">
        <is>
          <t>Usuario</t>
        </is>
      </c>
      <c r="C3" s="77" t="inlineStr">
        <is>
          <t>Acción</t>
        </is>
      </c>
      <c r="D3" s="77" t="inlineStr">
        <is>
          <t>Módulo/Hoja</t>
        </is>
      </c>
      <c r="E3" s="77" t="inlineStr">
        <is>
          <t>Detalle</t>
        </is>
      </c>
      <c r="F3" s="77" t="inlineStr">
        <is>
          <t>Estado</t>
        </is>
      </c>
      <c r="G3" s="77" t="inlineStr">
        <is>
          <t>IP/Host</t>
        </is>
      </c>
      <c r="H3" s="77" t="inlineStr">
        <is>
          <t>Observaciones</t>
        </is>
      </c>
    </row>
    <row r="4" ht="30" customHeight="1" s="127">
      <c r="A4" s="47" t="inlineStr">
        <is>
          <t>06/11/2025 15:16</t>
        </is>
      </c>
      <c r="B4" s="47" t="inlineStr">
        <is>
          <t>Admin</t>
        </is>
      </c>
      <c r="C4" s="47" t="inlineStr">
        <is>
          <t>Nuevo activo creado</t>
        </is>
      </c>
      <c r="D4" s="47" t="inlineStr">
        <is>
          <t>Activos</t>
        </is>
      </c>
      <c r="E4" s="47" t="inlineStr">
        <is>
          <t>ACT-2025-001: Servidor Principal</t>
        </is>
      </c>
      <c r="F4" s="20" t="inlineStr">
        <is>
          <t>Completado</t>
        </is>
      </c>
      <c r="G4" s="47" t="inlineStr">
        <is>
          <t>PC-ADMIN-01</t>
        </is>
      </c>
      <c r="H4" s="47" t="inlineStr">
        <is>
          <t>Registro automático</t>
        </is>
      </c>
    </row>
    <row r="5" ht="30" customHeight="1" s="127">
      <c r="A5" s="47" t="inlineStr">
        <is>
          <t>06/11/2025 15:16</t>
        </is>
      </c>
      <c r="B5" s="47" t="inlineStr">
        <is>
          <t>CISO</t>
        </is>
      </c>
      <c r="C5" s="47" t="inlineStr">
        <is>
          <t>Riesgo actualizado</t>
        </is>
      </c>
      <c r="D5" s="47" t="inlineStr">
        <is>
          <t>Matriz_Riesgos</t>
        </is>
      </c>
      <c r="E5" s="47" t="inlineStr">
        <is>
          <t>RIESGO-001: Nivel cambiado a Alto</t>
        </is>
      </c>
      <c r="F5" s="20" t="inlineStr">
        <is>
          <t>Completado</t>
        </is>
      </c>
      <c r="G5" s="47" t="inlineStr">
        <is>
          <t>PC-CISO-01</t>
        </is>
      </c>
      <c r="H5" s="47" t="inlineStr">
        <is>
          <t>Reevaluación trimestral</t>
        </is>
      </c>
    </row>
    <row r="6">
      <c r="A6" s="106" t="n">
        <v>45967.78878472222</v>
      </c>
      <c r="B6" t="inlineStr">
        <is>
          <t>david ñanculeo</t>
        </is>
      </c>
      <c r="C6" t="inlineStr">
        <is>
          <t>Dashboard actualizado</t>
        </is>
      </c>
    </row>
    <row r="7">
      <c r="A7" s="106" t="n">
        <v>45967.80108796297</v>
      </c>
      <c r="B7" t="inlineStr">
        <is>
          <t>david ñanculeo</t>
        </is>
      </c>
      <c r="C7" t="inlineStr">
        <is>
          <t>Reporte de activos generado: 6 activos</t>
        </is>
      </c>
    </row>
    <row r="8">
      <c r="A8" s="106" t="n">
        <v>45967.80375</v>
      </c>
      <c r="B8" t="inlineStr">
        <is>
          <t>david ñanculeo</t>
        </is>
      </c>
      <c r="C8" t="inlineStr">
        <is>
          <t>Nuevo activo creado: ACT-2025-010</t>
        </is>
      </c>
    </row>
    <row r="9">
      <c r="A9" s="106" t="n">
        <v>45967.80395833333</v>
      </c>
      <c r="B9" t="inlineStr">
        <is>
          <t>david ñanculeo</t>
        </is>
      </c>
      <c r="C9" t="inlineStr">
        <is>
          <t>Nuevo activo creado: ACT-2025-006</t>
        </is>
      </c>
    </row>
    <row r="10">
      <c r="A10" s="106" t="n">
        <v>45967.80486111111</v>
      </c>
      <c r="B10" t="inlineStr">
        <is>
          <t>david ñanculeo</t>
        </is>
      </c>
      <c r="C10" t="inlineStr">
        <is>
          <t>Nuevo activo creado: ACT-2025-006</t>
        </is>
      </c>
    </row>
    <row r="11">
      <c r="A11" s="106" t="n">
        <v>45967.80498842592</v>
      </c>
      <c r="B11" t="inlineStr">
        <is>
          <t>david ñanculeo</t>
        </is>
      </c>
      <c r="C11" t="inlineStr">
        <is>
          <t>Reporte de activos generado: 4 activos</t>
        </is>
      </c>
    </row>
    <row r="12">
      <c r="A12" s="106" t="n">
        <v>45967.8083912037</v>
      </c>
      <c r="B12" t="inlineStr">
        <is>
          <t>david ñanculeo</t>
        </is>
      </c>
      <c r="C12" t="inlineStr">
        <is>
          <t>Dashboard actualizado</t>
        </is>
      </c>
    </row>
    <row r="13">
      <c r="A13" s="106" t="n">
        <v>45967.82405092593</v>
      </c>
      <c r="B13" t="inlineStr">
        <is>
          <t>david ñanculeo</t>
        </is>
      </c>
      <c r="C13" t="inlineStr">
        <is>
          <t>Nuevo activo creado: ACT-2025-006</t>
        </is>
      </c>
    </row>
    <row r="14">
      <c r="A14" s="106" t="n">
        <v>45967.8241550926</v>
      </c>
      <c r="B14" t="inlineStr">
        <is>
          <t>david ñanculeo</t>
        </is>
      </c>
      <c r="C14" t="inlineStr">
        <is>
          <t>Reporte de activos generado: 4 activos</t>
        </is>
      </c>
    </row>
    <row r="15">
      <c r="A15" s="106" t="n">
        <v>45967.83627314815</v>
      </c>
      <c r="B15" t="inlineStr">
        <is>
          <t>david ñanculeo</t>
        </is>
      </c>
      <c r="C15" t="inlineStr">
        <is>
          <t>Reporte de activos generado: 3 activos</t>
        </is>
      </c>
    </row>
    <row r="16">
      <c r="A16" s="106" t="n">
        <v>45967.83630787037</v>
      </c>
      <c r="B16" t="inlineStr">
        <is>
          <t>david ñanculeo</t>
        </is>
      </c>
      <c r="C16" t="inlineStr">
        <is>
          <t>Nuevo activo creado: ACT-2025-006</t>
        </is>
      </c>
    </row>
    <row r="17">
      <c r="A17" s="106" t="n">
        <v>45967.84474537037</v>
      </c>
      <c r="B17" t="inlineStr">
        <is>
          <t>david ñanculeo</t>
        </is>
      </c>
      <c r="C17" t="inlineStr">
        <is>
          <t>Reporte de activos generado: 4 activos</t>
        </is>
      </c>
    </row>
    <row r="18">
      <c r="A18" s="106" t="n">
        <v>45967.84487268519</v>
      </c>
      <c r="B18" t="inlineStr">
        <is>
          <t>david ñanculeo</t>
        </is>
      </c>
      <c r="C18" t="inlineStr">
        <is>
          <t>Activos exportados a CSV: Activos_20251106.csv</t>
        </is>
      </c>
    </row>
    <row r="19">
      <c r="A19" s="106" t="n">
        <v>45967.84518518519</v>
      </c>
      <c r="B19" t="inlineStr">
        <is>
          <t>david ñanculeo</t>
        </is>
      </c>
      <c r="C19" t="inlineStr">
        <is>
          <t>Validación de duplicados: 0 encontrados</t>
        </is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2025-11-06T17:50:33Z</dcterms:created>
  <dcterms:modified xmlns:dcterms="http://purl.org/dc/terms/" xmlns:xsi="http://www.w3.org/2001/XMLSchema-instance" xsi:type="dcterms:W3CDTF">2025-11-07T00:54:03Z</dcterms:modified>
  <cp:lastModifiedBy>david ñanculeo</cp:lastModifiedBy>
</cp:coreProperties>
</file>