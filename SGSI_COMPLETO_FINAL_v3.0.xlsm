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https://d.docs.live.net/ee6a4c2e81ec943c/Escritorio/sgsi ciberseguridad/"/>
    </mc:Choice>
  </mc:AlternateContent>
  <xr:revisionPtr revIDLastSave="658" documentId="8_{AF3AC76F-2D2D-4213-A0E3-77C31644F08D}" xr6:coauthVersionLast="47" xr6:coauthVersionMax="47" xr10:uidLastSave="{168C57C5-92B8-421F-8271-1B1D5AD82242}"/>
  <bookViews>
    <workbookView xWindow="-120" yWindow="-120" windowWidth="29040" windowHeight="15720" firstSheet="2" activeTab="8" xr2:uid="{00000000-000D-0000-FFFF-FFFF00000000}"/>
  </bookViews>
  <sheets>
    <sheet name="Panel_Control" sheetId="1" r:id="rId1"/>
    <sheet name="Control_Documentos" sheetId="2" r:id="rId2"/>
    <sheet name="Politicas_Seguridad" sheetId="3" r:id="rId3"/>
    <sheet name="Metodologia_Riesgos" sheetId="4" r:id="rId4"/>
    <sheet name="SoA" sheetId="5" r:id="rId5"/>
    <sheet name="Plan_Auditoria" sheetId="6" r:id="rId6"/>
    <sheet name="Revision_Direccion" sheetId="7" r:id="rId7"/>
    <sheet name="Plan_Proyecto_SGSI" sheetId="8" r:id="rId8"/>
    <sheet name="Gestion_Incidentes" sheetId="9" r:id="rId9"/>
    <sheet name="Plan_Continuidad" sheetId="10" r:id="rId10"/>
    <sheet name="BIA" sheetId="11" r:id="rId11"/>
    <sheet name="Plan_Formacion" sheetId="12" r:id="rId12"/>
    <sheet name="NDA_Proveedores" sheetId="13" r:id="rId13"/>
    <sheet name="NDA_Empleados" sheetId="14" r:id="rId14"/>
    <sheet name="Comite_Seguridad" sheetId="15" r:id="rId15"/>
    <sheet name="CMDB" sheetId="16" r:id="rId16"/>
    <sheet name="Procedimiento_Hardening" sheetId="17" r:id="rId17"/>
    <sheet name="Plan_Director_Ciber" sheetId="18" r:id="rId18"/>
    <sheet name="DRP_Pruebas" sheetId="19" r:id="rId19"/>
    <sheet name="DRP_Informes" sheetId="20" r:id="rId20"/>
    <sheet name="DRP_Mantenimiento" sheetId="21" r:id="rId21"/>
    <sheet name="Portada" sheetId="22" r:id="rId22"/>
    <sheet name="Datos_Organizacion" sheetId="23" r:id="rId23"/>
    <sheet name="Instrucciones" sheetId="24" r:id="rId24"/>
    <sheet name="Activos" sheetId="25" r:id="rId25"/>
    <sheet name="Matriz_Riesgos" sheetId="26" r:id="rId26"/>
    <sheet name="MITRE_Ataques" sheetId="27" r:id="rId27"/>
    <sheet name="Analisis_Riesgos" sheetId="28" r:id="rId28"/>
    <sheet name="Plan_Tratamiento" sheetId="29" r:id="rId29"/>
    <sheet name="Dashboard" sheetId="30" r:id="rId30"/>
    <sheet name="Config_Categorias" sheetId="31" r:id="rId31"/>
    <sheet name="Config_Areas" sheetId="32" r:id="rId32"/>
    <sheet name="Config_Clases" sheetId="33" r:id="rId33"/>
    <sheet name="Log_Acciones" sheetId="34" r:id="rId34"/>
  </sheets>
  <functionGroups builtInGroupCount="19"/>
  <definedNames>
    <definedName name="_xleta.PV" hidden="1" xlm="1">#NAME?</definedName>
    <definedName name="_xlnm.Print_Titles" localSheetId="24">Activos!$1:$1</definedName>
    <definedName name="_xlnm.Print_Titles" localSheetId="27">Analisis_Riesgos!$1:$1</definedName>
    <definedName name="_xlnm.Print_Titles" localSheetId="10">BIA!$1:$1</definedName>
    <definedName name="_xlnm.Print_Titles" localSheetId="15">CMDB!$1:$1</definedName>
    <definedName name="_xlnm.Print_Titles" localSheetId="14">Comite_Seguridad!$1:$1</definedName>
    <definedName name="_xlnm.Print_Titles" localSheetId="31">Config_Areas!$1:$1</definedName>
    <definedName name="_xlnm.Print_Titles" localSheetId="30">Config_Categorias!$1:$1</definedName>
    <definedName name="_xlnm.Print_Titles" localSheetId="32">Config_Clases!$1:$1</definedName>
    <definedName name="_xlnm.Print_Titles" localSheetId="1">Control_Documentos!$1:$1</definedName>
    <definedName name="_xlnm.Print_Titles" localSheetId="29">Dashboard!$1:$1</definedName>
    <definedName name="_xlnm.Print_Titles" localSheetId="22">Datos_Organizacion!$1:$1</definedName>
    <definedName name="_xlnm.Print_Titles" localSheetId="19">DRP_Informes!$1:$1</definedName>
    <definedName name="_xlnm.Print_Titles" localSheetId="20">DRP_Mantenimiento!$1:$1</definedName>
    <definedName name="_xlnm.Print_Titles" localSheetId="18">DRP_Pruebas!$1:$1</definedName>
    <definedName name="_xlnm.Print_Titles" localSheetId="8">Gestion_Incidentes!$1:$1</definedName>
    <definedName name="_xlnm.Print_Titles" localSheetId="23">Instrucciones!$1:$1</definedName>
    <definedName name="_xlnm.Print_Titles" localSheetId="33">Log_Acciones!$1:$1</definedName>
    <definedName name="_xlnm.Print_Titles" localSheetId="25">Matriz_Riesgos!$1:$1</definedName>
    <definedName name="_xlnm.Print_Titles" localSheetId="3">Metodologia_Riesgos!$1:$1</definedName>
    <definedName name="_xlnm.Print_Titles" localSheetId="26">MITRE_Ataques!$1:$1</definedName>
    <definedName name="_xlnm.Print_Titles" localSheetId="13">NDA_Empleados!$1:$1</definedName>
    <definedName name="_xlnm.Print_Titles" localSheetId="12">NDA_Proveedores!$1:$1</definedName>
    <definedName name="_xlnm.Print_Titles" localSheetId="0">Panel_Control!$1:$1</definedName>
    <definedName name="_xlnm.Print_Titles" localSheetId="5">Plan_Auditoria!$1:$1</definedName>
    <definedName name="_xlnm.Print_Titles" localSheetId="9">Plan_Continuidad!$1:$1</definedName>
    <definedName name="_xlnm.Print_Titles" localSheetId="17">Plan_Director_Ciber!$1:$1</definedName>
    <definedName name="_xlnm.Print_Titles" localSheetId="11">Plan_Formacion!$1:$1</definedName>
    <definedName name="_xlnm.Print_Titles" localSheetId="7">Plan_Proyecto_SGSI!$1:$1</definedName>
    <definedName name="_xlnm.Print_Titles" localSheetId="28">Plan_Tratamiento!$1:$1</definedName>
    <definedName name="_xlnm.Print_Titles" localSheetId="2">Politicas_Seguridad!$1:$1</definedName>
    <definedName name="_xlnm.Print_Titles" localSheetId="21">Portada!$1:$1</definedName>
    <definedName name="_xlnm.Print_Titles" localSheetId="16">Procedimiento_Hardening!$1:$1</definedName>
    <definedName name="_xlnm.Print_Titles" localSheetId="6">Revision_Direccion!$1:$1</definedName>
    <definedName name="_xlnm.Print_Titles" localSheetId="4">SoA!$1:$1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9" i="30" l="1"/>
  <c r="C18" i="30"/>
  <c r="C17" i="30"/>
  <c r="C23" i="30" s="1"/>
  <c r="C16" i="30"/>
  <c r="C13" i="30"/>
  <c r="C12" i="30"/>
  <c r="C11" i="30"/>
  <c r="C10" i="30"/>
  <c r="C7" i="30"/>
  <c r="C6" i="30"/>
  <c r="C5" i="30"/>
  <c r="C25" i="30" s="1"/>
  <c r="M1000" i="28"/>
  <c r="I1000" i="28"/>
  <c r="M999" i="28"/>
  <c r="I999" i="28"/>
  <c r="M998" i="28"/>
  <c r="I998" i="28"/>
  <c r="M997" i="28"/>
  <c r="I997" i="28"/>
  <c r="M996" i="28"/>
  <c r="I996" i="28"/>
  <c r="M995" i="28"/>
  <c r="I995" i="28"/>
  <c r="M994" i="28"/>
  <c r="I994" i="28"/>
  <c r="M993" i="28"/>
  <c r="I993" i="28"/>
  <c r="M992" i="28"/>
  <c r="I992" i="28"/>
  <c r="M991" i="28"/>
  <c r="I991" i="28"/>
  <c r="M990" i="28"/>
  <c r="I990" i="28"/>
  <c r="M989" i="28"/>
  <c r="I989" i="28"/>
  <c r="M988" i="28"/>
  <c r="I988" i="28"/>
  <c r="M987" i="28"/>
  <c r="I987" i="28"/>
  <c r="M986" i="28"/>
  <c r="I986" i="28"/>
  <c r="M985" i="28"/>
  <c r="I985" i="28"/>
  <c r="M984" i="28"/>
  <c r="I984" i="28"/>
  <c r="M983" i="28"/>
  <c r="I983" i="28"/>
  <c r="M982" i="28"/>
  <c r="I982" i="28"/>
  <c r="M981" i="28"/>
  <c r="I981" i="28"/>
  <c r="M980" i="28"/>
  <c r="I980" i="28"/>
  <c r="M979" i="28"/>
  <c r="I979" i="28"/>
  <c r="M978" i="28"/>
  <c r="I978" i="28"/>
  <c r="M977" i="28"/>
  <c r="I977" i="28"/>
  <c r="M976" i="28"/>
  <c r="I976" i="28"/>
  <c r="M975" i="28"/>
  <c r="I975" i="28"/>
  <c r="M974" i="28"/>
  <c r="I974" i="28"/>
  <c r="M973" i="28"/>
  <c r="I973" i="28"/>
  <c r="M972" i="28"/>
  <c r="I972" i="28"/>
  <c r="M971" i="28"/>
  <c r="I971" i="28"/>
  <c r="M970" i="28"/>
  <c r="I970" i="28"/>
  <c r="M969" i="28"/>
  <c r="I969" i="28"/>
  <c r="M968" i="28"/>
  <c r="I968" i="28"/>
  <c r="M967" i="28"/>
  <c r="I967" i="28"/>
  <c r="M966" i="28"/>
  <c r="I966" i="28"/>
  <c r="M965" i="28"/>
  <c r="I965" i="28"/>
  <c r="M964" i="28"/>
  <c r="I964" i="28"/>
  <c r="M963" i="28"/>
  <c r="I963" i="28"/>
  <c r="M962" i="28"/>
  <c r="I962" i="28"/>
  <c r="M961" i="28"/>
  <c r="I961" i="28"/>
  <c r="M960" i="28"/>
  <c r="I960" i="28"/>
  <c r="M959" i="28"/>
  <c r="I959" i="28"/>
  <c r="M958" i="28"/>
  <c r="I958" i="28"/>
  <c r="M957" i="28"/>
  <c r="I957" i="28"/>
  <c r="M956" i="28"/>
  <c r="I956" i="28"/>
  <c r="M955" i="28"/>
  <c r="I955" i="28"/>
  <c r="M954" i="28"/>
  <c r="I954" i="28"/>
  <c r="M953" i="28"/>
  <c r="I953" i="28"/>
  <c r="M952" i="28"/>
  <c r="I952" i="28"/>
  <c r="M951" i="28"/>
  <c r="I951" i="28"/>
  <c r="M950" i="28"/>
  <c r="I950" i="28"/>
  <c r="M949" i="28"/>
  <c r="I949" i="28"/>
  <c r="M948" i="28"/>
  <c r="I948" i="28"/>
  <c r="M947" i="28"/>
  <c r="I947" i="28"/>
  <c r="M946" i="28"/>
  <c r="I946" i="28"/>
  <c r="M945" i="28"/>
  <c r="I945" i="28"/>
  <c r="M944" i="28"/>
  <c r="I944" i="28"/>
  <c r="M943" i="28"/>
  <c r="I943" i="28"/>
  <c r="M942" i="28"/>
  <c r="I942" i="28"/>
  <c r="M941" i="28"/>
  <c r="I941" i="28"/>
  <c r="M940" i="28"/>
  <c r="I940" i="28"/>
  <c r="M939" i="28"/>
  <c r="I939" i="28"/>
  <c r="M938" i="28"/>
  <c r="I938" i="28"/>
  <c r="M937" i="28"/>
  <c r="I937" i="28"/>
  <c r="M936" i="28"/>
  <c r="I936" i="28"/>
  <c r="M935" i="28"/>
  <c r="I935" i="28"/>
  <c r="M934" i="28"/>
  <c r="I934" i="28"/>
  <c r="M933" i="28"/>
  <c r="I933" i="28"/>
  <c r="M932" i="28"/>
  <c r="I932" i="28"/>
  <c r="M931" i="28"/>
  <c r="I931" i="28"/>
  <c r="M930" i="28"/>
  <c r="I930" i="28"/>
  <c r="M929" i="28"/>
  <c r="I929" i="28"/>
  <c r="M928" i="28"/>
  <c r="I928" i="28"/>
  <c r="M927" i="28"/>
  <c r="I927" i="28"/>
  <c r="M926" i="28"/>
  <c r="I926" i="28"/>
  <c r="M925" i="28"/>
  <c r="I925" i="28"/>
  <c r="M924" i="28"/>
  <c r="I924" i="28"/>
  <c r="M923" i="28"/>
  <c r="I923" i="28"/>
  <c r="M922" i="28"/>
  <c r="I922" i="28"/>
  <c r="M921" i="28"/>
  <c r="I921" i="28"/>
  <c r="M920" i="28"/>
  <c r="I920" i="28"/>
  <c r="M919" i="28"/>
  <c r="I919" i="28"/>
  <c r="M918" i="28"/>
  <c r="I918" i="28"/>
  <c r="M917" i="28"/>
  <c r="I917" i="28"/>
  <c r="M916" i="28"/>
  <c r="I916" i="28"/>
  <c r="M915" i="28"/>
  <c r="I915" i="28"/>
  <c r="M914" i="28"/>
  <c r="I914" i="28"/>
  <c r="M913" i="28"/>
  <c r="I913" i="28"/>
  <c r="M912" i="28"/>
  <c r="I912" i="28"/>
  <c r="M911" i="28"/>
  <c r="I911" i="28"/>
  <c r="M910" i="28"/>
  <c r="I910" i="28"/>
  <c r="M909" i="28"/>
  <c r="I909" i="28"/>
  <c r="M908" i="28"/>
  <c r="I908" i="28"/>
  <c r="M907" i="28"/>
  <c r="I907" i="28"/>
  <c r="M906" i="28"/>
  <c r="I906" i="28"/>
  <c r="M905" i="28"/>
  <c r="I905" i="28"/>
  <c r="M904" i="28"/>
  <c r="I904" i="28"/>
  <c r="M903" i="28"/>
  <c r="I903" i="28"/>
  <c r="M902" i="28"/>
  <c r="I902" i="28"/>
  <c r="M901" i="28"/>
  <c r="I901" i="28"/>
  <c r="M900" i="28"/>
  <c r="I900" i="28"/>
  <c r="M899" i="28"/>
  <c r="I899" i="28"/>
  <c r="M898" i="28"/>
  <c r="I898" i="28"/>
  <c r="M897" i="28"/>
  <c r="I897" i="28"/>
  <c r="M896" i="28"/>
  <c r="I896" i="28"/>
  <c r="M895" i="28"/>
  <c r="I895" i="28"/>
  <c r="M894" i="28"/>
  <c r="I894" i="28"/>
  <c r="M893" i="28"/>
  <c r="I893" i="28"/>
  <c r="M892" i="28"/>
  <c r="I892" i="28"/>
  <c r="M891" i="28"/>
  <c r="I891" i="28"/>
  <c r="M890" i="28"/>
  <c r="I890" i="28"/>
  <c r="M889" i="28"/>
  <c r="I889" i="28"/>
  <c r="M888" i="28"/>
  <c r="I888" i="28"/>
  <c r="M887" i="28"/>
  <c r="I887" i="28"/>
  <c r="M886" i="28"/>
  <c r="I886" i="28"/>
  <c r="M885" i="28"/>
  <c r="I885" i="28"/>
  <c r="M884" i="28"/>
  <c r="I884" i="28"/>
  <c r="M883" i="28"/>
  <c r="I883" i="28"/>
  <c r="M882" i="28"/>
  <c r="I882" i="28"/>
  <c r="M881" i="28"/>
  <c r="I881" i="28"/>
  <c r="M880" i="28"/>
  <c r="I880" i="28"/>
  <c r="M879" i="28"/>
  <c r="I879" i="28"/>
  <c r="M878" i="28"/>
  <c r="I878" i="28"/>
  <c r="M877" i="28"/>
  <c r="I877" i="28"/>
  <c r="M876" i="28"/>
  <c r="I876" i="28"/>
  <c r="M875" i="28"/>
  <c r="I875" i="28"/>
  <c r="M874" i="28"/>
  <c r="I874" i="28"/>
  <c r="M873" i="28"/>
  <c r="I873" i="28"/>
  <c r="M872" i="28"/>
  <c r="I872" i="28"/>
  <c r="M871" i="28"/>
  <c r="I871" i="28"/>
  <c r="M870" i="28"/>
  <c r="I870" i="28"/>
  <c r="M869" i="28"/>
  <c r="I869" i="28"/>
  <c r="M868" i="28"/>
  <c r="I868" i="28"/>
  <c r="M867" i="28"/>
  <c r="I867" i="28"/>
  <c r="M866" i="28"/>
  <c r="I866" i="28"/>
  <c r="M865" i="28"/>
  <c r="I865" i="28"/>
  <c r="M864" i="28"/>
  <c r="I864" i="28"/>
  <c r="M863" i="28"/>
  <c r="I863" i="28"/>
  <c r="M862" i="28"/>
  <c r="I862" i="28"/>
  <c r="M861" i="28"/>
  <c r="I861" i="28"/>
  <c r="M860" i="28"/>
  <c r="I860" i="28"/>
  <c r="M859" i="28"/>
  <c r="I859" i="28"/>
  <c r="M858" i="28"/>
  <c r="I858" i="28"/>
  <c r="M857" i="28"/>
  <c r="I857" i="28"/>
  <c r="M856" i="28"/>
  <c r="I856" i="28"/>
  <c r="M855" i="28"/>
  <c r="I855" i="28"/>
  <c r="M854" i="28"/>
  <c r="I854" i="28"/>
  <c r="M853" i="28"/>
  <c r="I853" i="28"/>
  <c r="M852" i="28"/>
  <c r="I852" i="28"/>
  <c r="M851" i="28"/>
  <c r="I851" i="28"/>
  <c r="M850" i="28"/>
  <c r="I850" i="28"/>
  <c r="M849" i="28"/>
  <c r="I849" i="28"/>
  <c r="M848" i="28"/>
  <c r="I848" i="28"/>
  <c r="M847" i="28"/>
  <c r="I847" i="28"/>
  <c r="M846" i="28"/>
  <c r="I846" i="28"/>
  <c r="M845" i="28"/>
  <c r="I845" i="28"/>
  <c r="M844" i="28"/>
  <c r="I844" i="28"/>
  <c r="M843" i="28"/>
  <c r="I843" i="28"/>
  <c r="M842" i="28"/>
  <c r="I842" i="28"/>
  <c r="M841" i="28"/>
  <c r="I841" i="28"/>
  <c r="M840" i="28"/>
  <c r="I840" i="28"/>
  <c r="M839" i="28"/>
  <c r="I839" i="28"/>
  <c r="M838" i="28"/>
  <c r="I838" i="28"/>
  <c r="M837" i="28"/>
  <c r="I837" i="28"/>
  <c r="M836" i="28"/>
  <c r="I836" i="28"/>
  <c r="M835" i="28"/>
  <c r="I835" i="28"/>
  <c r="M834" i="28"/>
  <c r="I834" i="28"/>
  <c r="M833" i="28"/>
  <c r="I833" i="28"/>
  <c r="M832" i="28"/>
  <c r="I832" i="28"/>
  <c r="M831" i="28"/>
  <c r="I831" i="28"/>
  <c r="M830" i="28"/>
  <c r="I830" i="28"/>
  <c r="M829" i="28"/>
  <c r="I829" i="28"/>
  <c r="M828" i="28"/>
  <c r="I828" i="28"/>
  <c r="M827" i="28"/>
  <c r="I827" i="28"/>
  <c r="M826" i="28"/>
  <c r="I826" i="28"/>
  <c r="M825" i="28"/>
  <c r="I825" i="28"/>
  <c r="M824" i="28"/>
  <c r="I824" i="28"/>
  <c r="M823" i="28"/>
  <c r="I823" i="28"/>
  <c r="M822" i="28"/>
  <c r="I822" i="28"/>
  <c r="M821" i="28"/>
  <c r="I821" i="28"/>
  <c r="M820" i="28"/>
  <c r="I820" i="28"/>
  <c r="M819" i="28"/>
  <c r="I819" i="28"/>
  <c r="M818" i="28"/>
  <c r="I818" i="28"/>
  <c r="M817" i="28"/>
  <c r="I817" i="28"/>
  <c r="M816" i="28"/>
  <c r="I816" i="28"/>
  <c r="M815" i="28"/>
  <c r="I815" i="28"/>
  <c r="M814" i="28"/>
  <c r="I814" i="28"/>
  <c r="M813" i="28"/>
  <c r="I813" i="28"/>
  <c r="M812" i="28"/>
  <c r="I812" i="28"/>
  <c r="M811" i="28"/>
  <c r="I811" i="28"/>
  <c r="M810" i="28"/>
  <c r="I810" i="28"/>
  <c r="M809" i="28"/>
  <c r="I809" i="28"/>
  <c r="M808" i="28"/>
  <c r="I808" i="28"/>
  <c r="M807" i="28"/>
  <c r="I807" i="28"/>
  <c r="M806" i="28"/>
  <c r="I806" i="28"/>
  <c r="M805" i="28"/>
  <c r="I805" i="28"/>
  <c r="M804" i="28"/>
  <c r="I804" i="28"/>
  <c r="M803" i="28"/>
  <c r="I803" i="28"/>
  <c r="M802" i="28"/>
  <c r="I802" i="28"/>
  <c r="M801" i="28"/>
  <c r="I801" i="28"/>
  <c r="M800" i="28"/>
  <c r="I800" i="28"/>
  <c r="M799" i="28"/>
  <c r="I799" i="28"/>
  <c r="M798" i="28"/>
  <c r="I798" i="28"/>
  <c r="M797" i="28"/>
  <c r="I797" i="28"/>
  <c r="M796" i="28"/>
  <c r="I796" i="28"/>
  <c r="M795" i="28"/>
  <c r="I795" i="28"/>
  <c r="M794" i="28"/>
  <c r="I794" i="28"/>
  <c r="M793" i="28"/>
  <c r="I793" i="28"/>
  <c r="M792" i="28"/>
  <c r="I792" i="28"/>
  <c r="M791" i="28"/>
  <c r="I791" i="28"/>
  <c r="M790" i="28"/>
  <c r="I790" i="28"/>
  <c r="M789" i="28"/>
  <c r="I789" i="28"/>
  <c r="M788" i="28"/>
  <c r="I788" i="28"/>
  <c r="M787" i="28"/>
  <c r="I787" i="28"/>
  <c r="M786" i="28"/>
  <c r="I786" i="28"/>
  <c r="M785" i="28"/>
  <c r="I785" i="28"/>
  <c r="M784" i="28"/>
  <c r="I784" i="28"/>
  <c r="M783" i="28"/>
  <c r="I783" i="28"/>
  <c r="M782" i="28"/>
  <c r="I782" i="28"/>
  <c r="M781" i="28"/>
  <c r="I781" i="28"/>
  <c r="M780" i="28"/>
  <c r="I780" i="28"/>
  <c r="M779" i="28"/>
  <c r="I779" i="28"/>
  <c r="M778" i="28"/>
  <c r="I778" i="28"/>
  <c r="M777" i="28"/>
  <c r="I777" i="28"/>
  <c r="M776" i="28"/>
  <c r="I776" i="28"/>
  <c r="M775" i="28"/>
  <c r="I775" i="28"/>
  <c r="M774" i="28"/>
  <c r="I774" i="28"/>
  <c r="M773" i="28"/>
  <c r="I773" i="28"/>
  <c r="M772" i="28"/>
  <c r="I772" i="28"/>
  <c r="M771" i="28"/>
  <c r="I771" i="28"/>
  <c r="M770" i="28"/>
  <c r="I770" i="28"/>
  <c r="M769" i="28"/>
  <c r="I769" i="28"/>
  <c r="M768" i="28"/>
  <c r="I768" i="28"/>
  <c r="M767" i="28"/>
  <c r="I767" i="28"/>
  <c r="M766" i="28"/>
  <c r="I766" i="28"/>
  <c r="M765" i="28"/>
  <c r="I765" i="28"/>
  <c r="M764" i="28"/>
  <c r="I764" i="28"/>
  <c r="M763" i="28"/>
  <c r="I763" i="28"/>
  <c r="M762" i="28"/>
  <c r="I762" i="28"/>
  <c r="M761" i="28"/>
  <c r="I761" i="28"/>
  <c r="M760" i="28"/>
  <c r="I760" i="28"/>
  <c r="M759" i="28"/>
  <c r="I759" i="28"/>
  <c r="M758" i="28"/>
  <c r="I758" i="28"/>
  <c r="M757" i="28"/>
  <c r="I757" i="28"/>
  <c r="M756" i="28"/>
  <c r="I756" i="28"/>
  <c r="M755" i="28"/>
  <c r="I755" i="28"/>
  <c r="M754" i="28"/>
  <c r="I754" i="28"/>
  <c r="M753" i="28"/>
  <c r="I753" i="28"/>
  <c r="M752" i="28"/>
  <c r="I752" i="28"/>
  <c r="M751" i="28"/>
  <c r="I751" i="28"/>
  <c r="M750" i="28"/>
  <c r="I750" i="28"/>
  <c r="M749" i="28"/>
  <c r="I749" i="28"/>
  <c r="M748" i="28"/>
  <c r="I748" i="28"/>
  <c r="M747" i="28"/>
  <c r="I747" i="28"/>
  <c r="M746" i="28"/>
  <c r="I746" i="28"/>
  <c r="M745" i="28"/>
  <c r="I745" i="28"/>
  <c r="M744" i="28"/>
  <c r="I744" i="28"/>
  <c r="M743" i="28"/>
  <c r="I743" i="28"/>
  <c r="M742" i="28"/>
  <c r="I742" i="28"/>
  <c r="M741" i="28"/>
  <c r="I741" i="28"/>
  <c r="M740" i="28"/>
  <c r="I740" i="28"/>
  <c r="M739" i="28"/>
  <c r="I739" i="28"/>
  <c r="M738" i="28"/>
  <c r="I738" i="28"/>
  <c r="M737" i="28"/>
  <c r="I737" i="28"/>
  <c r="M736" i="28"/>
  <c r="I736" i="28"/>
  <c r="M735" i="28"/>
  <c r="I735" i="28"/>
  <c r="M734" i="28"/>
  <c r="I734" i="28"/>
  <c r="M733" i="28"/>
  <c r="I733" i="28"/>
  <c r="M732" i="28"/>
  <c r="I732" i="28"/>
  <c r="M731" i="28"/>
  <c r="I731" i="28"/>
  <c r="M730" i="28"/>
  <c r="I730" i="28"/>
  <c r="M729" i="28"/>
  <c r="I729" i="28"/>
  <c r="M728" i="28"/>
  <c r="I728" i="28"/>
  <c r="M727" i="28"/>
  <c r="I727" i="28"/>
  <c r="M726" i="28"/>
  <c r="I726" i="28"/>
  <c r="M725" i="28"/>
  <c r="I725" i="28"/>
  <c r="M724" i="28"/>
  <c r="I724" i="28"/>
  <c r="M723" i="28"/>
  <c r="I723" i="28"/>
  <c r="M722" i="28"/>
  <c r="I722" i="28"/>
  <c r="M721" i="28"/>
  <c r="I721" i="28"/>
  <c r="M720" i="28"/>
  <c r="I720" i="28"/>
  <c r="M719" i="28"/>
  <c r="I719" i="28"/>
  <c r="M718" i="28"/>
  <c r="I718" i="28"/>
  <c r="M717" i="28"/>
  <c r="I717" i="28"/>
  <c r="M716" i="28"/>
  <c r="I716" i="28"/>
  <c r="M715" i="28"/>
  <c r="I715" i="28"/>
  <c r="M714" i="28"/>
  <c r="I714" i="28"/>
  <c r="M713" i="28"/>
  <c r="I713" i="28"/>
  <c r="M712" i="28"/>
  <c r="I712" i="28"/>
  <c r="M711" i="28"/>
  <c r="I711" i="28"/>
  <c r="M710" i="28"/>
  <c r="I710" i="28"/>
  <c r="M709" i="28"/>
  <c r="I709" i="28"/>
  <c r="M708" i="28"/>
  <c r="I708" i="28"/>
  <c r="M707" i="28"/>
  <c r="I707" i="28"/>
  <c r="M706" i="28"/>
  <c r="I706" i="28"/>
  <c r="M705" i="28"/>
  <c r="I705" i="28"/>
  <c r="M704" i="28"/>
  <c r="I704" i="28"/>
  <c r="M703" i="28"/>
  <c r="I703" i="28"/>
  <c r="M702" i="28"/>
  <c r="I702" i="28"/>
  <c r="M701" i="28"/>
  <c r="I701" i="28"/>
  <c r="M700" i="28"/>
  <c r="I700" i="28"/>
  <c r="M699" i="28"/>
  <c r="I699" i="28"/>
  <c r="M698" i="28"/>
  <c r="I698" i="28"/>
  <c r="M697" i="28"/>
  <c r="I697" i="28"/>
  <c r="M696" i="28"/>
  <c r="I696" i="28"/>
  <c r="M695" i="28"/>
  <c r="I695" i="28"/>
  <c r="M694" i="28"/>
  <c r="I694" i="28"/>
  <c r="M693" i="28"/>
  <c r="I693" i="28"/>
  <c r="M692" i="28"/>
  <c r="I692" i="28"/>
  <c r="M691" i="28"/>
  <c r="I691" i="28"/>
  <c r="M690" i="28"/>
  <c r="I690" i="28"/>
  <c r="M689" i="28"/>
  <c r="I689" i="28"/>
  <c r="M688" i="28"/>
  <c r="I688" i="28"/>
  <c r="M687" i="28"/>
  <c r="I687" i="28"/>
  <c r="M686" i="28"/>
  <c r="I686" i="28"/>
  <c r="M685" i="28"/>
  <c r="I685" i="28"/>
  <c r="M684" i="28"/>
  <c r="I684" i="28"/>
  <c r="M683" i="28"/>
  <c r="I683" i="28"/>
  <c r="M682" i="28"/>
  <c r="I682" i="28"/>
  <c r="M681" i="28"/>
  <c r="I681" i="28"/>
  <c r="M680" i="28"/>
  <c r="I680" i="28"/>
  <c r="M679" i="28"/>
  <c r="I679" i="28"/>
  <c r="M678" i="28"/>
  <c r="I678" i="28"/>
  <c r="M677" i="28"/>
  <c r="I677" i="28"/>
  <c r="M676" i="28"/>
  <c r="I676" i="28"/>
  <c r="M675" i="28"/>
  <c r="I675" i="28"/>
  <c r="M674" i="28"/>
  <c r="I674" i="28"/>
  <c r="M673" i="28"/>
  <c r="I673" i="28"/>
  <c r="M672" i="28"/>
  <c r="I672" i="28"/>
  <c r="M671" i="28"/>
  <c r="I671" i="28"/>
  <c r="M670" i="28"/>
  <c r="I670" i="28"/>
  <c r="M669" i="28"/>
  <c r="I669" i="28"/>
  <c r="M668" i="28"/>
  <c r="I668" i="28"/>
  <c r="M667" i="28"/>
  <c r="I667" i="28"/>
  <c r="M666" i="28"/>
  <c r="I666" i="28"/>
  <c r="M665" i="28"/>
  <c r="I665" i="28"/>
  <c r="M664" i="28"/>
  <c r="I664" i="28"/>
  <c r="M663" i="28"/>
  <c r="I663" i="28"/>
  <c r="M662" i="28"/>
  <c r="I662" i="28"/>
  <c r="M661" i="28"/>
  <c r="I661" i="28"/>
  <c r="M660" i="28"/>
  <c r="I660" i="28"/>
  <c r="M659" i="28"/>
  <c r="I659" i="28"/>
  <c r="M658" i="28"/>
  <c r="I658" i="28"/>
  <c r="M657" i="28"/>
  <c r="I657" i="28"/>
  <c r="M656" i="28"/>
  <c r="I656" i="28"/>
  <c r="M655" i="28"/>
  <c r="I655" i="28"/>
  <c r="M654" i="28"/>
  <c r="I654" i="28"/>
  <c r="M653" i="28"/>
  <c r="I653" i="28"/>
  <c r="M652" i="28"/>
  <c r="I652" i="28"/>
  <c r="M651" i="28"/>
  <c r="I651" i="28"/>
  <c r="M650" i="28"/>
  <c r="I650" i="28"/>
  <c r="M649" i="28"/>
  <c r="I649" i="28"/>
  <c r="M648" i="28"/>
  <c r="I648" i="28"/>
  <c r="M647" i="28"/>
  <c r="I647" i="28"/>
  <c r="M646" i="28"/>
  <c r="I646" i="28"/>
  <c r="M645" i="28"/>
  <c r="I645" i="28"/>
  <c r="M644" i="28"/>
  <c r="I644" i="28"/>
  <c r="M643" i="28"/>
  <c r="I643" i="28"/>
  <c r="M642" i="28"/>
  <c r="I642" i="28"/>
  <c r="M641" i="28"/>
  <c r="I641" i="28"/>
  <c r="M640" i="28"/>
  <c r="I640" i="28"/>
  <c r="M639" i="28"/>
  <c r="I639" i="28"/>
  <c r="M638" i="28"/>
  <c r="I638" i="28"/>
  <c r="M637" i="28"/>
  <c r="I637" i="28"/>
  <c r="M636" i="28"/>
  <c r="I636" i="28"/>
  <c r="M635" i="28"/>
  <c r="I635" i="28"/>
  <c r="M634" i="28"/>
  <c r="I634" i="28"/>
  <c r="M633" i="28"/>
  <c r="I633" i="28"/>
  <c r="M632" i="28"/>
  <c r="I632" i="28"/>
  <c r="M631" i="28"/>
  <c r="I631" i="28"/>
  <c r="M630" i="28"/>
  <c r="I630" i="28"/>
  <c r="M629" i="28"/>
  <c r="I629" i="28"/>
  <c r="M628" i="28"/>
  <c r="I628" i="28"/>
  <c r="M627" i="28"/>
  <c r="I627" i="28"/>
  <c r="M626" i="28"/>
  <c r="I626" i="28"/>
  <c r="M625" i="28"/>
  <c r="I625" i="28"/>
  <c r="M624" i="28"/>
  <c r="I624" i="28"/>
  <c r="M623" i="28"/>
  <c r="I623" i="28"/>
  <c r="M622" i="28"/>
  <c r="I622" i="28"/>
  <c r="M621" i="28"/>
  <c r="I621" i="28"/>
  <c r="M620" i="28"/>
  <c r="I620" i="28"/>
  <c r="M619" i="28"/>
  <c r="I619" i="28"/>
  <c r="M618" i="28"/>
  <c r="I618" i="28"/>
  <c r="M617" i="28"/>
  <c r="I617" i="28"/>
  <c r="M616" i="28"/>
  <c r="I616" i="28"/>
  <c r="M615" i="28"/>
  <c r="I615" i="28"/>
  <c r="M614" i="28"/>
  <c r="I614" i="28"/>
  <c r="M613" i="28"/>
  <c r="I613" i="28"/>
  <c r="M612" i="28"/>
  <c r="I612" i="28"/>
  <c r="M611" i="28"/>
  <c r="I611" i="28"/>
  <c r="M610" i="28"/>
  <c r="I610" i="28"/>
  <c r="M609" i="28"/>
  <c r="I609" i="28"/>
  <c r="M608" i="28"/>
  <c r="I608" i="28"/>
  <c r="M607" i="28"/>
  <c r="I607" i="28"/>
  <c r="M606" i="28"/>
  <c r="I606" i="28"/>
  <c r="M605" i="28"/>
  <c r="I605" i="28"/>
  <c r="M604" i="28"/>
  <c r="I604" i="28"/>
  <c r="M603" i="28"/>
  <c r="I603" i="28"/>
  <c r="M602" i="28"/>
  <c r="I602" i="28"/>
  <c r="M601" i="28"/>
  <c r="I601" i="28"/>
  <c r="M600" i="28"/>
  <c r="I600" i="28"/>
  <c r="M599" i="28"/>
  <c r="I599" i="28"/>
  <c r="M598" i="28"/>
  <c r="I598" i="28"/>
  <c r="M597" i="28"/>
  <c r="I597" i="28"/>
  <c r="M596" i="28"/>
  <c r="I596" i="28"/>
  <c r="M595" i="28"/>
  <c r="I595" i="28"/>
  <c r="M594" i="28"/>
  <c r="I594" i="28"/>
  <c r="M593" i="28"/>
  <c r="I593" i="28"/>
  <c r="M592" i="28"/>
  <c r="I592" i="28"/>
  <c r="M591" i="28"/>
  <c r="I591" i="28"/>
  <c r="M590" i="28"/>
  <c r="I590" i="28"/>
  <c r="M589" i="28"/>
  <c r="I589" i="28"/>
  <c r="M588" i="28"/>
  <c r="I588" i="28"/>
  <c r="M587" i="28"/>
  <c r="I587" i="28"/>
  <c r="M586" i="28"/>
  <c r="I586" i="28"/>
  <c r="M585" i="28"/>
  <c r="I585" i="28"/>
  <c r="M584" i="28"/>
  <c r="I584" i="28"/>
  <c r="M583" i="28"/>
  <c r="I583" i="28"/>
  <c r="M582" i="28"/>
  <c r="I582" i="28"/>
  <c r="M581" i="28"/>
  <c r="I581" i="28"/>
  <c r="M580" i="28"/>
  <c r="I580" i="28"/>
  <c r="M579" i="28"/>
  <c r="I579" i="28"/>
  <c r="M578" i="28"/>
  <c r="I578" i="28"/>
  <c r="M577" i="28"/>
  <c r="I577" i="28"/>
  <c r="M576" i="28"/>
  <c r="I576" i="28"/>
  <c r="M575" i="28"/>
  <c r="I575" i="28"/>
  <c r="M574" i="28"/>
  <c r="I574" i="28"/>
  <c r="M573" i="28"/>
  <c r="I573" i="28"/>
  <c r="M572" i="28"/>
  <c r="I572" i="28"/>
  <c r="M571" i="28"/>
  <c r="I571" i="28"/>
  <c r="M570" i="28"/>
  <c r="I570" i="28"/>
  <c r="M569" i="28"/>
  <c r="I569" i="28"/>
  <c r="M568" i="28"/>
  <c r="I568" i="28"/>
  <c r="M567" i="28"/>
  <c r="I567" i="28"/>
  <c r="M566" i="28"/>
  <c r="I566" i="28"/>
  <c r="M565" i="28"/>
  <c r="I565" i="28"/>
  <c r="M564" i="28"/>
  <c r="I564" i="28"/>
  <c r="M563" i="28"/>
  <c r="I563" i="28"/>
  <c r="M562" i="28"/>
  <c r="I562" i="28"/>
  <c r="M561" i="28"/>
  <c r="I561" i="28"/>
  <c r="M560" i="28"/>
  <c r="I560" i="28"/>
  <c r="M559" i="28"/>
  <c r="I559" i="28"/>
  <c r="M558" i="28"/>
  <c r="I558" i="28"/>
  <c r="M557" i="28"/>
  <c r="I557" i="28"/>
  <c r="M556" i="28"/>
  <c r="I556" i="28"/>
  <c r="M555" i="28"/>
  <c r="I555" i="28"/>
  <c r="M554" i="28"/>
  <c r="I554" i="28"/>
  <c r="M553" i="28"/>
  <c r="I553" i="28"/>
  <c r="M552" i="28"/>
  <c r="I552" i="28"/>
  <c r="M551" i="28"/>
  <c r="I551" i="28"/>
  <c r="M550" i="28"/>
  <c r="I550" i="28"/>
  <c r="M549" i="28"/>
  <c r="I549" i="28"/>
  <c r="M548" i="28"/>
  <c r="I548" i="28"/>
  <c r="M547" i="28"/>
  <c r="I547" i="28"/>
  <c r="M546" i="28"/>
  <c r="I546" i="28"/>
  <c r="M545" i="28"/>
  <c r="I545" i="28"/>
  <c r="M544" i="28"/>
  <c r="I544" i="28"/>
  <c r="M543" i="28"/>
  <c r="I543" i="28"/>
  <c r="M542" i="28"/>
  <c r="I542" i="28"/>
  <c r="M541" i="28"/>
  <c r="I541" i="28"/>
  <c r="M540" i="28"/>
  <c r="I540" i="28"/>
  <c r="M539" i="28"/>
  <c r="I539" i="28"/>
  <c r="M538" i="28"/>
  <c r="I538" i="28"/>
  <c r="M537" i="28"/>
  <c r="I537" i="28"/>
  <c r="M536" i="28"/>
  <c r="I536" i="28"/>
  <c r="M535" i="28"/>
  <c r="I535" i="28"/>
  <c r="M534" i="28"/>
  <c r="I534" i="28"/>
  <c r="M533" i="28"/>
  <c r="I533" i="28"/>
  <c r="M532" i="28"/>
  <c r="I532" i="28"/>
  <c r="M531" i="28"/>
  <c r="I531" i="28"/>
  <c r="M530" i="28"/>
  <c r="I530" i="28"/>
  <c r="M529" i="28"/>
  <c r="I529" i="28"/>
  <c r="M528" i="28"/>
  <c r="I528" i="28"/>
  <c r="M527" i="28"/>
  <c r="I527" i="28"/>
  <c r="M526" i="28"/>
  <c r="I526" i="28"/>
  <c r="M525" i="28"/>
  <c r="I525" i="28"/>
  <c r="M524" i="28"/>
  <c r="I524" i="28"/>
  <c r="M523" i="28"/>
  <c r="I523" i="28"/>
  <c r="M522" i="28"/>
  <c r="I522" i="28"/>
  <c r="M521" i="28"/>
  <c r="I521" i="28"/>
  <c r="M520" i="28"/>
  <c r="I520" i="28"/>
  <c r="M519" i="28"/>
  <c r="I519" i="28"/>
  <c r="M518" i="28"/>
  <c r="I518" i="28"/>
  <c r="M517" i="28"/>
  <c r="I517" i="28"/>
  <c r="M516" i="28"/>
  <c r="I516" i="28"/>
  <c r="M515" i="28"/>
  <c r="I515" i="28"/>
  <c r="M514" i="28"/>
  <c r="I514" i="28"/>
  <c r="M513" i="28"/>
  <c r="I513" i="28"/>
  <c r="M512" i="28"/>
  <c r="I512" i="28"/>
  <c r="M511" i="28"/>
  <c r="I511" i="28"/>
  <c r="M510" i="28"/>
  <c r="I510" i="28"/>
  <c r="M509" i="28"/>
  <c r="I509" i="28"/>
  <c r="M508" i="28"/>
  <c r="I508" i="28"/>
  <c r="M507" i="28"/>
  <c r="I507" i="28"/>
  <c r="M506" i="28"/>
  <c r="I506" i="28"/>
  <c r="M505" i="28"/>
  <c r="I505" i="28"/>
  <c r="M504" i="28"/>
  <c r="I504" i="28"/>
  <c r="M503" i="28"/>
  <c r="I503" i="28"/>
  <c r="M502" i="28"/>
  <c r="I502" i="28"/>
  <c r="M501" i="28"/>
  <c r="I501" i="28"/>
  <c r="M500" i="28"/>
  <c r="I500" i="28"/>
  <c r="M499" i="28"/>
  <c r="I499" i="28"/>
  <c r="M498" i="28"/>
  <c r="I498" i="28"/>
  <c r="M497" i="28"/>
  <c r="I497" i="28"/>
  <c r="M496" i="28"/>
  <c r="I496" i="28"/>
  <c r="M495" i="28"/>
  <c r="I495" i="28"/>
  <c r="M494" i="28"/>
  <c r="I494" i="28"/>
  <c r="M493" i="28"/>
  <c r="I493" i="28"/>
  <c r="M492" i="28"/>
  <c r="I492" i="28"/>
  <c r="M491" i="28"/>
  <c r="I491" i="28"/>
  <c r="M490" i="28"/>
  <c r="I490" i="28"/>
  <c r="M489" i="28"/>
  <c r="I489" i="28"/>
  <c r="M488" i="28"/>
  <c r="I488" i="28"/>
  <c r="M487" i="28"/>
  <c r="I487" i="28"/>
  <c r="M486" i="28"/>
  <c r="I486" i="28"/>
  <c r="M485" i="28"/>
  <c r="I485" i="28"/>
  <c r="M484" i="28"/>
  <c r="I484" i="28"/>
  <c r="M483" i="28"/>
  <c r="I483" i="28"/>
  <c r="M482" i="28"/>
  <c r="I482" i="28"/>
  <c r="M481" i="28"/>
  <c r="I481" i="28"/>
  <c r="M480" i="28"/>
  <c r="I480" i="28"/>
  <c r="M479" i="28"/>
  <c r="I479" i="28"/>
  <c r="M478" i="28"/>
  <c r="I478" i="28"/>
  <c r="M477" i="28"/>
  <c r="I477" i="28"/>
  <c r="M476" i="28"/>
  <c r="I476" i="28"/>
  <c r="M475" i="28"/>
  <c r="I475" i="28"/>
  <c r="M474" i="28"/>
  <c r="I474" i="28"/>
  <c r="M473" i="28"/>
  <c r="I473" i="28"/>
  <c r="M472" i="28"/>
  <c r="I472" i="28"/>
  <c r="M471" i="28"/>
  <c r="I471" i="28"/>
  <c r="M470" i="28"/>
  <c r="I470" i="28"/>
  <c r="M469" i="28"/>
  <c r="I469" i="28"/>
  <c r="M468" i="28"/>
  <c r="I468" i="28"/>
  <c r="M467" i="28"/>
  <c r="I467" i="28"/>
  <c r="M466" i="28"/>
  <c r="I466" i="28"/>
  <c r="M465" i="28"/>
  <c r="I465" i="28"/>
  <c r="M464" i="28"/>
  <c r="I464" i="28"/>
  <c r="M463" i="28"/>
  <c r="I463" i="28"/>
  <c r="M462" i="28"/>
  <c r="I462" i="28"/>
  <c r="M461" i="28"/>
  <c r="I461" i="28"/>
  <c r="M460" i="28"/>
  <c r="I460" i="28"/>
  <c r="M459" i="28"/>
  <c r="I459" i="28"/>
  <c r="M458" i="28"/>
  <c r="I458" i="28"/>
  <c r="M457" i="28"/>
  <c r="I457" i="28"/>
  <c r="M456" i="28"/>
  <c r="I456" i="28"/>
  <c r="M455" i="28"/>
  <c r="I455" i="28"/>
  <c r="M454" i="28"/>
  <c r="I454" i="28"/>
  <c r="M453" i="28"/>
  <c r="I453" i="28"/>
  <c r="M452" i="28"/>
  <c r="I452" i="28"/>
  <c r="M451" i="28"/>
  <c r="I451" i="28"/>
  <c r="M450" i="28"/>
  <c r="I450" i="28"/>
  <c r="M449" i="28"/>
  <c r="I449" i="28"/>
  <c r="M448" i="28"/>
  <c r="I448" i="28"/>
  <c r="M447" i="28"/>
  <c r="I447" i="28"/>
  <c r="M446" i="28"/>
  <c r="I446" i="28"/>
  <c r="M445" i="28"/>
  <c r="I445" i="28"/>
  <c r="M444" i="28"/>
  <c r="I444" i="28"/>
  <c r="M443" i="28"/>
  <c r="I443" i="28"/>
  <c r="M442" i="28"/>
  <c r="I442" i="28"/>
  <c r="M441" i="28"/>
  <c r="I441" i="28"/>
  <c r="M440" i="28"/>
  <c r="I440" i="28"/>
  <c r="M439" i="28"/>
  <c r="I439" i="28"/>
  <c r="M438" i="28"/>
  <c r="I438" i="28"/>
  <c r="M437" i="28"/>
  <c r="I437" i="28"/>
  <c r="M436" i="28"/>
  <c r="I436" i="28"/>
  <c r="M435" i="28"/>
  <c r="I435" i="28"/>
  <c r="M434" i="28"/>
  <c r="I434" i="28"/>
  <c r="M433" i="28"/>
  <c r="I433" i="28"/>
  <c r="M432" i="28"/>
  <c r="I432" i="28"/>
  <c r="M431" i="28"/>
  <c r="I431" i="28"/>
  <c r="M430" i="28"/>
  <c r="I430" i="28"/>
  <c r="M429" i="28"/>
  <c r="I429" i="28"/>
  <c r="M428" i="28"/>
  <c r="I428" i="28"/>
  <c r="M427" i="28"/>
  <c r="I427" i="28"/>
  <c r="M426" i="28"/>
  <c r="I426" i="28"/>
  <c r="M425" i="28"/>
  <c r="I425" i="28"/>
  <c r="M424" i="28"/>
  <c r="I424" i="28"/>
  <c r="M423" i="28"/>
  <c r="I423" i="28"/>
  <c r="M422" i="28"/>
  <c r="I422" i="28"/>
  <c r="M421" i="28"/>
  <c r="I421" i="28"/>
  <c r="M420" i="28"/>
  <c r="I420" i="28"/>
  <c r="M419" i="28"/>
  <c r="I419" i="28"/>
  <c r="M418" i="28"/>
  <c r="I418" i="28"/>
  <c r="M417" i="28"/>
  <c r="I417" i="28"/>
  <c r="M416" i="28"/>
  <c r="I416" i="28"/>
  <c r="M415" i="28"/>
  <c r="I415" i="28"/>
  <c r="M414" i="28"/>
  <c r="I414" i="28"/>
  <c r="M413" i="28"/>
  <c r="I413" i="28"/>
  <c r="M412" i="28"/>
  <c r="I412" i="28"/>
  <c r="M411" i="28"/>
  <c r="I411" i="28"/>
  <c r="M410" i="28"/>
  <c r="I410" i="28"/>
  <c r="M409" i="28"/>
  <c r="I409" i="28"/>
  <c r="M408" i="28"/>
  <c r="I408" i="28"/>
  <c r="M407" i="28"/>
  <c r="I407" i="28"/>
  <c r="M406" i="28"/>
  <c r="I406" i="28"/>
  <c r="M405" i="28"/>
  <c r="I405" i="28"/>
  <c r="M404" i="28"/>
  <c r="I404" i="28"/>
  <c r="M403" i="28"/>
  <c r="I403" i="28"/>
  <c r="M402" i="28"/>
  <c r="I402" i="28"/>
  <c r="M401" i="28"/>
  <c r="I401" i="28"/>
  <c r="M400" i="28"/>
  <c r="I400" i="28"/>
  <c r="M399" i="28"/>
  <c r="I399" i="28"/>
  <c r="M398" i="28"/>
  <c r="I398" i="28"/>
  <c r="M397" i="28"/>
  <c r="I397" i="28"/>
  <c r="M396" i="28"/>
  <c r="I396" i="28"/>
  <c r="M395" i="28"/>
  <c r="I395" i="28"/>
  <c r="M394" i="28"/>
  <c r="I394" i="28"/>
  <c r="M393" i="28"/>
  <c r="I393" i="28"/>
  <c r="M392" i="28"/>
  <c r="I392" i="28"/>
  <c r="M391" i="28"/>
  <c r="I391" i="28"/>
  <c r="M390" i="28"/>
  <c r="I390" i="28"/>
  <c r="M389" i="28"/>
  <c r="I389" i="28"/>
  <c r="M388" i="28"/>
  <c r="I388" i="28"/>
  <c r="M387" i="28"/>
  <c r="I387" i="28"/>
  <c r="M386" i="28"/>
  <c r="I386" i="28"/>
  <c r="M385" i="28"/>
  <c r="I385" i="28"/>
  <c r="M384" i="28"/>
  <c r="I384" i="28"/>
  <c r="M383" i="28"/>
  <c r="I383" i="28"/>
  <c r="M382" i="28"/>
  <c r="I382" i="28"/>
  <c r="M381" i="28"/>
  <c r="I381" i="28"/>
  <c r="M380" i="28"/>
  <c r="I380" i="28"/>
  <c r="M379" i="28"/>
  <c r="I379" i="28"/>
  <c r="M378" i="28"/>
  <c r="I378" i="28"/>
  <c r="M377" i="28"/>
  <c r="I377" i="28"/>
  <c r="M376" i="28"/>
  <c r="I376" i="28"/>
  <c r="M375" i="28"/>
  <c r="I375" i="28"/>
  <c r="M374" i="28"/>
  <c r="I374" i="28"/>
  <c r="M373" i="28"/>
  <c r="I373" i="28"/>
  <c r="M372" i="28"/>
  <c r="I372" i="28"/>
  <c r="M371" i="28"/>
  <c r="I371" i="28"/>
  <c r="M370" i="28"/>
  <c r="I370" i="28"/>
  <c r="M369" i="28"/>
  <c r="I369" i="28"/>
  <c r="M368" i="28"/>
  <c r="I368" i="28"/>
  <c r="M367" i="28"/>
  <c r="I367" i="28"/>
  <c r="M366" i="28"/>
  <c r="I366" i="28"/>
  <c r="M365" i="28"/>
  <c r="I365" i="28"/>
  <c r="M364" i="28"/>
  <c r="I364" i="28"/>
  <c r="M363" i="28"/>
  <c r="I363" i="28"/>
  <c r="M362" i="28"/>
  <c r="I362" i="28"/>
  <c r="M361" i="28"/>
  <c r="I361" i="28"/>
  <c r="M360" i="28"/>
  <c r="I360" i="28"/>
  <c r="M359" i="28"/>
  <c r="I359" i="28"/>
  <c r="M358" i="28"/>
  <c r="I358" i="28"/>
  <c r="M357" i="28"/>
  <c r="I357" i="28"/>
  <c r="M356" i="28"/>
  <c r="I356" i="28"/>
  <c r="M355" i="28"/>
  <c r="I355" i="28"/>
  <c r="M354" i="28"/>
  <c r="I354" i="28"/>
  <c r="M353" i="28"/>
  <c r="I353" i="28"/>
  <c r="M352" i="28"/>
  <c r="I352" i="28"/>
  <c r="M351" i="28"/>
  <c r="I351" i="28"/>
  <c r="M350" i="28"/>
  <c r="I350" i="28"/>
  <c r="M349" i="28"/>
  <c r="I349" i="28"/>
  <c r="M348" i="28"/>
  <c r="I348" i="28"/>
  <c r="M347" i="28"/>
  <c r="I347" i="28"/>
  <c r="M346" i="28"/>
  <c r="I346" i="28"/>
  <c r="M345" i="28"/>
  <c r="I345" i="28"/>
  <c r="M344" i="28"/>
  <c r="I344" i="28"/>
  <c r="M343" i="28"/>
  <c r="I343" i="28"/>
  <c r="M342" i="28"/>
  <c r="I342" i="28"/>
  <c r="M341" i="28"/>
  <c r="I341" i="28"/>
  <c r="M340" i="28"/>
  <c r="I340" i="28"/>
  <c r="M339" i="28"/>
  <c r="I339" i="28"/>
  <c r="M338" i="28"/>
  <c r="I338" i="28"/>
  <c r="M337" i="28"/>
  <c r="I337" i="28"/>
  <c r="M336" i="28"/>
  <c r="I336" i="28"/>
  <c r="M335" i="28"/>
  <c r="I335" i="28"/>
  <c r="M334" i="28"/>
  <c r="I334" i="28"/>
  <c r="M333" i="28"/>
  <c r="I333" i="28"/>
  <c r="M332" i="28"/>
  <c r="I332" i="28"/>
  <c r="M331" i="28"/>
  <c r="I331" i="28"/>
  <c r="M330" i="28"/>
  <c r="I330" i="28"/>
  <c r="M329" i="28"/>
  <c r="I329" i="28"/>
  <c r="M328" i="28"/>
  <c r="I328" i="28"/>
  <c r="M327" i="28"/>
  <c r="I327" i="28"/>
  <c r="M326" i="28"/>
  <c r="I326" i="28"/>
  <c r="M325" i="28"/>
  <c r="I325" i="28"/>
  <c r="M324" i="28"/>
  <c r="I324" i="28"/>
  <c r="M323" i="28"/>
  <c r="I323" i="28"/>
  <c r="M322" i="28"/>
  <c r="I322" i="28"/>
  <c r="M321" i="28"/>
  <c r="I321" i="28"/>
  <c r="M320" i="28"/>
  <c r="I320" i="28"/>
  <c r="M319" i="28"/>
  <c r="I319" i="28"/>
  <c r="M318" i="28"/>
  <c r="I318" i="28"/>
  <c r="M317" i="28"/>
  <c r="I317" i="28"/>
  <c r="M316" i="28"/>
  <c r="I316" i="28"/>
  <c r="M315" i="28"/>
  <c r="I315" i="28"/>
  <c r="M314" i="28"/>
  <c r="I314" i="28"/>
  <c r="M313" i="28"/>
  <c r="I313" i="28"/>
  <c r="M312" i="28"/>
  <c r="I312" i="28"/>
  <c r="M311" i="28"/>
  <c r="I311" i="28"/>
  <c r="M310" i="28"/>
  <c r="I310" i="28"/>
  <c r="M309" i="28"/>
  <c r="I309" i="28"/>
  <c r="M308" i="28"/>
  <c r="I308" i="28"/>
  <c r="M307" i="28"/>
  <c r="I307" i="28"/>
  <c r="M306" i="28"/>
  <c r="I306" i="28"/>
  <c r="M305" i="28"/>
  <c r="I305" i="28"/>
  <c r="M304" i="28"/>
  <c r="I304" i="28"/>
  <c r="M303" i="28"/>
  <c r="I303" i="28"/>
  <c r="M302" i="28"/>
  <c r="I302" i="28"/>
  <c r="M301" i="28"/>
  <c r="I301" i="28"/>
  <c r="M300" i="28"/>
  <c r="I300" i="28"/>
  <c r="M299" i="28"/>
  <c r="I299" i="28"/>
  <c r="M298" i="28"/>
  <c r="I298" i="28"/>
  <c r="M297" i="28"/>
  <c r="I297" i="28"/>
  <c r="M296" i="28"/>
  <c r="I296" i="28"/>
  <c r="M295" i="28"/>
  <c r="I295" i="28"/>
  <c r="M294" i="28"/>
  <c r="I294" i="28"/>
  <c r="M293" i="28"/>
  <c r="I293" i="28"/>
  <c r="M292" i="28"/>
  <c r="I292" i="28"/>
  <c r="M291" i="28"/>
  <c r="I291" i="28"/>
  <c r="M290" i="28"/>
  <c r="I290" i="28"/>
  <c r="M289" i="28"/>
  <c r="I289" i="28"/>
  <c r="M288" i="28"/>
  <c r="I288" i="28"/>
  <c r="M287" i="28"/>
  <c r="I287" i="28"/>
  <c r="M286" i="28"/>
  <c r="I286" i="28"/>
  <c r="M285" i="28"/>
  <c r="I285" i="28"/>
  <c r="M284" i="28"/>
  <c r="I284" i="28"/>
  <c r="M283" i="28"/>
  <c r="I283" i="28"/>
  <c r="M282" i="28"/>
  <c r="I282" i="28"/>
  <c r="M281" i="28"/>
  <c r="I281" i="28"/>
  <c r="M280" i="28"/>
  <c r="I280" i="28"/>
  <c r="M279" i="28"/>
  <c r="I279" i="28"/>
  <c r="M278" i="28"/>
  <c r="I278" i="28"/>
  <c r="M277" i="28"/>
  <c r="I277" i="28"/>
  <c r="M276" i="28"/>
  <c r="I276" i="28"/>
  <c r="M275" i="28"/>
  <c r="I275" i="28"/>
  <c r="M274" i="28"/>
  <c r="I274" i="28"/>
  <c r="M273" i="28"/>
  <c r="I273" i="28"/>
  <c r="M272" i="28"/>
  <c r="I272" i="28"/>
  <c r="M271" i="28"/>
  <c r="I271" i="28"/>
  <c r="M270" i="28"/>
  <c r="I270" i="28"/>
  <c r="M269" i="28"/>
  <c r="I269" i="28"/>
  <c r="M268" i="28"/>
  <c r="I268" i="28"/>
  <c r="M267" i="28"/>
  <c r="I267" i="28"/>
  <c r="M266" i="28"/>
  <c r="I266" i="28"/>
  <c r="M265" i="28"/>
  <c r="I265" i="28"/>
  <c r="M264" i="28"/>
  <c r="I264" i="28"/>
  <c r="M263" i="28"/>
  <c r="I263" i="28"/>
  <c r="M262" i="28"/>
  <c r="I262" i="28"/>
  <c r="M261" i="28"/>
  <c r="I261" i="28"/>
  <c r="M260" i="28"/>
  <c r="I260" i="28"/>
  <c r="M259" i="28"/>
  <c r="I259" i="28"/>
  <c r="M258" i="28"/>
  <c r="I258" i="28"/>
  <c r="M257" i="28"/>
  <c r="I257" i="28"/>
  <c r="M256" i="28"/>
  <c r="I256" i="28"/>
  <c r="M255" i="28"/>
  <c r="I255" i="28"/>
  <c r="M254" i="28"/>
  <c r="I254" i="28"/>
  <c r="M253" i="28"/>
  <c r="I253" i="28"/>
  <c r="M252" i="28"/>
  <c r="I252" i="28"/>
  <c r="M251" i="28"/>
  <c r="I251" i="28"/>
  <c r="M250" i="28"/>
  <c r="I250" i="28"/>
  <c r="M249" i="28"/>
  <c r="I249" i="28"/>
  <c r="M248" i="28"/>
  <c r="I248" i="28"/>
  <c r="M247" i="28"/>
  <c r="I247" i="28"/>
  <c r="M246" i="28"/>
  <c r="I246" i="28"/>
  <c r="M245" i="28"/>
  <c r="I245" i="28"/>
  <c r="M244" i="28"/>
  <c r="I244" i="28"/>
  <c r="M243" i="28"/>
  <c r="I243" i="28"/>
  <c r="M242" i="28"/>
  <c r="I242" i="28"/>
  <c r="M241" i="28"/>
  <c r="I241" i="28"/>
  <c r="M240" i="28"/>
  <c r="I240" i="28"/>
  <c r="M239" i="28"/>
  <c r="I239" i="28"/>
  <c r="M238" i="28"/>
  <c r="I238" i="28"/>
  <c r="M237" i="28"/>
  <c r="I237" i="28"/>
  <c r="M236" i="28"/>
  <c r="I236" i="28"/>
  <c r="M235" i="28"/>
  <c r="I235" i="28"/>
  <c r="M234" i="28"/>
  <c r="I234" i="28"/>
  <c r="M233" i="28"/>
  <c r="I233" i="28"/>
  <c r="M232" i="28"/>
  <c r="I232" i="28"/>
  <c r="M231" i="28"/>
  <c r="I231" i="28"/>
  <c r="M230" i="28"/>
  <c r="I230" i="28"/>
  <c r="M229" i="28"/>
  <c r="I229" i="28"/>
  <c r="M228" i="28"/>
  <c r="I228" i="28"/>
  <c r="M227" i="28"/>
  <c r="I227" i="28"/>
  <c r="M226" i="28"/>
  <c r="I226" i="28"/>
  <c r="M225" i="28"/>
  <c r="I225" i="28"/>
  <c r="M224" i="28"/>
  <c r="I224" i="28"/>
  <c r="M223" i="28"/>
  <c r="I223" i="28"/>
  <c r="M222" i="28"/>
  <c r="I222" i="28"/>
  <c r="M221" i="28"/>
  <c r="I221" i="28"/>
  <c r="M220" i="28"/>
  <c r="I220" i="28"/>
  <c r="M219" i="28"/>
  <c r="I219" i="28"/>
  <c r="M218" i="28"/>
  <c r="I218" i="28"/>
  <c r="M217" i="28"/>
  <c r="I217" i="28"/>
  <c r="M216" i="28"/>
  <c r="I216" i="28"/>
  <c r="M215" i="28"/>
  <c r="I215" i="28"/>
  <c r="M214" i="28"/>
  <c r="I214" i="28"/>
  <c r="M213" i="28"/>
  <c r="I213" i="28"/>
  <c r="M212" i="28"/>
  <c r="I212" i="28"/>
  <c r="M211" i="28"/>
  <c r="I211" i="28"/>
  <c r="M210" i="28"/>
  <c r="I210" i="28"/>
  <c r="M209" i="28"/>
  <c r="I209" i="28"/>
  <c r="M208" i="28"/>
  <c r="I208" i="28"/>
  <c r="M207" i="28"/>
  <c r="I207" i="28"/>
  <c r="M206" i="28"/>
  <c r="I206" i="28"/>
  <c r="M205" i="28"/>
  <c r="I205" i="28"/>
  <c r="M204" i="28"/>
  <c r="I204" i="28"/>
  <c r="M203" i="28"/>
  <c r="I203" i="28"/>
  <c r="M202" i="28"/>
  <c r="I202" i="28"/>
  <c r="M201" i="28"/>
  <c r="I201" i="28"/>
  <c r="M200" i="28"/>
  <c r="I200" i="28"/>
  <c r="M199" i="28"/>
  <c r="I199" i="28"/>
  <c r="M198" i="28"/>
  <c r="I198" i="28"/>
  <c r="M197" i="28"/>
  <c r="I197" i="28"/>
  <c r="M196" i="28"/>
  <c r="I196" i="28"/>
  <c r="M195" i="28"/>
  <c r="I195" i="28"/>
  <c r="M194" i="28"/>
  <c r="I194" i="28"/>
  <c r="M193" i="28"/>
  <c r="I193" i="28"/>
  <c r="M192" i="28"/>
  <c r="I192" i="28"/>
  <c r="M191" i="28"/>
  <c r="I191" i="28"/>
  <c r="M190" i="28"/>
  <c r="I190" i="28"/>
  <c r="M189" i="28"/>
  <c r="I189" i="28"/>
  <c r="M188" i="28"/>
  <c r="I188" i="28"/>
  <c r="M187" i="28"/>
  <c r="I187" i="28"/>
  <c r="M186" i="28"/>
  <c r="I186" i="28"/>
  <c r="M185" i="28"/>
  <c r="I185" i="28"/>
  <c r="M184" i="28"/>
  <c r="I184" i="28"/>
  <c r="M183" i="28"/>
  <c r="I183" i="28"/>
  <c r="M182" i="28"/>
  <c r="I182" i="28"/>
  <c r="M181" i="28"/>
  <c r="I181" i="28"/>
  <c r="M180" i="28"/>
  <c r="I180" i="28"/>
  <c r="M179" i="28"/>
  <c r="I179" i="28"/>
  <c r="M178" i="28"/>
  <c r="I178" i="28"/>
  <c r="M177" i="28"/>
  <c r="I177" i="28"/>
  <c r="M176" i="28"/>
  <c r="I176" i="28"/>
  <c r="M175" i="28"/>
  <c r="I175" i="28"/>
  <c r="M174" i="28"/>
  <c r="I174" i="28"/>
  <c r="M173" i="28"/>
  <c r="I173" i="28"/>
  <c r="M172" i="28"/>
  <c r="I172" i="28"/>
  <c r="M171" i="28"/>
  <c r="I171" i="28"/>
  <c r="M170" i="28"/>
  <c r="I170" i="28"/>
  <c r="M169" i="28"/>
  <c r="I169" i="28"/>
  <c r="M168" i="28"/>
  <c r="I168" i="28"/>
  <c r="M167" i="28"/>
  <c r="I167" i="28"/>
  <c r="M166" i="28"/>
  <c r="I166" i="28"/>
  <c r="M165" i="28"/>
  <c r="I165" i="28"/>
  <c r="M164" i="28"/>
  <c r="I164" i="28"/>
  <c r="M163" i="28"/>
  <c r="I163" i="28"/>
  <c r="M162" i="28"/>
  <c r="I162" i="28"/>
  <c r="M161" i="28"/>
  <c r="I161" i="28"/>
  <c r="M160" i="28"/>
  <c r="I160" i="28"/>
  <c r="M159" i="28"/>
  <c r="I159" i="28"/>
  <c r="M158" i="28"/>
  <c r="I158" i="28"/>
  <c r="M157" i="28"/>
  <c r="I157" i="28"/>
  <c r="M156" i="28"/>
  <c r="I156" i="28"/>
  <c r="M155" i="28"/>
  <c r="I155" i="28"/>
  <c r="M154" i="28"/>
  <c r="I154" i="28"/>
  <c r="M153" i="28"/>
  <c r="I153" i="28"/>
  <c r="M152" i="28"/>
  <c r="I152" i="28"/>
  <c r="M151" i="28"/>
  <c r="I151" i="28"/>
  <c r="M150" i="28"/>
  <c r="I150" i="28"/>
  <c r="M149" i="28"/>
  <c r="I149" i="28"/>
  <c r="M148" i="28"/>
  <c r="I148" i="28"/>
  <c r="M147" i="28"/>
  <c r="I147" i="28"/>
  <c r="M146" i="28"/>
  <c r="I146" i="28"/>
  <c r="M145" i="28"/>
  <c r="I145" i="28"/>
  <c r="M144" i="28"/>
  <c r="I144" i="28"/>
  <c r="M143" i="28"/>
  <c r="I143" i="28"/>
  <c r="M142" i="28"/>
  <c r="I142" i="28"/>
  <c r="M141" i="28"/>
  <c r="I141" i="28"/>
  <c r="M140" i="28"/>
  <c r="I140" i="28"/>
  <c r="M139" i="28"/>
  <c r="I139" i="28"/>
  <c r="M138" i="28"/>
  <c r="I138" i="28"/>
  <c r="M137" i="28"/>
  <c r="I137" i="28"/>
  <c r="M136" i="28"/>
  <c r="I136" i="28"/>
  <c r="M135" i="28"/>
  <c r="I135" i="28"/>
  <c r="M134" i="28"/>
  <c r="I134" i="28"/>
  <c r="M133" i="28"/>
  <c r="I133" i="28"/>
  <c r="M132" i="28"/>
  <c r="I132" i="28"/>
  <c r="M131" i="28"/>
  <c r="I131" i="28"/>
  <c r="M130" i="28"/>
  <c r="I130" i="28"/>
  <c r="M129" i="28"/>
  <c r="I129" i="28"/>
  <c r="M128" i="28"/>
  <c r="I128" i="28"/>
  <c r="M127" i="28"/>
  <c r="I127" i="28"/>
  <c r="M126" i="28"/>
  <c r="I126" i="28"/>
  <c r="M125" i="28"/>
  <c r="I125" i="28"/>
  <c r="M124" i="28"/>
  <c r="I124" i="28"/>
  <c r="M123" i="28"/>
  <c r="I123" i="28"/>
  <c r="M122" i="28"/>
  <c r="I122" i="28"/>
  <c r="M121" i="28"/>
  <c r="I121" i="28"/>
  <c r="M120" i="28"/>
  <c r="I120" i="28"/>
  <c r="M119" i="28"/>
  <c r="I119" i="28"/>
  <c r="M118" i="28"/>
  <c r="I118" i="28"/>
  <c r="M117" i="28"/>
  <c r="I117" i="28"/>
  <c r="M116" i="28"/>
  <c r="I116" i="28"/>
  <c r="M115" i="28"/>
  <c r="I115" i="28"/>
  <c r="M114" i="28"/>
  <c r="I114" i="28"/>
  <c r="M113" i="28"/>
  <c r="I113" i="28"/>
  <c r="M112" i="28"/>
  <c r="I112" i="28"/>
  <c r="M111" i="28"/>
  <c r="I111" i="28"/>
  <c r="M110" i="28"/>
  <c r="I110" i="28"/>
  <c r="M109" i="28"/>
  <c r="I109" i="28"/>
  <c r="M108" i="28"/>
  <c r="I108" i="28"/>
  <c r="M107" i="28"/>
  <c r="I107" i="28"/>
  <c r="M106" i="28"/>
  <c r="I106" i="28"/>
  <c r="M105" i="28"/>
  <c r="I105" i="28"/>
  <c r="M104" i="28"/>
  <c r="I104" i="28"/>
  <c r="M103" i="28"/>
  <c r="I103" i="28"/>
  <c r="M102" i="28"/>
  <c r="I102" i="28"/>
  <c r="M101" i="28"/>
  <c r="I101" i="28"/>
  <c r="M100" i="28"/>
  <c r="I100" i="28"/>
  <c r="M99" i="28"/>
  <c r="I99" i="28"/>
  <c r="M98" i="28"/>
  <c r="I98" i="28"/>
  <c r="M97" i="28"/>
  <c r="I97" i="28"/>
  <c r="M96" i="28"/>
  <c r="I96" i="28"/>
  <c r="M95" i="28"/>
  <c r="I95" i="28"/>
  <c r="M94" i="28"/>
  <c r="I94" i="28"/>
  <c r="M93" i="28"/>
  <c r="I93" i="28"/>
  <c r="M92" i="28"/>
  <c r="I92" i="28"/>
  <c r="M91" i="28"/>
  <c r="I91" i="28"/>
  <c r="M90" i="28"/>
  <c r="I90" i="28"/>
  <c r="M89" i="28"/>
  <c r="I89" i="28"/>
  <c r="M88" i="28"/>
  <c r="I88" i="28"/>
  <c r="M87" i="28"/>
  <c r="I87" i="28"/>
  <c r="M86" i="28"/>
  <c r="I86" i="28"/>
  <c r="M85" i="28"/>
  <c r="I85" i="28"/>
  <c r="M84" i="28"/>
  <c r="I84" i="28"/>
  <c r="M83" i="28"/>
  <c r="I83" i="28"/>
  <c r="M82" i="28"/>
  <c r="I82" i="28"/>
  <c r="M81" i="28"/>
  <c r="I81" i="28"/>
  <c r="M80" i="28"/>
  <c r="I80" i="28"/>
  <c r="M79" i="28"/>
  <c r="I79" i="28"/>
  <c r="M78" i="28"/>
  <c r="I78" i="28"/>
  <c r="M77" i="28"/>
  <c r="I77" i="28"/>
  <c r="M76" i="28"/>
  <c r="I76" i="28"/>
  <c r="M75" i="28"/>
  <c r="I75" i="28"/>
  <c r="M74" i="28"/>
  <c r="I74" i="28"/>
  <c r="M73" i="28"/>
  <c r="I73" i="28"/>
  <c r="M72" i="28"/>
  <c r="I72" i="28"/>
  <c r="M71" i="28"/>
  <c r="I71" i="28"/>
  <c r="M70" i="28"/>
  <c r="I70" i="28"/>
  <c r="M69" i="28"/>
  <c r="I69" i="28"/>
  <c r="M68" i="28"/>
  <c r="I68" i="28"/>
  <c r="M67" i="28"/>
  <c r="I67" i="28"/>
  <c r="M66" i="28"/>
  <c r="I66" i="28"/>
  <c r="M65" i="28"/>
  <c r="I65" i="28"/>
  <c r="M64" i="28"/>
  <c r="I64" i="28"/>
  <c r="M63" i="28"/>
  <c r="I63" i="28"/>
  <c r="M62" i="28"/>
  <c r="I62" i="28"/>
  <c r="M61" i="28"/>
  <c r="I61" i="28"/>
  <c r="M60" i="28"/>
  <c r="I60" i="28"/>
  <c r="M59" i="28"/>
  <c r="I59" i="28"/>
  <c r="M58" i="28"/>
  <c r="I58" i="28"/>
  <c r="M57" i="28"/>
  <c r="I57" i="28"/>
  <c r="M56" i="28"/>
  <c r="I56" i="28"/>
  <c r="M55" i="28"/>
  <c r="I55" i="28"/>
  <c r="M54" i="28"/>
  <c r="I54" i="28"/>
  <c r="M53" i="28"/>
  <c r="I53" i="28"/>
  <c r="M52" i="28"/>
  <c r="I52" i="28"/>
  <c r="M51" i="28"/>
  <c r="I51" i="28"/>
  <c r="M50" i="28"/>
  <c r="I50" i="28"/>
  <c r="M49" i="28"/>
  <c r="I49" i="28"/>
  <c r="M48" i="28"/>
  <c r="I48" i="28"/>
  <c r="M47" i="28"/>
  <c r="I47" i="28"/>
  <c r="M46" i="28"/>
  <c r="I46" i="28"/>
  <c r="M45" i="28"/>
  <c r="I45" i="28"/>
  <c r="M44" i="28"/>
  <c r="I44" i="28"/>
  <c r="M43" i="28"/>
  <c r="I43" i="28"/>
  <c r="M42" i="28"/>
  <c r="I42" i="28"/>
  <c r="M41" i="28"/>
  <c r="I41" i="28"/>
  <c r="M40" i="28"/>
  <c r="I40" i="28"/>
  <c r="M39" i="28"/>
  <c r="I39" i="28"/>
  <c r="M38" i="28"/>
  <c r="I38" i="28"/>
  <c r="M37" i="28"/>
  <c r="I37" i="28"/>
  <c r="M36" i="28"/>
  <c r="I36" i="28"/>
  <c r="M35" i="28"/>
  <c r="I35" i="28"/>
  <c r="M34" i="28"/>
  <c r="I34" i="28"/>
  <c r="M33" i="28"/>
  <c r="I33" i="28"/>
  <c r="M32" i="28"/>
  <c r="I32" i="28"/>
  <c r="M31" i="28"/>
  <c r="I31" i="28"/>
  <c r="M30" i="28"/>
  <c r="I30" i="28"/>
  <c r="M29" i="28"/>
  <c r="I29" i="28"/>
  <c r="M28" i="28"/>
  <c r="I28" i="28"/>
  <c r="M27" i="28"/>
  <c r="I27" i="28"/>
  <c r="M26" i="28"/>
  <c r="I26" i="28"/>
  <c r="M25" i="28"/>
  <c r="I25" i="28"/>
  <c r="M24" i="28"/>
  <c r="I24" i="28"/>
  <c r="M23" i="28"/>
  <c r="I23" i="28"/>
  <c r="M22" i="28"/>
  <c r="I22" i="28"/>
  <c r="M21" i="28"/>
  <c r="I21" i="28"/>
  <c r="M20" i="28"/>
  <c r="I20" i="28"/>
  <c r="M19" i="28"/>
  <c r="I19" i="28"/>
  <c r="M18" i="28"/>
  <c r="I18" i="28"/>
  <c r="M17" i="28"/>
  <c r="I17" i="28"/>
  <c r="M16" i="28"/>
  <c r="I16" i="28"/>
  <c r="M15" i="28"/>
  <c r="I15" i="28"/>
  <c r="M14" i="28"/>
  <c r="I14" i="28"/>
  <c r="M13" i="28"/>
  <c r="I13" i="28"/>
  <c r="M12" i="28"/>
  <c r="I12" i="28"/>
  <c r="M11" i="28"/>
  <c r="I11" i="28"/>
  <c r="M10" i="28"/>
  <c r="I10" i="28"/>
  <c r="M9" i="28"/>
  <c r="I9" i="28"/>
  <c r="M8" i="28"/>
  <c r="I8" i="28"/>
  <c r="M7" i="28"/>
  <c r="I7" i="28"/>
  <c r="M6" i="28"/>
  <c r="I6" i="28"/>
  <c r="M5" i="28"/>
  <c r="I5" i="28"/>
  <c r="M4" i="28"/>
  <c r="I4" i="28"/>
  <c r="M3" i="28"/>
  <c r="I3" i="28"/>
  <c r="M2" i="28"/>
  <c r="I2" i="28"/>
</calcChain>
</file>

<file path=xl/sharedStrings.xml><?xml version="1.0" encoding="utf-8"?>
<sst xmlns="http://schemas.openxmlformats.org/spreadsheetml/2006/main" count="3150" uniqueCount="2078">
  <si>
    <t>🎛️ PANEL DE CONTROL - SGSI ISO 27001:2022</t>
  </si>
  <si>
    <t>Sistema de Gestión de Seguridad de la Información v3.0 - Última actualización: 04/11/2025 17:46</t>
  </si>
  <si>
    <t>📦 GESTIÓN DE ACTIVOS</t>
  </si>
  <si>
    <t>➕ Ingresar Nuevo Activo</t>
  </si>
  <si>
    <t>Crea un nuevo activo con ID automático</t>
  </si>
  <si>
    <t>📁 Agregar Categoría</t>
  </si>
  <si>
    <t>Añade una nueva categoría de activos</t>
  </si>
  <si>
    <t>📂 Agregar Subcategoría</t>
  </si>
  <si>
    <t>Añade una subcategoría a una categoría existente</t>
  </si>
  <si>
    <t>🏢 Agregar Área</t>
  </si>
  <si>
    <t>Añade un área organizacional</t>
  </si>
  <si>
    <t>📍 Agregar Ubicación</t>
  </si>
  <si>
    <t>Añade una ubicación física</t>
  </si>
  <si>
    <t>🏷️ Agregar Clase</t>
  </si>
  <si>
    <t>Añade una clase de activo</t>
  </si>
  <si>
    <t>🔖 Agregar Subclase</t>
  </si>
  <si>
    <t>Añade una subclase de activo</t>
  </si>
  <si>
    <t>⚠️ GESTIÓN DE RIESGOS</t>
  </si>
  <si>
    <t>➕ Ingresar Nuevo Riesgo</t>
  </si>
  <si>
    <t>Registra un nuevo riesgo identificado</t>
  </si>
  <si>
    <t>🔢 Calcular Riesgo Inherente</t>
  </si>
  <si>
    <t>Calcula nivel de riesgo inherente (P×I)</t>
  </si>
  <si>
    <t>🔢 Calcular Riesgo Residual</t>
  </si>
  <si>
    <t>Calcula riesgo residual post-controles</t>
  </si>
  <si>
    <t>🎨 Colorear Matriz Riesgos</t>
  </si>
  <si>
    <t>Aplica código de colores según criticidad</t>
  </si>
  <si>
    <t>🔥 Generar Mapa de Calor</t>
  </si>
  <si>
    <t>Crea visualización de distribución de riesgos</t>
  </si>
  <si>
    <t>🛡️ PLAN DE TRATAMIENTO</t>
  </si>
  <si>
    <t>➕ Ingresar Tratamiento</t>
  </si>
  <si>
    <t>Registra acción de tratamiento de riesgo</t>
  </si>
  <si>
    <t>🔄 Actualizar Estado</t>
  </si>
  <si>
    <t>Actualiza progreso de tratamientos</t>
  </si>
  <si>
    <t>📄 Generar Informe</t>
  </si>
  <si>
    <t>Crea informe ejecutivo de tratamientos</t>
  </si>
  <si>
    <t>📊 DASHBOARD Y REPORTES</t>
  </si>
  <si>
    <t>🔄 Actualizar Dashboard</t>
  </si>
  <si>
    <t>Actualiza métricas y gráficos del dashboard</t>
  </si>
  <si>
    <t>📤 Exportar Reporte Completo</t>
  </si>
  <si>
    <t>Genera reporte PDF ejecutivo</t>
  </si>
  <si>
    <t>📄 Exportar Activos</t>
  </si>
  <si>
    <t>Exporta inventario de activos a PDF</t>
  </si>
  <si>
    <t>✅ Validar Cumplimiento ISO</t>
  </si>
  <si>
    <t>Verifica cumplimiento ISO 27001</t>
  </si>
  <si>
    <t>🛡️ SISTEMA DE GESTIÓN DE SEGURIDAD DE LA INFORMACIÓN</t>
  </si>
  <si>
    <t>CONTROL DE DOCUMENTOS Y REGISTROS</t>
  </si>
  <si>
    <t>Código Documento:</t>
  </si>
  <si>
    <t>SGSI-CTR-001</t>
  </si>
  <si>
    <t>Versión:</t>
  </si>
  <si>
    <t>1.0</t>
  </si>
  <si>
    <t>Fecha de Emisión:</t>
  </si>
  <si>
    <t>04/11/2025</t>
  </si>
  <si>
    <t>Tipo de Documento:</t>
  </si>
  <si>
    <t>Procedimiento</t>
  </si>
  <si>
    <t>Organización:</t>
  </si>
  <si>
    <t>Por definir</t>
  </si>
  <si>
    <t>Responsable SGSI:</t>
  </si>
  <si>
    <t>CISO</t>
  </si>
  <si>
    <t>Clasificación:</t>
  </si>
  <si>
    <t>CONFIDENCIAL</t>
  </si>
  <si>
    <t>Estado:</t>
  </si>
  <si>
    <t>VIGENTE</t>
  </si>
  <si>
    <t>Próxima Revisión:</t>
  </si>
  <si>
    <t>03/05/2026</t>
  </si>
  <si>
    <t>📊 TRAZABILIDAD Y REFERENCIAS</t>
  </si>
  <si>
    <t>Vinculado a SoA:</t>
  </si>
  <si>
    <t>Ver hoja "SoA"</t>
  </si>
  <si>
    <t>Vinculado a Riesgos:</t>
  </si>
  <si>
    <t>Ver hoja "Analisis_Riesgos"</t>
  </si>
  <si>
    <t>Aprobado por:</t>
  </si>
  <si>
    <t>Comité de Seguridad / Alta Dirección</t>
  </si>
  <si>
    <t>Documento controlado:</t>
  </si>
  <si>
    <t>Repositorio SGSI</t>
  </si>
  <si>
    <t>════════════════════════════════════════════════════════════════════════════════</t>
  </si>
  <si>
    <t>Código</t>
  </si>
  <si>
    <t>Nombre Documento</t>
  </si>
  <si>
    <t>Tipo</t>
  </si>
  <si>
    <t>Versión</t>
  </si>
  <si>
    <t>Fecha Emisión</t>
  </si>
  <si>
    <t>Propietario</t>
  </si>
  <si>
    <t>Aprobador</t>
  </si>
  <si>
    <t>Estado</t>
  </si>
  <si>
    <t>Clasificación</t>
  </si>
  <si>
    <t>Ubicación</t>
  </si>
  <si>
    <t>SGSI-POL-001</t>
  </si>
  <si>
    <t>Política de Seguridad</t>
  </si>
  <si>
    <t>Política</t>
  </si>
  <si>
    <t>CEO</t>
  </si>
  <si>
    <t>PÚBLICO</t>
  </si>
  <si>
    <t>Hoja: Politicas_Seguridad</t>
  </si>
  <si>
    <t>SGSI-SOA-001</t>
  </si>
  <si>
    <t>Statement of Applicability</t>
  </si>
  <si>
    <t>Declaración</t>
  </si>
  <si>
    <t>Comité</t>
  </si>
  <si>
    <t>Hoja: SoA</t>
  </si>
  <si>
    <t>SGSI-RIS-001</t>
  </si>
  <si>
    <t>Metodología de Riesgos</t>
  </si>
  <si>
    <t>INTERNO</t>
  </si>
  <si>
    <t>Hoja: Metodologia_Riesgos</t>
  </si>
  <si>
    <t>SGSI-AUD-001</t>
  </si>
  <si>
    <t>Plan de Auditoría</t>
  </si>
  <si>
    <t>Plan</t>
  </si>
  <si>
    <t>Auditor</t>
  </si>
  <si>
    <t>Hoja: Plan_Auditoria</t>
  </si>
  <si>
    <t>SGSI-REV-001</t>
  </si>
  <si>
    <t>Revisión por Dirección</t>
  </si>
  <si>
    <t>Acta</t>
  </si>
  <si>
    <t>Hoja: Revision_Direccion</t>
  </si>
  <si>
    <t>POLÍTICAS DE SEGURIDAD DE LA INFORMACIÓN</t>
  </si>
  <si>
    <t>Política General</t>
  </si>
  <si>
    <t>1. POLÍTICA GENERAL DE SEGURIDAD DE LA INFORMACIÓN</t>
  </si>
  <si>
    <t>1.1 OBJETIVO</t>
  </si>
  <si>
    <t>Establecer el marco de seguridad de la información para proteger los activos de información de la organización.</t>
  </si>
  <si>
    <t>1.2 ALCANCE</t>
  </si>
  <si>
    <t>Aplica a todos los empleados, contratistas, proveedores y terceros que accedan a información de la organización.</t>
  </si>
  <si>
    <t>1.3 RESPONSABILIDADES</t>
  </si>
  <si>
    <t>• Alta Dirección: Aprobar y proveer recursos
• CISO: Implementar y mantener el SGSI
• Empleados: Cumplir las políticas y reportar incidentes</t>
  </si>
  <si>
    <t>1.4 PRINCIPIOS</t>
  </si>
  <si>
    <t>• Confidencialidad: Acceso solo a personal autorizado
• Integridad: Información precisa y completa
• Disponibilidad: Acceso cuando se requiera</t>
  </si>
  <si>
    <t>1.5 GESTIÓN DE RIESGOS</t>
  </si>
  <si>
    <t>Se evaluarán riesgos anualmente según metodología definida en SGSI-RIS-001</t>
  </si>
  <si>
    <t>1.6 CONTROL DE ACCESO</t>
  </si>
  <si>
    <t>Acceso basado en principio de mínimo privilegio y necesidad de conocer</t>
  </si>
  <si>
    <t>1.7 CLASIFICACIÓN</t>
  </si>
  <si>
    <t>Toda información se clasificará: PÚBLICA, INTERNA, CONFIDENCIAL, SECRETO</t>
  </si>
  <si>
    <t>1.8 INCIDENTES</t>
  </si>
  <si>
    <t>Todo incidente debe reportarse inmediatamente al CISO</t>
  </si>
  <si>
    <t>1.9 CONTINUIDAD</t>
  </si>
  <si>
    <t>Se mantendrán planes de continuidad y recuperación ante desastres</t>
  </si>
  <si>
    <t>1.10 CUMPLIMIENTO</t>
  </si>
  <si>
    <t>El incumplimiento resultará en medidas disciplinarias</t>
  </si>
  <si>
    <t>METODOLOGÍA DE EVALUACIÓN Y TRATAMIENTO DE RIESGOS</t>
  </si>
  <si>
    <t>METODOLOGÍA DE GESTIÓN DE RIESGOS</t>
  </si>
  <si>
    <t>1. ESCALA DE PROBABILIDAD</t>
  </si>
  <si>
    <t>Nivel</t>
  </si>
  <si>
    <t>Descripción</t>
  </si>
  <si>
    <t>Frecuencia</t>
  </si>
  <si>
    <t>Valor</t>
  </si>
  <si>
    <t>Muy Baja</t>
  </si>
  <si>
    <t>Casi nunca ocurre</t>
  </si>
  <si>
    <t>&lt; 1 vez/año</t>
  </si>
  <si>
    <t>1</t>
  </si>
  <si>
    <t>Baja</t>
  </si>
  <si>
    <t>Rara vez ocurre</t>
  </si>
  <si>
    <t>1-2 veces/año</t>
  </si>
  <si>
    <t>2</t>
  </si>
  <si>
    <t>Media</t>
  </si>
  <si>
    <t>Ocasionalmente</t>
  </si>
  <si>
    <t>3-6 veces/año</t>
  </si>
  <si>
    <t>3</t>
  </si>
  <si>
    <t>Alta</t>
  </si>
  <si>
    <t>Frecuentemente</t>
  </si>
  <si>
    <t>7-12 veces/año</t>
  </si>
  <si>
    <t>4</t>
  </si>
  <si>
    <t>Muy Alta</t>
  </si>
  <si>
    <t>Constantemente</t>
  </si>
  <si>
    <t>&gt; 12 veces/año</t>
  </si>
  <si>
    <t>5</t>
  </si>
  <si>
    <t>2. ESCALA DE IMPACTO</t>
  </si>
  <si>
    <t>Confidencialidad</t>
  </si>
  <si>
    <t>Integridad</t>
  </si>
  <si>
    <t>Disponibilidad</t>
  </si>
  <si>
    <t>Muy Bajo</t>
  </si>
  <si>
    <t>Sin impacto</t>
  </si>
  <si>
    <t>Daño mínimo</t>
  </si>
  <si>
    <t>Interrupción &lt; 1h</t>
  </si>
  <si>
    <t>Bajo</t>
  </si>
  <si>
    <t>Impacto limitado</t>
  </si>
  <si>
    <t>Errores menores</t>
  </si>
  <si>
    <t>Interrupción 1-4h</t>
  </si>
  <si>
    <t>Medio</t>
  </si>
  <si>
    <t>Impacto moderado</t>
  </si>
  <si>
    <t>Errores significativos</t>
  </si>
  <si>
    <t>Interrupción 4-8h</t>
  </si>
  <si>
    <t>Alto</t>
  </si>
  <si>
    <t>Impacto severo</t>
  </si>
  <si>
    <t>Pérdida parcial</t>
  </si>
  <si>
    <t>Interrupción 8-24h</t>
  </si>
  <si>
    <t>Muy Alto</t>
  </si>
  <si>
    <t>Impacto crítico</t>
  </si>
  <si>
    <t>Pérdida total</t>
  </si>
  <si>
    <t>Interrupción &gt; 24h</t>
  </si>
  <si>
    <t>3. MATRIZ DE VALORACIÓN DE RIESGO (Prob × Impacto)</t>
  </si>
  <si>
    <t>Rango</t>
  </si>
  <si>
    <t>Color</t>
  </si>
  <si>
    <t>Acción</t>
  </si>
  <si>
    <t>1-4</t>
  </si>
  <si>
    <t>MUY BAJO</t>
  </si>
  <si>
    <t>Verde</t>
  </si>
  <si>
    <t>Aceptable</t>
  </si>
  <si>
    <t>5-9</t>
  </si>
  <si>
    <t>BAJO</t>
  </si>
  <si>
    <t>Amarillo</t>
  </si>
  <si>
    <t>Tolerable - Monitorear</t>
  </si>
  <si>
    <t>10-14</t>
  </si>
  <si>
    <t>MEDIO</t>
  </si>
  <si>
    <t>Naranja</t>
  </si>
  <si>
    <t>Requiere tratamiento</t>
  </si>
  <si>
    <t>15-19</t>
  </si>
  <si>
    <t>ALTO</t>
  </si>
  <si>
    <t>Rojo</t>
  </si>
  <si>
    <t>Tratamiento prioritario</t>
  </si>
  <si>
    <t>20-25</t>
  </si>
  <si>
    <t>CRÍTICO</t>
  </si>
  <si>
    <t>Rojo oscuro</t>
  </si>
  <si>
    <t>Tratamiento inmediato</t>
  </si>
  <si>
    <t>4. OPCIONES DE TRATAMIENTO DE RIESGOS</t>
  </si>
  <si>
    <t>MITIGAR</t>
  </si>
  <si>
    <t>Implementar controles para reducir probabilidad/impacto</t>
  </si>
  <si>
    <t>TRANSFERIR</t>
  </si>
  <si>
    <t>Compartir o transferir el riesgo (seguros, outsourcing)</t>
  </si>
  <si>
    <t>EVITAR</t>
  </si>
  <si>
    <t>Eliminar la actividad que genera el riesgo</t>
  </si>
  <si>
    <t>ACEPTAR</t>
  </si>
  <si>
    <t>Asumir el riesgo (solo para riesgos muy bajos)</t>
  </si>
  <si>
    <t>STATEMENT OF APPLICABILITY (SoA) - ISO 27001:2022 ANEXO A</t>
  </si>
  <si>
    <t>Control</t>
  </si>
  <si>
    <t>Nombre</t>
  </si>
  <si>
    <t>Aplicable</t>
  </si>
  <si>
    <t>Justificación</t>
  </si>
  <si>
    <t>Implementado</t>
  </si>
  <si>
    <t>Responsable</t>
  </si>
  <si>
    <t>Evidencia</t>
  </si>
  <si>
    <t>A.5.1</t>
  </si>
  <si>
    <t>Políticas de seguridad</t>
  </si>
  <si>
    <t>SÍ</t>
  </si>
  <si>
    <t>Requerido para el SGSI</t>
  </si>
  <si>
    <t>A.5.2</t>
  </si>
  <si>
    <t>Roles y responsabilidades</t>
  </si>
  <si>
    <t>Define estructura organizacional</t>
  </si>
  <si>
    <t>PARCIAL</t>
  </si>
  <si>
    <t>RRHH</t>
  </si>
  <si>
    <t>Organigrama</t>
  </si>
  <si>
    <t>A.5.3</t>
  </si>
  <si>
    <t>Segregación de funciones</t>
  </si>
  <si>
    <t>Prevención de fraude</t>
  </si>
  <si>
    <t>Matriz RACI</t>
  </si>
  <si>
    <t>A.5.7</t>
  </si>
  <si>
    <t>Inteligencia de amenazas</t>
  </si>
  <si>
    <t>Monitoreo proactivo</t>
  </si>
  <si>
    <t>SOC</t>
  </si>
  <si>
    <t>MITRE ATT&amp;CK</t>
  </si>
  <si>
    <t>A.5.8</t>
  </si>
  <si>
    <t>Seguridad en proyectos</t>
  </si>
  <si>
    <t>Security by design</t>
  </si>
  <si>
    <t>PMO</t>
  </si>
  <si>
    <t>Checklist</t>
  </si>
  <si>
    <t>A.5.10</t>
  </si>
  <si>
    <t>Uso aceptable</t>
  </si>
  <si>
    <t>Política de uso de activos</t>
  </si>
  <si>
    <t>AUP-001</t>
  </si>
  <si>
    <t>A.5.14</t>
  </si>
  <si>
    <t>Transferencia de información</t>
  </si>
  <si>
    <t>Protección en tránsito</t>
  </si>
  <si>
    <t>TI</t>
  </si>
  <si>
    <t>Cifrado TLS</t>
  </si>
  <si>
    <t>A.5.15</t>
  </si>
  <si>
    <t>Control de acceso</t>
  </si>
  <si>
    <t>Principio mínimo privilegio</t>
  </si>
  <si>
    <t>IAM</t>
  </si>
  <si>
    <t>A.5.16</t>
  </si>
  <si>
    <t>Gestión de identidad</t>
  </si>
  <si>
    <t>Control de identidades</t>
  </si>
  <si>
    <t>Active Directory</t>
  </si>
  <si>
    <t>A.5.17</t>
  </si>
  <si>
    <t>Información de autenticación</t>
  </si>
  <si>
    <t>Contraseñas seguras</t>
  </si>
  <si>
    <t>Política contraseñas</t>
  </si>
  <si>
    <t>A.5.23</t>
  </si>
  <si>
    <t>Uso de servicios cloud</t>
  </si>
  <si>
    <t>Uso creciente de cloud</t>
  </si>
  <si>
    <t>Acuerdos SLA</t>
  </si>
  <si>
    <t>A.6.1</t>
  </si>
  <si>
    <t>Selección</t>
  </si>
  <si>
    <t>Verificación de antecedentes</t>
  </si>
  <si>
    <t>Proceso contratación</t>
  </si>
  <si>
    <t>A.6.2</t>
  </si>
  <si>
    <t>Términos y condiciones</t>
  </si>
  <si>
    <t>Acuerdos de confidencialidad</t>
  </si>
  <si>
    <t>Legal</t>
  </si>
  <si>
    <t>NDA empleados</t>
  </si>
  <si>
    <t>A.6.3</t>
  </si>
  <si>
    <t>Concienciación</t>
  </si>
  <si>
    <t>Capacitación continua</t>
  </si>
  <si>
    <t>Plan formación</t>
  </si>
  <si>
    <t>A.6.4</t>
  </si>
  <si>
    <t>Proceso disciplinario</t>
  </si>
  <si>
    <t>Sanciones por incumplimiento</t>
  </si>
  <si>
    <t>Reglamento</t>
  </si>
  <si>
    <t>A.6.5</t>
  </si>
  <si>
    <t>Cese de empleo</t>
  </si>
  <si>
    <t>Devolución de activos</t>
  </si>
  <si>
    <t>Checklist offboarding</t>
  </si>
  <si>
    <t>A.7.1</t>
  </si>
  <si>
    <t>Áreas seguras físicas</t>
  </si>
  <si>
    <t>Protección de instalaciones</t>
  </si>
  <si>
    <t>Seguridad Física</t>
  </si>
  <si>
    <t>Control acceso</t>
  </si>
  <si>
    <t>A.7.2</t>
  </si>
  <si>
    <t>Controles físicos</t>
  </si>
  <si>
    <t>Cámaras, alarmas, guardias</t>
  </si>
  <si>
    <t>Sistema CCTV</t>
  </si>
  <si>
    <t>A.7.4</t>
  </si>
  <si>
    <t>Monitoreo físico</t>
  </si>
  <si>
    <t>Registro de accesos</t>
  </si>
  <si>
    <t>Logs acceso</t>
  </si>
  <si>
    <t>A.8.1</t>
  </si>
  <si>
    <t>Dispositivos de usuario</t>
  </si>
  <si>
    <t>Laptops, móviles, tablets</t>
  </si>
  <si>
    <t>MDM</t>
  </si>
  <si>
    <t>A.8.2</t>
  </si>
  <si>
    <t>Derechos de acceso</t>
  </si>
  <si>
    <t>Gestión de privilegios</t>
  </si>
  <si>
    <t>Sistema IAM</t>
  </si>
  <si>
    <t>A.8.3</t>
  </si>
  <si>
    <t>Restricción de acceso</t>
  </si>
  <si>
    <t>Segmentación de red</t>
  </si>
  <si>
    <t>Firewall/VLAN</t>
  </si>
  <si>
    <t>A.8.5</t>
  </si>
  <si>
    <t>Autenticación segura</t>
  </si>
  <si>
    <t>MFA obligatorio</t>
  </si>
  <si>
    <t>Azure MFA</t>
  </si>
  <si>
    <t>A.8.8</t>
  </si>
  <si>
    <t>Gestión de vulnerabilidades</t>
  </si>
  <si>
    <t>Escaneo regular</t>
  </si>
  <si>
    <t>Vulnerability scan</t>
  </si>
  <si>
    <t>A.8.9</t>
  </si>
  <si>
    <t>Gestión de configuración</t>
  </si>
  <si>
    <t>CMDB actualizado</t>
  </si>
  <si>
    <t>NO</t>
  </si>
  <si>
    <t>Pendiente</t>
  </si>
  <si>
    <t>A.8.10</t>
  </si>
  <si>
    <t>Borrado de información</t>
  </si>
  <si>
    <t>Eliminación segura</t>
  </si>
  <si>
    <t>A.8.11</t>
  </si>
  <si>
    <t>Enmascaramiento de datos</t>
  </si>
  <si>
    <t>Protección datos sensibles</t>
  </si>
  <si>
    <t>Dev</t>
  </si>
  <si>
    <t>Pseudonimización</t>
  </si>
  <si>
    <t>A.8.12</t>
  </si>
  <si>
    <t>Prevención de fuga de datos</t>
  </si>
  <si>
    <t>DLP implementado</t>
  </si>
  <si>
    <t>DLP Microsoft</t>
  </si>
  <si>
    <t>A.8.16</t>
  </si>
  <si>
    <t>Monitoreo de actividades</t>
  </si>
  <si>
    <t>Logs centralizados</t>
  </si>
  <si>
    <t>SIEM</t>
  </si>
  <si>
    <t>A.8.23</t>
  </si>
  <si>
    <t>Filtrado web</t>
  </si>
  <si>
    <t>Bloqueo sitios maliciosos</t>
  </si>
  <si>
    <t>Proxy/Firewall</t>
  </si>
  <si>
    <t>A.8.24</t>
  </si>
  <si>
    <t>Cifrado</t>
  </si>
  <si>
    <t>Datos en reposo y tránsito</t>
  </si>
  <si>
    <t>BitLocker/TLS</t>
  </si>
  <si>
    <t>PLAN DE AUDITORÍA INTERNA DEL SGSI</t>
  </si>
  <si>
    <t>INFORMACIÓN GENERAL DEL PROGRAMA DE AUDITORÍA</t>
  </si>
  <si>
    <t>Año del Plan:</t>
  </si>
  <si>
    <t>2025</t>
  </si>
  <si>
    <t>Frecuencia:</t>
  </si>
  <si>
    <t>Semestral</t>
  </si>
  <si>
    <t>Auditor Líder:</t>
  </si>
  <si>
    <t>A definir</t>
  </si>
  <si>
    <t>Equipo Auditor:</t>
  </si>
  <si>
    <t>Norma de Referencia:</t>
  </si>
  <si>
    <t>ISO 27001:2022, ISO 19011:2018</t>
  </si>
  <si>
    <t>CALENDARIO DE AUDITORÍAS 2025</t>
  </si>
  <si>
    <t>Auditoría</t>
  </si>
  <si>
    <t>Alcance</t>
  </si>
  <si>
    <t>Fecha Planificada</t>
  </si>
  <si>
    <t>Duración</t>
  </si>
  <si>
    <t>Informe</t>
  </si>
  <si>
    <t>Auditoría 1/2025</t>
  </si>
  <si>
    <t>Política y Alcance</t>
  </si>
  <si>
    <t>Marzo 2025</t>
  </si>
  <si>
    <t>2 días</t>
  </si>
  <si>
    <t>Planificada</t>
  </si>
  <si>
    <t>-</t>
  </si>
  <si>
    <t>Auditoría 2/2025</t>
  </si>
  <si>
    <t>Gestión de Riesgos</t>
  </si>
  <si>
    <t>Junio 2025</t>
  </si>
  <si>
    <t>3 días</t>
  </si>
  <si>
    <t>Auditoría 3/2025</t>
  </si>
  <si>
    <t>Controles Técnicos</t>
  </si>
  <si>
    <t>Septiembre 2025</t>
  </si>
  <si>
    <t>Auditoría 4/2025</t>
  </si>
  <si>
    <t>Continuidad de Negocio</t>
  </si>
  <si>
    <t>Diciembre 2025</t>
  </si>
  <si>
    <t>CRITERIOS Y METODOLOGÍA DE AUDITORÍA</t>
  </si>
  <si>
    <t>• Cumplimiento ISO 27001:2022</t>
  </si>
  <si>
    <t>Verificar implementación de controles Anexo A</t>
  </si>
  <si>
    <t>• Efectividad de Controles</t>
  </si>
  <si>
    <t>Evaluar si controles logran objetivos</t>
  </si>
  <si>
    <t>• Conformidad Legal</t>
  </si>
  <si>
    <t>Verificar cumplimiento regulatorio</t>
  </si>
  <si>
    <t>• Mejora Continua</t>
  </si>
  <si>
    <t>Identificar oportunidades de mejora</t>
  </si>
  <si>
    <t>REVISIÓN POR LA DIRECCIÓN - ACTAS E INFORMES</t>
  </si>
  <si>
    <t>REGISTRO DE REVISIONES POR LA DIRECCIÓN</t>
  </si>
  <si>
    <t>Fecha</t>
  </si>
  <si>
    <t>Asistentes</t>
  </si>
  <si>
    <t>Temas Tratados</t>
  </si>
  <si>
    <t>Decisiones</t>
  </si>
  <si>
    <t>Inicial</t>
  </si>
  <si>
    <t>CEO, CISO, CIO</t>
  </si>
  <si>
    <t>Aprobación SGSI inicial</t>
  </si>
  <si>
    <t>Aprobar implementación</t>
  </si>
  <si>
    <t>ACTA-001</t>
  </si>
  <si>
    <t>AGENDA TIPO - REVISIÓN POR LA DIRECCIÓN</t>
  </si>
  <si>
    <t>1. Estado de acciones de revisiones anteriores</t>
  </si>
  <si>
    <t>2. Cambios en cuestiones externas e internas relevantes al SGSI</t>
  </si>
  <si>
    <t>3. Retroalimentación sobre el desempeño de la seguridad de la información:</t>
  </si>
  <si>
    <t xml:space="preserve">   • No conformidades y acciones correctivas</t>
  </si>
  <si>
    <t xml:space="preserve">   • Resultados de seguimiento y medición</t>
  </si>
  <si>
    <t xml:space="preserve">   • Resultados de auditorías internas</t>
  </si>
  <si>
    <t xml:space="preserve">   • Cumplimiento de objetivos de seguridad</t>
  </si>
  <si>
    <t>4. Retroalimentación de partes interesadas</t>
  </si>
  <si>
    <t>5. Resultados de evaluación de riesgos y plan de tratamiento</t>
  </si>
  <si>
    <t>6. Oportunidades de mejora continua</t>
  </si>
  <si>
    <t>7. Necesidad de cambios al SGSI</t>
  </si>
  <si>
    <t>8. Recursos necesarios</t>
  </si>
  <si>
    <t>9. Acciones a tomar</t>
  </si>
  <si>
    <t>📋 PLAN DE PROYECTO - IMPLEMENTACIÓN SGSI</t>
  </si>
  <si>
    <t>SGSI-PRY-001</t>
  </si>
  <si>
    <t>Tipo Documento:</t>
  </si>
  <si>
    <t>Plan de Proyecto</t>
  </si>
  <si>
    <t>Fecha Emisión:</t>
  </si>
  <si>
    <t>Fecha Vigencia:</t>
  </si>
  <si>
    <t>31/12/2025</t>
  </si>
  <si>
    <t>Propietario:</t>
  </si>
  <si>
    <t>Dirección TI</t>
  </si>
  <si>
    <t>Gerencia General</t>
  </si>
  <si>
    <t>Trazabilidad:</t>
  </si>
  <si>
    <t>SoA: SGSI-SOA-001 | Riesgos: Analisis_Riesgos</t>
  </si>
  <si>
    <t>1. OBJETIVOS DEL PROYECTO SGSI</t>
  </si>
  <si>
    <t xml:space="preserve">   1. Implementar un Sistema de Gestión de Seguridad de la Información conforme a ISO 27001:2022</t>
  </si>
  <si>
    <t xml:space="preserve">   2. Proteger la confidencialidad, integridad y disponibilidad de los activos de información</t>
  </si>
  <si>
    <t xml:space="preserve">   3. Cumplir con requisitos legales, regulatorios y contractuales de seguridad</t>
  </si>
  <si>
    <t xml:space="preserve">   4. Establecer un proceso continuo de mejora en la gestión de riesgos de seguridad</t>
  </si>
  <si>
    <t xml:space="preserve">   5. Obtener la certificación ISO 27001 en un plazo máximo de 12 meses</t>
  </si>
  <si>
    <t>2. ALCANCE DEL PROYECTO</t>
  </si>
  <si>
    <t>Áreas Incluidas:</t>
  </si>
  <si>
    <t>Dirección TI, Operaciones, Desarrollo, Infraestructura, Seguridad</t>
  </si>
  <si>
    <t>Procesos Críticos:</t>
  </si>
  <si>
    <t>Desarrollo software, Gestión infraestructura cloud, Operaciones 24/7</t>
  </si>
  <si>
    <t>Ubicaciones:</t>
  </si>
  <si>
    <t>Oficina central + 3 sucursales regionales + Cloud AWS/Azure</t>
  </si>
  <si>
    <t>Activos en Alcance:</t>
  </si>
  <si>
    <t>Servidores, aplicaciones críticas, bases de datos, redes, dispositivos usuarios</t>
  </si>
  <si>
    <t>Exclusiones:</t>
  </si>
  <si>
    <t>Procesos de manufactura, sistemas de producción física</t>
  </si>
  <si>
    <t>3. ROADMAP DE IMPLEMENTACIÓN (12 MESES)</t>
  </si>
  <si>
    <t>Fase</t>
  </si>
  <si>
    <t>Actividades Principales</t>
  </si>
  <si>
    <t>Entregables</t>
  </si>
  <si>
    <t>Criterios Éxito</t>
  </si>
  <si>
    <t>FASE 1
Iniciación
(Mes 1-2)</t>
  </si>
  <si>
    <t>• Definir alcance SGSI
• Formar comité seguridad
• Aprobar políticas
• Inventariar activos</t>
  </si>
  <si>
    <t>2 meses</t>
  </si>
  <si>
    <t>Política de seguridad
Alcance SGSI
Inventario activos
Comité formado</t>
  </si>
  <si>
    <t>100% activos críticos inventariados
Políticas aprobadas por dirección</t>
  </si>
  <si>
    <t>FASE 2
Análisis Riesgos
(Mes 3-4)</t>
  </si>
  <si>
    <t>• Identificar amenazas
• Evaluar vulnerabilidades
• Analizar impactos
• Calcular riesgos</t>
  </si>
  <si>
    <t>Analista Riesgos</t>
  </si>
  <si>
    <t>Matriz de riesgos
Registro amenazas
Análisis impacto
Mapa de calor</t>
  </si>
  <si>
    <t>100% activos evaluados
Riesgos cuantificados
Propietarios asignados</t>
  </si>
  <si>
    <t>FASE 3
Tratamiento
(Mes 5-6)</t>
  </si>
  <si>
    <t>• Definir controles
• Elaborar SoA
• Plan de tratamiento
• Aprobar inversiones</t>
  </si>
  <si>
    <t>CISO + Jefes TI</t>
  </si>
  <si>
    <t>SoA completo
Plan tratamiento
Presupuesto controles
Controles priorizados</t>
  </si>
  <si>
    <t>SoA 100% completo
Controles &gt; riesgo alto aprobados</t>
  </si>
  <si>
    <t>FASE 4
Implementación
(Mes 7-10)</t>
  </si>
  <si>
    <t>• Implementar controles
• Capacitar personal
• Actualizar procesos
• Documentar evidencias</t>
  </si>
  <si>
    <t>4 meses</t>
  </si>
  <si>
    <t>Equipo SGSI</t>
  </si>
  <si>
    <t>Controles implementados
Procedimientos actualizados
Personal capacitado
Evidencias documentadas</t>
  </si>
  <si>
    <t>85% controles implementados
100% personal crítico capacitado</t>
  </si>
  <si>
    <t>FASE 5
Auditoría
(Mes 11)</t>
  </si>
  <si>
    <t>• Auditoría interna
• Resolver no conformidades
• Revisión dirección
• Mejoras pre-certificación</t>
  </si>
  <si>
    <t>1 mes</t>
  </si>
  <si>
    <t>Auditor Líder</t>
  </si>
  <si>
    <t>Informe auditoría
No conformidades cerradas
Acciones correctivas
Acta revisión dirección</t>
  </si>
  <si>
    <t>0 no conformidades mayores
Todas menores cerradas</t>
  </si>
  <si>
    <t>FASE 6
Certificación
(Mes 12)</t>
  </si>
  <si>
    <t>• Auditoría certificación
• Atender hallazgos
• Obtener certificado
• Comunicar logro</t>
  </si>
  <si>
    <t>Certificado ISO 27001
Informe certificador
Plan mejora continua</t>
  </si>
  <si>
    <t>Certificación obtenida
0 observaciones críticas</t>
  </si>
  <si>
    <t>4. RECURSOS Y PRESUPUESTO ESTIMADO</t>
  </si>
  <si>
    <t>Recursos Humanos</t>
  </si>
  <si>
    <t>CISO (0.5 FTE) + 2 Analistas (1 FTE c/u) + Consultor externo</t>
  </si>
  <si>
    <t>$120,000</t>
  </si>
  <si>
    <t>Herramientas Seguridad</t>
  </si>
  <si>
    <t>SIEM, Antivirus, DLP, Firewall, Vulnerability Scanner</t>
  </si>
  <si>
    <t>$80,000</t>
  </si>
  <si>
    <t>Capacitación</t>
  </si>
  <si>
    <t>Certificaciones (ISO 27001 Lead Auditor, CISA) + Training personal</t>
  </si>
  <si>
    <t>$25,000</t>
  </si>
  <si>
    <t>Consultoría</t>
  </si>
  <si>
    <t>Gap analysis + Soporte implementación + Pre-auditoría</t>
  </si>
  <si>
    <t>$40,000</t>
  </si>
  <si>
    <t>Certificación</t>
  </si>
  <si>
    <t>Auditoría certificación ISO 27001 + seguimientos anuales</t>
  </si>
  <si>
    <t>$15,000</t>
  </si>
  <si>
    <t>Contingencia (10%)</t>
  </si>
  <si>
    <t>Reserva para imprevistos y ajustes</t>
  </si>
  <si>
    <t>$28,000</t>
  </si>
  <si>
    <t>TOTAL PROYECTO</t>
  </si>
  <si>
    <t>$308,000</t>
  </si>
  <si>
    <t>🚨 GESTIÓN DE INCIDENTES DE SEGURIDAD</t>
  </si>
  <si>
    <t>SGSI-INC-001</t>
  </si>
  <si>
    <t>1. PROCEDIMIENTO DE GESTIÓN DE INCIDENTES</t>
  </si>
  <si>
    <t>1. DETECCIÓN</t>
  </si>
  <si>
    <t>• Monitoreo SIEM 24/7
• Alertas automáticas
• Reportes usuarios
• Análisis logs</t>
  </si>
  <si>
    <t>Herramientas: SIEM, IDS/IPS, Antivirus, Logs</t>
  </si>
  <si>
    <t>2. CLASIFICACIÓN</t>
  </si>
  <si>
    <t>• Severidad (Crítico/Alto/Medio/Bajo)
• Tipo de incidente
• Activos afectados
• Impacto estimado</t>
  </si>
  <si>
    <t>Tiempo máximo: 30 min desde detección</t>
  </si>
  <si>
    <t>3. CONTENCIÓN</t>
  </si>
  <si>
    <t>• Aislar sistemas afectados
• Detener propagación
• Preservar evidencias
• Notificar stakeholders</t>
  </si>
  <si>
    <t>Activación según severidad:
Crítico: Inmediato
Alto: &lt; 1 hora</t>
  </si>
  <si>
    <t>4. ANÁLISIS</t>
  </si>
  <si>
    <t>• Causa raíz
• Vector de ataque
• Extensión del daño
• Análisis forense</t>
  </si>
  <si>
    <t>Equipo: CISO + Analistas + Forense</t>
  </si>
  <si>
    <t>5. ERRADICACIÓN</t>
  </si>
  <si>
    <t>• Eliminar amenaza
• Parchear vulnerabilidades
• Actualizar controles
• Verificar limpieza</t>
  </si>
  <si>
    <t>Validación: Doble verificación requerida</t>
  </si>
  <si>
    <t>6. RECUPERACIÓN</t>
  </si>
  <si>
    <t>• Restaurar servicios
• Validar integridad
• Monitoreo reforzado
• Comunicar normalización</t>
  </si>
  <si>
    <t>SLA restauración según criticidad activo</t>
  </si>
  <si>
    <t>7. LECCIONES APRENDIDAS</t>
  </si>
  <si>
    <t>• Informe post-incidente
• Acciones correctivas
• Actualizar procedimientos
• Capacitación</t>
  </si>
  <si>
    <t>Plazo informe: 5 días hábiles</t>
  </si>
  <si>
    <t>2. CLASIFICACIÓN DE SEVERIDAD DE INCIDENTES</t>
  </si>
  <si>
    <t>Severidad</t>
  </si>
  <si>
    <t>Criterios</t>
  </si>
  <si>
    <t>Tiempo Respuesta</t>
  </si>
  <si>
    <t>Notificación</t>
  </si>
  <si>
    <t>Escalamiento</t>
  </si>
  <si>
    <t>• Brecha de datos masiva
• Ransomware activo
• Interrupción total servicios críticos
• Ataque APT confirmado</t>
  </si>
  <si>
    <t>Inmediato
(&lt; 15 min)</t>
  </si>
  <si>
    <t>CISO + CEO
+ Dirección
+ Legal</t>
  </si>
  <si>
    <t>Inmediato
Comité Crisis</t>
  </si>
  <si>
    <t>• Compromiso servidor crítico
• Fuga datos sensibles
• Malware en sistemas producción
• DDoS sostenido</t>
  </si>
  <si>
    <t>&lt; 1 hora</t>
  </si>
  <si>
    <t>CISO
+ Jefe TI
+ Afectados</t>
  </si>
  <si>
    <t>&lt; 2 horas
CISO</t>
  </si>
  <si>
    <t>• Intento acceso no autorizado
• Phishing dirigido
• Vulnerabilidad explotable
• Pérdida dispositivo con datos</t>
  </si>
  <si>
    <t>&lt; 4 horas</t>
  </si>
  <si>
    <t>Jefe TI
+ Responsable Área</t>
  </si>
  <si>
    <t>&lt; 8 horas
Jefe TI</t>
  </si>
  <si>
    <t>• Spam masivo
• Intento phishing genérico
• Vulnerabilidad menor
• Violación política no crítica</t>
  </si>
  <si>
    <t>&lt; 24 horas</t>
  </si>
  <si>
    <t>Analista Seguridad</t>
  </si>
  <si>
    <t>Si persiste
&gt; 48h</t>
  </si>
  <si>
    <t>3. REGISTRO DE INCIDENTES DE SEGURIDAD</t>
  </si>
  <si>
    <t>ID</t>
  </si>
  <si>
    <t>Fecha/Hora</t>
  </si>
  <si>
    <t>Tipo Incidente</t>
  </si>
  <si>
    <t>Fecha Cierre</t>
  </si>
  <si>
    <t>INC-001</t>
  </si>
  <si>
    <t>04/11/2025 09:15</t>
  </si>
  <si>
    <t>Malware</t>
  </si>
  <si>
    <t>Troyano bancario detectado en estación de trabajo finanzas</t>
  </si>
  <si>
    <t>J. Pérez</t>
  </si>
  <si>
    <t>CERRADO</t>
  </si>
  <si>
    <t>05/11/2025</t>
  </si>
  <si>
    <t>INC-002</t>
  </si>
  <si>
    <t>04/11/2025 14:30</t>
  </si>
  <si>
    <t>Acceso No Autorizado</t>
  </si>
  <si>
    <t>Intentos de acceso SSH fallidos desde IP externa sospechosa</t>
  </si>
  <si>
    <t>M. González</t>
  </si>
  <si>
    <t>EN ANÁLISIS</t>
  </si>
  <si>
    <t>INC-003</t>
  </si>
  <si>
    <t>04/11/2025 16:45</t>
  </si>
  <si>
    <t>Phishing</t>
  </si>
  <si>
    <t>Campaña de phishing reportada por 5 usuarios</t>
  </si>
  <si>
    <t>L. Martínez</t>
  </si>
  <si>
    <t>CONTENIDO</t>
  </si>
  <si>
    <t>🔄 PLAN DE CONTINUIDAD DEL NEGOCIO (BCP)</t>
  </si>
  <si>
    <t>Código:</t>
  </si>
  <si>
    <t>SGSI-BCP-001</t>
  </si>
  <si>
    <t>Tipo:</t>
  </si>
  <si>
    <t>Plan de Continuidad</t>
  </si>
  <si>
    <t>Fecha:</t>
  </si>
  <si>
    <t>Responsable:</t>
  </si>
  <si>
    <t>Vigencia:</t>
  </si>
  <si>
    <t>Aprobado:</t>
  </si>
  <si>
    <t>1. OBJETIVOS DEL PLAN DE CONTINUIDAD</t>
  </si>
  <si>
    <t xml:space="preserve">   • Garantizar la continuidad de procesos críticos ante interrupciones</t>
  </si>
  <si>
    <t xml:space="preserve">   • Minimizar el impacto de incidentes en operaciones de negocio</t>
  </si>
  <si>
    <t xml:space="preserve">   • Proteger a empleados, clientes y stakeholders</t>
  </si>
  <si>
    <t xml:space="preserve">   • Cumplir con SLA comprometidos y obligaciones contractuales</t>
  </si>
  <si>
    <t xml:space="preserve">   • Mantener la reputación y confianza de clientes</t>
  </si>
  <si>
    <t>2. OBJETIVOS DE RECUPERACIÓN (RTO/RPO)</t>
  </si>
  <si>
    <t>Proceso Crítico</t>
  </si>
  <si>
    <t>Criticidad</t>
  </si>
  <si>
    <t>RTO</t>
  </si>
  <si>
    <t>RPO</t>
  </si>
  <si>
    <t>Recursos Mínimos</t>
  </si>
  <si>
    <t>Estrategia Recuperación</t>
  </si>
  <si>
    <t>Atención al Cliente</t>
  </si>
  <si>
    <t>2h</t>
  </si>
  <si>
    <t>15min</t>
  </si>
  <si>
    <t>CRM + Telefonía + 5 agentes</t>
  </si>
  <si>
    <t>Sitio alterno + Cloud backup</t>
  </si>
  <si>
    <t>Procesamiento Pagos</t>
  </si>
  <si>
    <t>4h</t>
  </si>
  <si>
    <t>5min</t>
  </si>
  <si>
    <t>Core bancario + Conexión bancos</t>
  </si>
  <si>
    <t>Redundancia geográfica DB</t>
  </si>
  <si>
    <t>Producción Software</t>
  </si>
  <si>
    <t>8h</t>
  </si>
  <si>
    <t>1h</t>
  </si>
  <si>
    <t>Repositorio Git + CI/CD</t>
  </si>
  <si>
    <t>Cloud DevOps + Backups</t>
  </si>
  <si>
    <t>Email Corporativo</t>
  </si>
  <si>
    <t>12h</t>
  </si>
  <si>
    <t>Servidor Exchange/O365</t>
  </si>
  <si>
    <t>Failover automático cloud</t>
  </si>
  <si>
    <t>ERP Gestión</t>
  </si>
  <si>
    <t>6h</t>
  </si>
  <si>
    <t>30min</t>
  </si>
  <si>
    <t>SAP/ERP + DB + 10 usuarios</t>
  </si>
  <si>
    <t>Cluster alta disponibilidad</t>
  </si>
  <si>
    <t>Portal Web Público</t>
  </si>
  <si>
    <t>Servidores web + CDN</t>
  </si>
  <si>
    <t>Load balancer + Multi-región</t>
  </si>
  <si>
    <t>3. PLAN DE RESPUESTA A INCIDENTES MAYORES</t>
  </si>
  <si>
    <t>ACTIVACIÓN</t>
  </si>
  <si>
    <t>• Declaración de incidente mayor
• Activar equipo crisis
• Notificar stakeholders
• Activar sitio alterno</t>
  </si>
  <si>
    <t>Responsable: CISO
Tiempo: Inmediato</t>
  </si>
  <si>
    <t>EVALUACIÓN</t>
  </si>
  <si>
    <t>• Evaluar daños
• Identificar recursos afectados
• Estimar tiempo recuperación
• Priorizar procesos</t>
  </si>
  <si>
    <t>Equipo: Crisis + TI
Tiempo: &lt; 2 horas</t>
  </si>
  <si>
    <t>RECUPERACIÓN</t>
  </si>
  <si>
    <t>• Restaurar sistemas críticos
• Validar integridad datos
• Redirigir tráfico a backup
• Comunicar progreso</t>
  </si>
  <si>
    <t>Por fases según RTO
Monitoreo continuo</t>
  </si>
  <si>
    <t>RESTABLECIMIENTO</t>
  </si>
  <si>
    <t>• Volver a operación normal
• Verificar funcionamiento
• Sincronizar datos
• Cerrar incidente</t>
  </si>
  <si>
    <t>Validación completa
Informe post-mortem</t>
  </si>
  <si>
    <t>MEJORA</t>
  </si>
  <si>
    <t>• Lecciones aprendidas
• Actualizar BCP
• Reforzar controles
• Capacitar equipo</t>
  </si>
  <si>
    <t>Plazo: 10 días
Actualización BCP</t>
  </si>
  <si>
    <t>📊 ANÁLISIS DE IMPACTO AL NEGOCIO (BIA)</t>
  </si>
  <si>
    <t>SGSI-BIA-001</t>
  </si>
  <si>
    <t>Análisis de Impacto</t>
  </si>
  <si>
    <t>1. METODOLOGÍA DE ANÁLISIS BIA</t>
  </si>
  <si>
    <t>1. Identificar procesos críticos</t>
  </si>
  <si>
    <t>Entrevistas con dueños de procesos, análisis cadena de valor</t>
  </si>
  <si>
    <t>2. Determinar dependencias</t>
  </si>
  <si>
    <t>Mapeo de sistemas, aplicaciones, datos, personal, proveedores</t>
  </si>
  <si>
    <t>3. Evaluar impactos</t>
  </si>
  <si>
    <t>Financiero, operacional, reputacional, legal, seguridad</t>
  </si>
  <si>
    <t>4. Definir tolerancias</t>
  </si>
  <si>
    <t>MTD (Maximum Tolerable Downtime), RTO, RPO</t>
  </si>
  <si>
    <t>5. Priorizar recuperación</t>
  </si>
  <si>
    <t>Criticidad basada en impacto acumulado en el tiempo</t>
  </si>
  <si>
    <t>2. ANÁLISIS DE IMPACTO POR TIEMPO DE INTERRUPCIÓN</t>
  </si>
  <si>
    <t>Proceso</t>
  </si>
  <si>
    <t>Impacto 1h</t>
  </si>
  <si>
    <t>Impacto 4h</t>
  </si>
  <si>
    <t>Impacto 24h</t>
  </si>
  <si>
    <t>Impacto 1 semana</t>
  </si>
  <si>
    <t>MTD</t>
  </si>
  <si>
    <t>Atención Cliente</t>
  </si>
  <si>
    <t>Crítico</t>
  </si>
  <si>
    <t>Catastrófico</t>
  </si>
  <si>
    <t>Proc. Pagos</t>
  </si>
  <si>
    <t>Producción SW</t>
  </si>
  <si>
    <t>72h</t>
  </si>
  <si>
    <t>Email Corp</t>
  </si>
  <si>
    <t>24h</t>
  </si>
  <si>
    <t>Portal Web</t>
  </si>
  <si>
    <t>RRHH Nómina</t>
  </si>
  <si>
    <t>168h</t>
  </si>
  <si>
    <t>Backup/Restore</t>
  </si>
  <si>
    <t>48h</t>
  </si>
  <si>
    <t>3. IMPACTO FINANCIERO ESTIMADO (USD)</t>
  </si>
  <si>
    <t>Tipo Impacto</t>
  </si>
  <si>
    <t>Por Hora</t>
  </si>
  <si>
    <t>Por Día</t>
  </si>
  <si>
    <t>Por Semana</t>
  </si>
  <si>
    <t>Notas</t>
  </si>
  <si>
    <t>Pérdida Ingresos</t>
  </si>
  <si>
    <t>$5,000</t>
  </si>
  <si>
    <t>$840,000</t>
  </si>
  <si>
    <t>Ventas no realizadas + clientes perdidos</t>
  </si>
  <si>
    <t>Penalizaciones SLA</t>
  </si>
  <si>
    <t>$2,000</t>
  </si>
  <si>
    <t>$48,000</t>
  </si>
  <si>
    <t>$336,000</t>
  </si>
  <si>
    <t>Multas contractuales incumplimiento</t>
  </si>
  <si>
    <t>Costos Recuperación</t>
  </si>
  <si>
    <t>$3,000</t>
  </si>
  <si>
    <t>$72,000</t>
  </si>
  <si>
    <t>$504,000</t>
  </si>
  <si>
    <t>Personal extra, consultores, equipos</t>
  </si>
  <si>
    <t>Daño Reputacional</t>
  </si>
  <si>
    <t>$1,000</t>
  </si>
  <si>
    <t>$24,000</t>
  </si>
  <si>
    <t>$500,000</t>
  </si>
  <si>
    <t>Pérdida confianza, marketing recuperación</t>
  </si>
  <si>
    <t>Costos Legales</t>
  </si>
  <si>
    <t>$500</t>
  </si>
  <si>
    <t>$12,000</t>
  </si>
  <si>
    <t>$150,000</t>
  </si>
  <si>
    <t>Multas regulatorias, demandas</t>
  </si>
  <si>
    <t>TOTAL ESTIMADO</t>
  </si>
  <si>
    <t>$11,500</t>
  </si>
  <si>
    <t>$276,000</t>
  </si>
  <si>
    <t>$2,330,000</t>
  </si>
  <si>
    <t>Impacto acumulado - varía según proceso</t>
  </si>
  <si>
    <t>🎓 PLAN DE FORMACIÓN Y CONCIENCIACIÓN</t>
  </si>
  <si>
    <t>SGSI-FOR-001</t>
  </si>
  <si>
    <t>Plan de Formación</t>
  </si>
  <si>
    <t>1. OBJETIVOS DEL PROGRAMA</t>
  </si>
  <si>
    <t xml:space="preserve">   • Crear cultura de seguridad en toda la organización</t>
  </si>
  <si>
    <t xml:space="preserve">   • Capacitar al personal en políticas y procedimientos de seguridad</t>
  </si>
  <si>
    <t xml:space="preserve">   • Reducir riesgos derivados del factor humano (90% de brechas)</t>
  </si>
  <si>
    <t xml:space="preserve">   • Cumplir con requisitos ISO 27001 cláusula 7.2 (Competencia)</t>
  </si>
  <si>
    <t xml:space="preserve">   • Medir y mejorar continuamente el nivel de concienciación</t>
  </si>
  <si>
    <t>2. PROGRAMA ANUAL DE FORMACIÓN 2025</t>
  </si>
  <si>
    <t>Actividad</t>
  </si>
  <si>
    <t>Audiencia</t>
  </si>
  <si>
    <t>Modalidad</t>
  </si>
  <si>
    <t>Fecha 2025</t>
  </si>
  <si>
    <t>Inducción Seguridad</t>
  </si>
  <si>
    <t>Nuevos ingresos</t>
  </si>
  <si>
    <t>Presencial</t>
  </si>
  <si>
    <t>2 horas</t>
  </si>
  <si>
    <t>Continua</t>
  </si>
  <si>
    <t>RRHH + CISO</t>
  </si>
  <si>
    <t>Todo el año</t>
  </si>
  <si>
    <t>Políticas SGSI</t>
  </si>
  <si>
    <t>Todo el personal</t>
  </si>
  <si>
    <t>E-learning</t>
  </si>
  <si>
    <t>1 hora</t>
  </si>
  <si>
    <t>Anual</t>
  </si>
  <si>
    <t>Enero-Feb</t>
  </si>
  <si>
    <t>Phishing Simulado</t>
  </si>
  <si>
    <t>Campaña email</t>
  </si>
  <si>
    <t>15 min</t>
  </si>
  <si>
    <t>Trimestral</t>
  </si>
  <si>
    <t>Analista Seg</t>
  </si>
  <si>
    <t>Ene/Abr/Jul/Oct</t>
  </si>
  <si>
    <t>Manejo Incidentes</t>
  </si>
  <si>
    <t>TI + Seguridad</t>
  </si>
  <si>
    <t>Taller práctico</t>
  </si>
  <si>
    <t>4 horas</t>
  </si>
  <si>
    <t>Mar/Sep</t>
  </si>
  <si>
    <t>Clasificación Info</t>
  </si>
  <si>
    <t>Gerentes + Jefes</t>
  </si>
  <si>
    <t>Abril</t>
  </si>
  <si>
    <t>Continuidad Negocio</t>
  </si>
  <si>
    <t>Dirección + TI</t>
  </si>
  <si>
    <t>Simulacro</t>
  </si>
  <si>
    <t>3 horas</t>
  </si>
  <si>
    <t>Jefe TI</t>
  </si>
  <si>
    <t>Junio</t>
  </si>
  <si>
    <t>Desarrollo Seguro</t>
  </si>
  <si>
    <t>Desarrolladores</t>
  </si>
  <si>
    <t>Workshop</t>
  </si>
  <si>
    <t>8 horas</t>
  </si>
  <si>
    <t>CISO + DevLead</t>
  </si>
  <si>
    <t>Mayo</t>
  </si>
  <si>
    <t>Ingeniería Social</t>
  </si>
  <si>
    <t>Recepción + RRHH</t>
  </si>
  <si>
    <t>1.5 horas</t>
  </si>
  <si>
    <t>Agosto</t>
  </si>
  <si>
    <t>GDPR/Privacidad</t>
  </si>
  <si>
    <t>RRHH + Legal</t>
  </si>
  <si>
    <t>Webinar</t>
  </si>
  <si>
    <t>DPO</t>
  </si>
  <si>
    <t>Marzo</t>
  </si>
  <si>
    <t>Certificación ISO 27001</t>
  </si>
  <si>
    <t>Curso externo</t>
  </si>
  <si>
    <t>24 horas</t>
  </si>
  <si>
    <t>Una vez</t>
  </si>
  <si>
    <t>Julio-Agosto</t>
  </si>
  <si>
    <t>Recordatorios Mensuales</t>
  </si>
  <si>
    <t>Email + Posters</t>
  </si>
  <si>
    <t>5 min</t>
  </si>
  <si>
    <t>Mensual</t>
  </si>
  <si>
    <t>Comunicaciones</t>
  </si>
  <si>
    <t>Evaluación Anual</t>
  </si>
  <si>
    <t>Test online</t>
  </si>
  <si>
    <t>30 min</t>
  </si>
  <si>
    <t>Diciembre</t>
  </si>
  <si>
    <t>3. TEMAS CLAVE DE CONCIENCIACIÓN</t>
  </si>
  <si>
    <t>Tema</t>
  </si>
  <si>
    <t>Puntos Clave</t>
  </si>
  <si>
    <t>Prioridad</t>
  </si>
  <si>
    <t>🎣 Phishing y Spear Phishing</t>
  </si>
  <si>
    <t>Identificar correos sospechosos, verificar remitentes, reportar intentos</t>
  </si>
  <si>
    <t>🔑 Contraseñas Seguras</t>
  </si>
  <si>
    <t>12+ caracteres, gestor contraseñas, MFA, no reutilizar</t>
  </si>
  <si>
    <t>📱 Dispositivos Móviles</t>
  </si>
  <si>
    <t>Cifrado, pantalla bloqueada, apps oficiales, no jailbreak</t>
  </si>
  <si>
    <t>🏠 Trabajo Remoto</t>
  </si>
  <si>
    <t>VPN obligatoria, WiFi seguro, escritorio limpio, videoconferencia segura</t>
  </si>
  <si>
    <t>📄 Clasificación Información</t>
  </si>
  <si>
    <t>Confidencial/Interno/Público, etiquetado, manejo según clasificación</t>
  </si>
  <si>
    <t>🔒 Control Accesos</t>
  </si>
  <si>
    <t>Principio mínimo privilegio, cerrar sesión, no compartir credenciales</t>
  </si>
  <si>
    <t>💾 Respaldo y Recuperación</t>
  </si>
  <si>
    <t>Guardar en ubicaciones autorizadas, no usar USB personales</t>
  </si>
  <si>
    <t>🌐 Navegación Segura</t>
  </si>
  <si>
    <t>HTTPS, sitios confiables, no descargas sospechosas, bloqueador ads</t>
  </si>
  <si>
    <t>👥 Ingeniería Social</t>
  </si>
  <si>
    <t>Verificar identidad, no revelar info sensible, protocolos autorización</t>
  </si>
  <si>
    <t>📊 Privacidad y GDPR</t>
  </si>
  <si>
    <t>Manejo datos personales, consentimiento, derechos ARCO, notificación brechas</t>
  </si>
  <si>
    <t>4. MÉTRICAS DE EFECTIVIDAD</t>
  </si>
  <si>
    <t>Métrica</t>
  </si>
  <si>
    <t>Objetivo</t>
  </si>
  <si>
    <t>Fuente Datos</t>
  </si>
  <si>
    <t>% Completitud formaciones obligatorias</t>
  </si>
  <si>
    <t>Meta: &gt;95%</t>
  </si>
  <si>
    <t>LMS/RRHH</t>
  </si>
  <si>
    <t>Tasa de clics en phishing simulado</t>
  </si>
  <si>
    <t>Meta: &lt;5%</t>
  </si>
  <si>
    <t>Herramienta phishing</t>
  </si>
  <si>
    <t>% Aprobación evaluación anual</t>
  </si>
  <si>
    <t>Meta: &gt;90% con nota &gt;80</t>
  </si>
  <si>
    <t>Incidentes causados por error humano</t>
  </si>
  <si>
    <t>Meta: Reducción 20% anual</t>
  </si>
  <si>
    <t>Sistema tickets</t>
  </si>
  <si>
    <t>% Personal que reporta phishing</t>
  </si>
  <si>
    <t>Meta: &gt;60%</t>
  </si>
  <si>
    <t>Email seguridad</t>
  </si>
  <si>
    <t>Satisfacción con formaciones</t>
  </si>
  <si>
    <t>Meta: &gt;4.0/5.0</t>
  </si>
  <si>
    <t>Cada curso</t>
  </si>
  <si>
    <t>Encuesta post-curso</t>
  </si>
  <si>
    <t>📄 ACUERDOS DE CONFIDENCIALIDAD - PROVEEDORES</t>
  </si>
  <si>
    <t>SGSI-NDA-PRV-001</t>
  </si>
  <si>
    <t>REGISTRO DE NDAs CON PROVEEDORES/TERCEROS</t>
  </si>
  <si>
    <t>Proveedor</t>
  </si>
  <si>
    <t>Tipo Servicio</t>
  </si>
  <si>
    <t>Fecha Firma</t>
  </si>
  <si>
    <t>Vigencia</t>
  </si>
  <si>
    <t>Nivel Acceso</t>
  </si>
  <si>
    <t>AWS Amazon</t>
  </si>
  <si>
    <t>Cloud Infrastructure</t>
  </si>
  <si>
    <t>15/01/2025</t>
  </si>
  <si>
    <t>14/01/2026</t>
  </si>
  <si>
    <t>CRÍTICO - Producción</t>
  </si>
  <si>
    <t>Microsoft Azure</t>
  </si>
  <si>
    <t>Cloud Services</t>
  </si>
  <si>
    <t>20/01/2025</t>
  </si>
  <si>
    <t>19/01/2026</t>
  </si>
  <si>
    <t>CRÍTICO - Backup</t>
  </si>
  <si>
    <t>Consultoría Deloitte</t>
  </si>
  <si>
    <t>Auditoría SGSI</t>
  </si>
  <si>
    <t>01/02/2025</t>
  </si>
  <si>
    <t>31/01/2026</t>
  </si>
  <si>
    <t>ALTO - Documentación</t>
  </si>
  <si>
    <t>Proveedor IT Local</t>
  </si>
  <si>
    <t>Soporte Técnico</t>
  </si>
  <si>
    <t>10/03/2025</t>
  </si>
  <si>
    <t>09/03/2026</t>
  </si>
  <si>
    <t>MEDIO - Tickets</t>
  </si>
  <si>
    <t>📄 ACUERDOS DE CONFIDENCIALIDAD - EMPLEADOS</t>
  </si>
  <si>
    <t>SGSI-NDA-EMP-001</t>
  </si>
  <si>
    <t>REGISTRO DE NDAs CON EMPLEADOS</t>
  </si>
  <si>
    <t>Empleado</t>
  </si>
  <si>
    <t>Puesto</t>
  </si>
  <si>
    <t>Fecha Ingreso</t>
  </si>
  <si>
    <t>NDA Firmado</t>
  </si>
  <si>
    <t>Formación Seg</t>
  </si>
  <si>
    <t>Juan Pérez</t>
  </si>
  <si>
    <t>01/01/2024</t>
  </si>
  <si>
    <t>Completada 100%</t>
  </si>
  <si>
    <t>ACTIVO</t>
  </si>
  <si>
    <t>María González</t>
  </si>
  <si>
    <t>15/03/2024</t>
  </si>
  <si>
    <t>Carlos Martínez</t>
  </si>
  <si>
    <t>Desarrollador Senior</t>
  </si>
  <si>
    <t>20/06/2024</t>
  </si>
  <si>
    <t>Completada 85%</t>
  </si>
  <si>
    <t>Ana López</t>
  </si>
  <si>
    <t>10/02/2023</t>
  </si>
  <si>
    <t>👥 COMITÉ DE SEGURIDAD DE LA INFORMACIÓN</t>
  </si>
  <si>
    <t>SGSI-COM-001</t>
  </si>
  <si>
    <t>1. MIEMBROS DEL COMITÉ</t>
  </si>
  <si>
    <t>Cargo</t>
  </si>
  <si>
    <t>Rol en Comité</t>
  </si>
  <si>
    <t>Email</t>
  </si>
  <si>
    <t>Teléfono</t>
  </si>
  <si>
    <t>Director General</t>
  </si>
  <si>
    <t>Presidente</t>
  </si>
  <si>
    <t>ceo@empresa.com</t>
  </si>
  <si>
    <t>+1234567890</t>
  </si>
  <si>
    <t>Secretario Técnico</t>
  </si>
  <si>
    <t>ciso@empresa.com</t>
  </si>
  <si>
    <t>+1234567891</t>
  </si>
  <si>
    <t>Vocal Técnico</t>
  </si>
  <si>
    <t>jefe.ti@empresa.com</t>
  </si>
  <si>
    <t>+1234567892</t>
  </si>
  <si>
    <t>Carlos Gómez</t>
  </si>
  <si>
    <t>Jefe Legal</t>
  </si>
  <si>
    <t>Asesor Legal</t>
  </si>
  <si>
    <t>legal@empresa.com</t>
  </si>
  <si>
    <t>+1234567893</t>
  </si>
  <si>
    <t>María Ruiz</t>
  </si>
  <si>
    <t>Jefe RRHH</t>
  </si>
  <si>
    <t>Vocal RRHH</t>
  </si>
  <si>
    <t>rrhh@empresa.com</t>
  </si>
  <si>
    <t>+1234567894</t>
  </si>
  <si>
    <t>Pedro Sánchez</t>
  </si>
  <si>
    <t>CFO</t>
  </si>
  <si>
    <t>Vocal Finanzas</t>
  </si>
  <si>
    <t>cfo@empresa.com</t>
  </si>
  <si>
    <t>+1234567895</t>
  </si>
  <si>
    <t>2. REGISTRO DE REUNIONES</t>
  </si>
  <si>
    <t>Acta #</t>
  </si>
  <si>
    <t>Temas Principales</t>
  </si>
  <si>
    <t>Acuerdos</t>
  </si>
  <si>
    <t>Próxima Reunión</t>
  </si>
  <si>
    <t>001/2025</t>
  </si>
  <si>
    <t>Aprobación políticas SGSI, Plan proyecto</t>
  </si>
  <si>
    <t>Aprobar presupuesto $308k, Iniciar Fase 1</t>
  </si>
  <si>
    <t>15/02/2025</t>
  </si>
  <si>
    <t>002/2025</t>
  </si>
  <si>
    <t>Avance inventario activos, Gap analysis</t>
  </si>
  <si>
    <t>Contratar consultor, Priorizar riesgos críticos</t>
  </si>
  <si>
    <t>15/03/2025</t>
  </si>
  <si>
    <t>003/2025</t>
  </si>
  <si>
    <t>Revisión matriz riesgos, Incidente phishing</t>
  </si>
  <si>
    <t>Implementar MFA, Campaña concienciación</t>
  </si>
  <si>
    <t>15/04/2025</t>
  </si>
  <si>
    <t>🖥️ BASE DE DATOS DE CONFIGURACIÓN (CMDB)</t>
  </si>
  <si>
    <t>SGSI-CMDB-001</t>
  </si>
  <si>
    <t>INVENTARIO DE ACTIVOS DE TI</t>
  </si>
  <si>
    <t>Activo</t>
  </si>
  <si>
    <t>IP/Hostname</t>
  </si>
  <si>
    <t>SO/Versión</t>
  </si>
  <si>
    <t>SRV-001</t>
  </si>
  <si>
    <t>Servidor Web Producción</t>
  </si>
  <si>
    <t>Servidor</t>
  </si>
  <si>
    <t>Datacenter Principal</t>
  </si>
  <si>
    <t>192.168.1.10</t>
  </si>
  <si>
    <t>Ubuntu 22.04 LTS</t>
  </si>
  <si>
    <t>Jefe Infraestructura</t>
  </si>
  <si>
    <t>SRV-002</t>
  </si>
  <si>
    <t>Servidor Base Datos</t>
  </si>
  <si>
    <t>192.168.1.20</t>
  </si>
  <si>
    <t>PostgreSQL 15</t>
  </si>
  <si>
    <t>DBA</t>
  </si>
  <si>
    <t>SRV-003</t>
  </si>
  <si>
    <t>Servidor Aplicaciones</t>
  </si>
  <si>
    <t>192.168.1.30</t>
  </si>
  <si>
    <t>Windows Server 2022</t>
  </si>
  <si>
    <t>Jefe Desarrollo</t>
  </si>
  <si>
    <t>SRV-004</t>
  </si>
  <si>
    <t>Servidor Backup</t>
  </si>
  <si>
    <t>Datacenter Secundario</t>
  </si>
  <si>
    <t>192.168.2.10</t>
  </si>
  <si>
    <t>Linux CentOS 8</t>
  </si>
  <si>
    <t>FW-001</t>
  </si>
  <si>
    <t>Firewall Principal</t>
  </si>
  <si>
    <t>Seguridad</t>
  </si>
  <si>
    <t>Perímetro Red</t>
  </si>
  <si>
    <t>192.168.0.1</t>
  </si>
  <si>
    <t>Fortinet FortiOS 7</t>
  </si>
  <si>
    <t>SW-001</t>
  </si>
  <si>
    <t>Switch Core</t>
  </si>
  <si>
    <t>Red</t>
  </si>
  <si>
    <t>Sala Equipos</t>
  </si>
  <si>
    <t>192.168.1.1</t>
  </si>
  <si>
    <t>Cisco IOS 15</t>
  </si>
  <si>
    <t>Jefe Redes</t>
  </si>
  <si>
    <t>WKS-001</t>
  </si>
  <si>
    <t>Estación Desarrollo</t>
  </si>
  <si>
    <t>Workstation</t>
  </si>
  <si>
    <t>Oficina</t>
  </si>
  <si>
    <t>DHCP</t>
  </si>
  <si>
    <t>Windows 11 Pro</t>
  </si>
  <si>
    <t>Desarrollador</t>
  </si>
  <si>
    <t>APP-001</t>
  </si>
  <si>
    <t>CRM Salesforce</t>
  </si>
  <si>
    <t>Aplicación</t>
  </si>
  <si>
    <t>Cloud</t>
  </si>
  <si>
    <t>app.salesforce.com</t>
  </si>
  <si>
    <t>SaaS Cloud</t>
  </si>
  <si>
    <t>Jefe Ventas</t>
  </si>
  <si>
    <t>🔒 PROCEDIMIENTO DE HARDENING DE SISTEMAS</t>
  </si>
  <si>
    <t>SGSI-HARD-001</t>
  </si>
  <si>
    <t>GUÍAS DE HARDENING POR TIPO DE SISTEMA</t>
  </si>
  <si>
    <t>1. HARDENING WINDOWS SERVER</t>
  </si>
  <si>
    <t>• Actualizaciones</t>
  </si>
  <si>
    <t>Habilitar Windows Update automático, instalar parches críticos mensualmente</t>
  </si>
  <si>
    <t>• Firewall</t>
  </si>
  <si>
    <t>Activar Windows Firewall, denegar tráfico entrante por defecto</t>
  </si>
  <si>
    <t>• Antivirus</t>
  </si>
  <si>
    <t>Windows Defender habilitado + actualizado, escaneo programado diario</t>
  </si>
  <si>
    <t>• Cuentas</t>
  </si>
  <si>
    <t>Deshabilitar cuenta Guest, renombrar Administrator, no usar Admin para tareas diarias</t>
  </si>
  <si>
    <t>• Contraseñas</t>
  </si>
  <si>
    <t>Política: 12+ caracteres, complejidad, caducidad 90 días, historial 24 passwords</t>
  </si>
  <si>
    <t>• Servicios</t>
  </si>
  <si>
    <t>Deshabilitar servicios innecesarios: Telnet, FTP, Remote Registry, Print Spooler (si no se usa)</t>
  </si>
  <si>
    <t>• Auditoría</t>
  </si>
  <si>
    <t>Habilitar logs: logon events, account management, policy changes, object access</t>
  </si>
  <si>
    <t>• RDP</t>
  </si>
  <si>
    <t>Cambiar puerto 3389, usar NLA, limitar usuarios, implementar MFA</t>
  </si>
  <si>
    <t>• Compartidos</t>
  </si>
  <si>
    <t>Eliminar recursos compartidos administrativos C$, D$ si no son necesarios</t>
  </si>
  <si>
    <t>• BitLocker</t>
  </si>
  <si>
    <t>Cifrado de disco completo en servidores con datos sensibles</t>
  </si>
  <si>
    <t>2. HARDENING LINUX (Ubuntu/CentOS/RedHat)</t>
  </si>
  <si>
    <t>apt update &amp;&amp; apt upgrade -y (Ubuntu) o yum update -y (CentOS) - semanal</t>
  </si>
  <si>
    <t>• SSH</t>
  </si>
  <si>
    <t>Cambiar puerto 22, deshabilitar root login, usar claves SSH, no passwords</t>
  </si>
  <si>
    <t>iptables o ufw habilitado, denegar todo, permitir solo puertos necesarios</t>
  </si>
  <si>
    <t>• SELinux/AppArmor</t>
  </si>
  <si>
    <t>Enforcing mode habilitado para control de acceso obligatorio</t>
  </si>
  <si>
    <t>• Sudo</t>
  </si>
  <si>
    <t>Uso de sudo en lugar de root, log de comandos sudo, timeout sesión</t>
  </si>
  <si>
    <t>Deshabilitar: telnet, rsh, nis, tftp, talk - Usar systemctl disable</t>
  </si>
  <si>
    <t>• Permisos</t>
  </si>
  <si>
    <t>chmod 600 /etc/ssh/sshd_config, chmod 644 /etc/passwd, umask 027</t>
  </si>
  <si>
    <t>• Logs</t>
  </si>
  <si>
    <t>rsyslog o journald configurado, rotación logs, envío a SIEM central</t>
  </si>
  <si>
    <t>• Fail2Ban</t>
  </si>
  <si>
    <t>Instalar fail2ban para bloquear IPs tras intentos fallidos SSH/FTP</t>
  </si>
  <si>
    <t>• Kernel</t>
  </si>
  <si>
    <t>Deshabilitar IP forwarding si no es router, habilitar syn cookies</t>
  </si>
  <si>
    <t>3. HARDENING BASES DE DATOS (MySQL/PostgreSQL/SQL Server)</t>
  </si>
  <si>
    <t>• Autenticación</t>
  </si>
  <si>
    <t>No usar cuentas por defecto (sa, root), contraseñas fuertes, rotación trimestral</t>
  </si>
  <si>
    <t>• Privilegios</t>
  </si>
  <si>
    <t>Principio mínimo privilegio, no usar GRANT ALL, roles específicos por aplicación</t>
  </si>
  <si>
    <t>• Cifrado</t>
  </si>
  <si>
    <t>TLS para conexiones remotas, cifrado en reposo (TDE), backups cifrados</t>
  </si>
  <si>
    <t>Habilitar logs: conexiones, queries DDL/DML, cambios privilegios, accesos fallidos</t>
  </si>
  <si>
    <t>• Puertos</t>
  </si>
  <si>
    <t>No usar puertos por defecto (3306 MySQL, 5432 PostgreSQL, 1433 SQL Server)</t>
  </si>
  <si>
    <t>• Acceso Remoto</t>
  </si>
  <si>
    <t>Solo desde IPs autorizadas, no acceso desde Internet público</t>
  </si>
  <si>
    <t>• Procedimientos</t>
  </si>
  <si>
    <t>Usar stored procedures en lugar de queries dinámicos, prevenir SQL injection</t>
  </si>
  <si>
    <t>• Backups</t>
  </si>
  <si>
    <t>Backups automáticos diarios, retention 30 días, pruebas restore mensuales</t>
  </si>
  <si>
    <t>• Versiones</t>
  </si>
  <si>
    <t>Mantener versión soportada por vendor, aplicar parches de seguridad</t>
  </si>
  <si>
    <t>• Monitoreo</t>
  </si>
  <si>
    <t>Alertas en: intentos login fallidos, cambios schema, queries anómalas</t>
  </si>
  <si>
    <t>🎯 PLAN DIRECTOR DE CIBERSEGURIDAD 2025-2027</t>
  </si>
  <si>
    <t>SGSI-PDC-001</t>
  </si>
  <si>
    <t>ROADMAP ESTRATÉGICO DE CIBERSEGURIDAD (3 AÑOS)</t>
  </si>
  <si>
    <t>AÑO 1 - 2025: FUNDAMENTOS Y CERTIFICACIÓN</t>
  </si>
  <si>
    <t>Trimestre</t>
  </si>
  <si>
    <t>Iniciativas Clave</t>
  </si>
  <si>
    <t>Presupuesto</t>
  </si>
  <si>
    <t>Q1</t>
  </si>
  <si>
    <t>• Implementar SGSI ISO 27001
• Inventario activos completo
• Políticas de seguridad aprobadas</t>
  </si>
  <si>
    <t>Q2</t>
  </si>
  <si>
    <t>• Análisis de riesgos completo
• SoA definido
• Implementar controles críticos</t>
  </si>
  <si>
    <t>$75,000</t>
  </si>
  <si>
    <t>Q3</t>
  </si>
  <si>
    <t>• Deploy SIEM (Splunk/ELK)
• MFA en todos los sistemas
• EDR en endpoints</t>
  </si>
  <si>
    <t>Q4</t>
  </si>
  <si>
    <t>• Auditoría interna SGSI
• Certificación ISO 27001
• Plan de mejora continua</t>
  </si>
  <si>
    <t>TOTAL 2025</t>
  </si>
  <si>
    <t>$315,000</t>
  </si>
  <si>
    <t>AÑO 2 - 2026: MADURACIÓN Y AUTOMATIZACIÓN</t>
  </si>
  <si>
    <t>• SOC 24/7 (interno o outsourcing)
• Threat Intelligence feeds
• Vulnerability Management</t>
  </si>
  <si>
    <t>$100,000</t>
  </si>
  <si>
    <t>• Zero Trust Architecture Fase 1
• Microsegmentación red
• CASB para Cloud</t>
  </si>
  <si>
    <t>• DevSecOps pipeline
• SAST/DAST integrado
• Container security</t>
  </si>
  <si>
    <t>• Auditoría de seguimiento ISO
• Pentesting externo
• Red Team exercise</t>
  </si>
  <si>
    <t>$50,000</t>
  </si>
  <si>
    <t>TOTAL 2026</t>
  </si>
  <si>
    <t>$380,000</t>
  </si>
  <si>
    <t>AÑO 3 - 2027: OPTIMIZACIÓN Y EXCELENCIA</t>
  </si>
  <si>
    <t>• AI/ML para detección amenazas
• SOAR para respuesta automática
• Deception technology</t>
  </si>
  <si>
    <t>• Certificación SOC 2 Type II
• Privacy by Design
• Data Loss Prevention</t>
  </si>
  <si>
    <t>• Zero Trust completado
• Security Awareness maduro
• Bug Bounty program</t>
  </si>
  <si>
    <t>$90,000</t>
  </si>
  <si>
    <t>• Re-certificación ISO 27001
• Auditoría integral
• Estrategia 2028-2030</t>
  </si>
  <si>
    <t>$60,000</t>
  </si>
  <si>
    <t>TOTAL 2027</t>
  </si>
  <si>
    <t>$370,000</t>
  </si>
  <si>
    <t>INVERSIÓN TOTAL 3 AÑOS (2025-2027)</t>
  </si>
  <si>
    <t>$1,065,000</t>
  </si>
  <si>
    <t>🧪 PLAN DE PRUEBAS DE RECUPERACIÓN (DRP)</t>
  </si>
  <si>
    <t>SGSI-DRP-PRU-001</t>
  </si>
  <si>
    <t>1. CALENDARIO ANUAL DE PRUEBAS DRP 2025</t>
  </si>
  <si>
    <t>ID Prueba</t>
  </si>
  <si>
    <t>Tipo Prueba</t>
  </si>
  <si>
    <t>Fecha Programada</t>
  </si>
  <si>
    <t>DRP-T-001</t>
  </si>
  <si>
    <t>Tabletop Exercise</t>
  </si>
  <si>
    <t>Plan completo DRP - simulación de mesa</t>
  </si>
  <si>
    <t>COMPLETADO</t>
  </si>
  <si>
    <t>DRP-T-002</t>
  </si>
  <si>
    <t>Backup Restore Test</t>
  </si>
  <si>
    <t>Restaurar BD producción en sitio alterno</t>
  </si>
  <si>
    <t>DRP-T-003</t>
  </si>
  <si>
    <t>Failover Servers</t>
  </si>
  <si>
    <t>Failover servidores críticos a cloud backup</t>
  </si>
  <si>
    <t>20/04/2025</t>
  </si>
  <si>
    <t>Jefe Infra</t>
  </si>
  <si>
    <t>6 horas</t>
  </si>
  <si>
    <t>PENDIENTE</t>
  </si>
  <si>
    <t>DRP-T-004</t>
  </si>
  <si>
    <t>Full Disaster Drill</t>
  </si>
  <si>
    <t>Simulacro completo: incendio datacenter</t>
  </si>
  <si>
    <t>15/06/2025</t>
  </si>
  <si>
    <t>Comité Crisis</t>
  </si>
  <si>
    <t>PLANIFICADO</t>
  </si>
  <si>
    <t>DRP-T-005</t>
  </si>
  <si>
    <t>Network Failover</t>
  </si>
  <si>
    <t>Conmutación enlace principal a backup</t>
  </si>
  <si>
    <t>20/07/2025</t>
  </si>
  <si>
    <t>DRP-T-006</t>
  </si>
  <si>
    <t>Application Recovery</t>
  </si>
  <si>
    <t>Recuperar aplicaciones críticas desde backup</t>
  </si>
  <si>
    <t>15/09/2025</t>
  </si>
  <si>
    <t>12 horas</t>
  </si>
  <si>
    <t>DRP-T-007</t>
  </si>
  <si>
    <t>Communication Test</t>
  </si>
  <si>
    <t>Prueba árbol de llamadas y notificaciones</t>
  </si>
  <si>
    <t>20/10/2025</t>
  </si>
  <si>
    <t>DRP-T-008</t>
  </si>
  <si>
    <t>Annual Full Test</t>
  </si>
  <si>
    <t>Ejercicio completo fin de año</t>
  </si>
  <si>
    <t>10/12/2025</t>
  </si>
  <si>
    <t>2. CRITERIOS DE ÉXITO DE PRUEBAS</t>
  </si>
  <si>
    <t>Criterio</t>
  </si>
  <si>
    <t>Tiempo de Recuperación</t>
  </si>
  <si>
    <t>RTO cumplido: sistemas críticos restaurados dentro de tiempo objetivo</t>
  </si>
  <si>
    <t>Integridad Datos</t>
  </si>
  <si>
    <t>RPO cumplido: pérdida de datos dentro de límite aceptable</t>
  </si>
  <si>
    <t>Funcionalidad Completa</t>
  </si>
  <si>
    <t>Sistemas operan con todas las funcionalidades esperadas post-recuperación</t>
  </si>
  <si>
    <t>Comunicación Efectiva</t>
  </si>
  <si>
    <t>Árbol de notificaciones funcionó, todos stakeholders informados a tiempo</t>
  </si>
  <si>
    <t>Documentación Precisa</t>
  </si>
  <si>
    <t>Procedimientos DRP fueron claros, completos y seguibles</t>
  </si>
  <si>
    <t>Equipo Preparado</t>
  </si>
  <si>
    <t>Personal supo qué hacer, ejecutó tareas asignadas correctamente</t>
  </si>
  <si>
    <t>Problemas Identificados</t>
  </si>
  <si>
    <t>Gaps y mejoras documentadas para actualizar DRP</t>
  </si>
  <si>
    <t>📊 INFORMES DE PRUEBAS DRP</t>
  </si>
  <si>
    <t>SGSI-DRP-INF-001</t>
  </si>
  <si>
    <t>REGISTRO DE INFORMES POST-PRUEBA</t>
  </si>
  <si>
    <t>ID Informe</t>
  </si>
  <si>
    <t>Prueba Asociada</t>
  </si>
  <si>
    <t>Fecha Prueba</t>
  </si>
  <si>
    <t>Resultado</t>
  </si>
  <si>
    <t>RTO Real</t>
  </si>
  <si>
    <t>RPO Real</t>
  </si>
  <si>
    <t>Hallazgos Clave</t>
  </si>
  <si>
    <t>INF-001</t>
  </si>
  <si>
    <t>EXITOSO</t>
  </si>
  <si>
    <t>N/A</t>
  </si>
  <si>
    <t>✅ Equipo conoce procedimientos
⚠️ Falta claridad en roles
📝 Actualizar contactos de emergencia</t>
  </si>
  <si>
    <t>INF-002</t>
  </si>
  <si>
    <t>6.5h</t>
  </si>
  <si>
    <t>10 min</t>
  </si>
  <si>
    <t>✅ Backup restauró correctamente
✅ RTO bajo objetivo (8h)
⚠️ Proceso manual lento, automatizar</t>
  </si>
  <si>
    <t>INF-003</t>
  </si>
  <si>
    <t>5h</t>
  </si>
  <si>
    <t>✅ Failover funcionó
❌ App dependiente falló
📝 Documentar dependencias mejor</t>
  </si>
  <si>
    <t>ACCIONES CORRECTIVAS DERIVADAS</t>
  </si>
  <si>
    <t>ID Acción</t>
  </si>
  <si>
    <t>Hallazgo</t>
  </si>
  <si>
    <t>Acción Correctiva</t>
  </si>
  <si>
    <t>Fecha Límite</t>
  </si>
  <si>
    <t>AC-001</t>
  </si>
  <si>
    <t>Contactos desactualizados</t>
  </si>
  <si>
    <t>Actualizar lista contactos emergencia</t>
  </si>
  <si>
    <t>30/03/2025</t>
  </si>
  <si>
    <t>AC-002</t>
  </si>
  <si>
    <t>Proceso manual lento</t>
  </si>
  <si>
    <t>Automatizar restore con scripts Ansible</t>
  </si>
  <si>
    <t>EN CURSO</t>
  </si>
  <si>
    <t>AC-003</t>
  </si>
  <si>
    <t>Dependencias no documentadas</t>
  </si>
  <si>
    <t>Mapear dependencias apps críticas</t>
  </si>
  <si>
    <t>Arquitecto TI</t>
  </si>
  <si>
    <t>30/04/2025</t>
  </si>
  <si>
    <t>ABIERTO</t>
  </si>
  <si>
    <t>AC-004</t>
  </si>
  <si>
    <t>Falta claridad en roles</t>
  </si>
  <si>
    <t>Matriz RACI para equipo DRP</t>
  </si>
  <si>
    <t>🔧 MANTENIMIENTO Y ACTUALIZACIÓN DRP</t>
  </si>
  <si>
    <t>SGSI-DRP-MNT-001</t>
  </si>
  <si>
    <t>1. PLAN DE MANTENIMIENTO DRP</t>
  </si>
  <si>
    <t>Última Ejecución</t>
  </si>
  <si>
    <t>Próxima Ejecución</t>
  </si>
  <si>
    <t>Actualizar contactos de emergencia</t>
  </si>
  <si>
    <t>01/10/2025</t>
  </si>
  <si>
    <t>01/11/2025</t>
  </si>
  <si>
    <t>AL DÍA</t>
  </si>
  <si>
    <t>Revisar y actualizar procedimientos DRP</t>
  </si>
  <si>
    <t>01/01/2026</t>
  </si>
  <si>
    <t>Verificar backups automáticos</t>
  </si>
  <si>
    <t>Semanal</t>
  </si>
  <si>
    <t>Jefe Backup</t>
  </si>
  <si>
    <t>28/10/2025</t>
  </si>
  <si>
    <t>Auditar inventario recursos críticos</t>
  </si>
  <si>
    <t>01/07/2025</t>
  </si>
  <si>
    <t>Capacitar nuevo personal en DRP</t>
  </si>
  <si>
    <t>15/10/2025</t>
  </si>
  <si>
    <t>Según ingresos</t>
  </si>
  <si>
    <t>Renovar contratos proveedores DRP</t>
  </si>
  <si>
    <t>Compras</t>
  </si>
  <si>
    <t>01/01/2025</t>
  </si>
  <si>
    <t>Actualizar documentación técnica</t>
  </si>
  <si>
    <t>Revisar RTO/RPO de procesos críticos</t>
  </si>
  <si>
    <t>Comité SGSI</t>
  </si>
  <si>
    <t>2. HISTORIAL DE VERSIONES DEL PLAN DRP</t>
  </si>
  <si>
    <t>Cambios Principales</t>
  </si>
  <si>
    <t>Autor</t>
  </si>
  <si>
    <t>Aprobado Por</t>
  </si>
  <si>
    <t>Versión inicial del Plan DRP</t>
  </si>
  <si>
    <t>1.1</t>
  </si>
  <si>
    <t>Actualización post-prueba tabletop: contactos actualizados, clarificación roles</t>
  </si>
  <si>
    <t>1.2</t>
  </si>
  <si>
    <t>Agregadas dependencias aplicaciones, automatización restore</t>
  </si>
  <si>
    <t>2.0</t>
  </si>
  <si>
    <t>Revisión semestral: nuevos RTO/RPO, integración cloud backup, procedimientos actualizados</t>
  </si>
  <si>
    <t>3. EVENTOS QUE REQUIEREN ACTUALIZACIÓN DEL DRP</t>
  </si>
  <si>
    <t xml:space="preserve">   ✓ Cambios en infraestructura crítica (nuevos servidores, migración cloud, etc.)</t>
  </si>
  <si>
    <t xml:space="preserve">   ✓ Modificación de procesos de negocio críticos</t>
  </si>
  <si>
    <t xml:space="preserve">   ✓ Cambios organizacionales significativos (fusiones, adquisiciones, restructuras)</t>
  </si>
  <si>
    <t xml:space="preserve">   ✓ Hallazgos de auditorías internas o externas</t>
  </si>
  <si>
    <t xml:space="preserve">   ✓ Resultados de pruebas DRP que revelan gaps</t>
  </si>
  <si>
    <t xml:space="preserve">   ✓ Incidentes reales que expusieron debilidades del plan</t>
  </si>
  <si>
    <t xml:space="preserve">   ✓ Cambios en RTO/RPO de procesos críticos</t>
  </si>
  <si>
    <t xml:space="preserve">   ✓ Nuevas amenazas o vulnerabilidades identificadas</t>
  </si>
  <si>
    <t xml:space="preserve">   ✓ Cambios en proveedores críticos o contratos</t>
  </si>
  <si>
    <t xml:space="preserve">   ✓ Actualización de normativas o requisitos regulatorios</t>
  </si>
  <si>
    <t>SISTEMA DE GESTIÓN DE SEGURIDAD DE LA INFORMACIÓN</t>
  </si>
  <si>
    <t>Auditoría en Ciberseguridad</t>
  </si>
  <si>
    <t>En Desarrollo</t>
  </si>
  <si>
    <t>Descripción:</t>
  </si>
  <si>
    <t>Este documento integra la gestión de activos, análisis de riesgos</t>
  </si>
  <si>
    <t>y mapeo de amenazas según MITRE ATT&amp;CK ICS para auditoría</t>
  </si>
  <si>
    <t>en ciberseguridad.</t>
  </si>
  <si>
    <t>DATOS DE LA ORGANIZACIÓN</t>
  </si>
  <si>
    <t>INFORMACIÓN GENERAL</t>
  </si>
  <si>
    <t>Nombre de la Organización:</t>
  </si>
  <si>
    <t>RUT/NIT:</t>
  </si>
  <si>
    <t>Dirección:</t>
  </si>
  <si>
    <t>Ciudad:</t>
  </si>
  <si>
    <t>País:</t>
  </si>
  <si>
    <t>Teléfono:</t>
  </si>
  <si>
    <t>Email:</t>
  </si>
  <si>
    <t>Sitio Web:</t>
  </si>
  <si>
    <t>INFORMACIÓN DEL SGSI</t>
  </si>
  <si>
    <t>Alcance del SGSI:</t>
  </si>
  <si>
    <t>Fecha de Implementación:</t>
  </si>
  <si>
    <t>Versión del Documento:</t>
  </si>
  <si>
    <t>Responsable del SGSI:</t>
  </si>
  <si>
    <t>Email del Responsable:</t>
  </si>
  <si>
    <t>AUDITORÍA</t>
  </si>
  <si>
    <t>Tipo de Auditoría:</t>
  </si>
  <si>
    <t>Ciberseguridad</t>
  </si>
  <si>
    <t>Fecha de Última Auditoría:</t>
  </si>
  <si>
    <t>Próxima Auditoría:</t>
  </si>
  <si>
    <t>Auditor Responsable:</t>
  </si>
  <si>
    <t>CONTEXTO DE LA ORGANIZACIÓN</t>
  </si>
  <si>
    <t>Sector Industrial:</t>
  </si>
  <si>
    <t>Número de Empleados:</t>
  </si>
  <si>
    <t>Principales Servicios:</t>
  </si>
  <si>
    <t>Principales Activos Críticos:</t>
  </si>
  <si>
    <t>INSTRUCCIONES DE USO</t>
  </si>
  <si>
    <t>1. GESTIÓN DE ACTIVOS</t>
  </si>
  <si>
    <t>• Utilice la hoja "Activos" para registrar todos los activos de información</t>
  </si>
  <si>
    <t>• Complete las categorías, criticidad y ubicación de cada activo</t>
  </si>
  <si>
    <t>• Los activos se clasificarán automáticamente por criticidad</t>
  </si>
  <si>
    <t>2. MATRIZ DE RIESGOS</t>
  </si>
  <si>
    <t>• La hoja "Matriz_Riesgos" contiene la matriz de riesgo adaptada a ciberseguridad</t>
  </si>
  <si>
    <t>• Probabilidad: Muy Baja, Baja, Media, Alta, Muy Alta</t>
  </si>
  <si>
    <t>• Impacto: Insignificante, Menor, Moderado, Mayor, Catastrófico</t>
  </si>
  <si>
    <t>3. AMENAZAS MITRE ATT&amp;CK</t>
  </si>
  <si>
    <t>• La hoja "MITRE_Ataques" contiene todas las técnicas de MITRE ATT&amp;CK ICS</t>
  </si>
  <si>
    <t>• Use los códigos (ej: T0800) para mapear amenazas a activos</t>
  </si>
  <si>
    <t>4. ANÁLISIS DE RIESGOS</t>
  </si>
  <si>
    <t>• Complete la hoja "Analisis_Riesgos" para cada activo</t>
  </si>
  <si>
    <t>• Seleccione las amenazas MITRE aplicables</t>
  </si>
  <si>
    <t>• El nivel de riesgo se calculará automáticamente</t>
  </si>
  <si>
    <t>5. PLAN DE TRATAMIENTO</t>
  </si>
  <si>
    <t>• Documente las medidas de mitigación en "Plan_Tratamiento"</t>
  </si>
  <si>
    <t>• Asigne responsables y fechas de implementación</t>
  </si>
  <si>
    <t>6. DASHBOARDS</t>
  </si>
  <si>
    <t>• Revise los resúmenes ejecutivos en "Dashboard"</t>
  </si>
  <si>
    <t>• Los gráficos se actualizan automáticamente</t>
  </si>
  <si>
    <t>ID_Activo</t>
  </si>
  <si>
    <t>Nombre_Activo</t>
  </si>
  <si>
    <t>Categoría</t>
  </si>
  <si>
    <t>Subcategoría</t>
  </si>
  <si>
    <t>Clase</t>
  </si>
  <si>
    <t>Subclase</t>
  </si>
  <si>
    <t>Área</t>
  </si>
  <si>
    <t>Custodio</t>
  </si>
  <si>
    <t>Criticidad_CIA</t>
  </si>
  <si>
    <t>Valor_Activo</t>
  </si>
  <si>
    <t>Fecha_Registro</t>
  </si>
  <si>
    <t>Última_Revisión</t>
  </si>
  <si>
    <t>Observaciones</t>
  </si>
  <si>
    <t>ACT-001</t>
  </si>
  <si>
    <t>Servidor Web Principal</t>
  </si>
  <si>
    <t>Infraestructura</t>
  </si>
  <si>
    <t>Servidores</t>
  </si>
  <si>
    <t>Datos Operacionales</t>
  </si>
  <si>
    <t>Datos de Producción</t>
  </si>
  <si>
    <t>Tecnologías de Información</t>
  </si>
  <si>
    <t>Servidor web de producción Apache</t>
  </si>
  <si>
    <t>Admin Sistemas</t>
  </si>
  <si>
    <t>ALTA</t>
  </si>
  <si>
    <t>Requiere monitoreo 24/7</t>
  </si>
  <si>
    <t>ACT-002</t>
  </si>
  <si>
    <t>Base de Datos Clientes</t>
  </si>
  <si>
    <t>Información</t>
  </si>
  <si>
    <t>Bases de Datos</t>
  </si>
  <si>
    <t>Datos Personales</t>
  </si>
  <si>
    <t>Datos de Clientes</t>
  </si>
  <si>
    <t>BD PostgreSQL con información de clientes</t>
  </si>
  <si>
    <t>CRÍTICA</t>
  </si>
  <si>
    <t>Crítica</t>
  </si>
  <si>
    <t>Datos sensibles - Cumplimiento GDPR</t>
  </si>
  <si>
    <t>ACT-003</t>
  </si>
  <si>
    <t>Firewall Perimetral</t>
  </si>
  <si>
    <t>Configuraciones de Sistema</t>
  </si>
  <si>
    <t>Configuración de Firewall</t>
  </si>
  <si>
    <t>Seguridad de la Información</t>
  </si>
  <si>
    <t>DMZ</t>
  </si>
  <si>
    <t>Firewall Fortinet perimetral</t>
  </si>
  <si>
    <t>Jefe Seguridad</t>
  </si>
  <si>
    <t>Admin Seguridad</t>
  </si>
  <si>
    <t>Protección perimetral - Primera línea de defensa</t>
  </si>
  <si>
    <t>ACT-100</t>
  </si>
  <si>
    <t>MATRIZ DE RIESGO - CIBERSEGURIDAD</t>
  </si>
  <si>
    <t>PROBABILIDAD</t>
  </si>
  <si>
    <t>MATRIZ DE EVALUACIÓN DE RIESGOS</t>
  </si>
  <si>
    <t>Probabilidad</t>
  </si>
  <si>
    <t>Insignificante
(1)</t>
  </si>
  <si>
    <t>Menor
(2)</t>
  </si>
  <si>
    <t>Moderado
(3)</t>
  </si>
  <si>
    <t>Mayor
(4)</t>
  </si>
  <si>
    <t>Catastrófico
(5)</t>
  </si>
  <si>
    <t>5 - Muy Alta</t>
  </si>
  <si>
    <t>Casi certero</t>
  </si>
  <si>
    <t>Ocurre al menos una vez al mes</t>
  </si>
  <si>
    <t>Muy Alta (5)</t>
  </si>
  <si>
    <t>4 - Alta</t>
  </si>
  <si>
    <t>Muy probable</t>
  </si>
  <si>
    <t>Ocurre al menos una vez cada 3-6 meses</t>
  </si>
  <si>
    <t>Alta (4)</t>
  </si>
  <si>
    <t>3 - Media</t>
  </si>
  <si>
    <t>Probable</t>
  </si>
  <si>
    <t>Ocurre al menos una vez al año</t>
  </si>
  <si>
    <t>Media (3)</t>
  </si>
  <si>
    <t>2 - Baja</t>
  </si>
  <si>
    <t>Poco probable</t>
  </si>
  <si>
    <t>Puede ocurrir cada 1-3 años</t>
  </si>
  <si>
    <t>Baja (2)</t>
  </si>
  <si>
    <t>1 - Muy Baja</t>
  </si>
  <si>
    <t>Improbable</t>
  </si>
  <si>
    <t>Puede ocurrir cada más de 3 años</t>
  </si>
  <si>
    <t>Muy Baja (1)</t>
  </si>
  <si>
    <t>IMPACTO</t>
  </si>
  <si>
    <t>LEYENDA DE NIVELES DE RIESGO</t>
  </si>
  <si>
    <t>Criterio en Ciberseguridad</t>
  </si>
  <si>
    <t>Acción Requerida</t>
  </si>
  <si>
    <t>5 - Catastrófico</t>
  </si>
  <si>
    <t>Impacto extremo</t>
  </si>
  <si>
    <t>Pérdida total de datos críticos, interrupción total del negocio &gt;1 semana, daño reputacional irrecuperable</t>
  </si>
  <si>
    <t>15-25</t>
  </si>
  <si>
    <t>Acción inmediata - Requiere plan de mitigación urgente</t>
  </si>
  <si>
    <t>4 - Mayor</t>
  </si>
  <si>
    <t>Pérdida significativa de datos, interrupción del negocio 1-7 días, alto impacto reputacional</t>
  </si>
  <si>
    <t>Acción prioritaria - Implementar controles en corto plazo</t>
  </si>
  <si>
    <t>3 - Moderado</t>
  </si>
  <si>
    <t>Impacto considerable</t>
  </si>
  <si>
    <t>Pérdida parcial de datos, interrupción del negocio 4-24 horas, impacto reputacional moderado</t>
  </si>
  <si>
    <t>6-9</t>
  </si>
  <si>
    <t>Acción programada - Implementar controles en mediano plazo</t>
  </si>
  <si>
    <t>2 - Menor</t>
  </si>
  <si>
    <t>Pérdida mínima de datos no críticos, interrupción &lt;4 horas, bajo impacto reputacional</t>
  </si>
  <si>
    <t>3-5</t>
  </si>
  <si>
    <t>Monitorear - Implementar controles según recursos</t>
  </si>
  <si>
    <t>1 - Insignificante</t>
  </si>
  <si>
    <t>Impacto mínimo</t>
  </si>
  <si>
    <t>Sin pérdida de datos, sin interrupción del negocio, sin impacto reputacional</t>
  </si>
  <si>
    <t>1-2</t>
  </si>
  <si>
    <t>Aceptar - Monitoreo periódico</t>
  </si>
  <si>
    <t>Código_MITRE</t>
  </si>
  <si>
    <t>Nombre_Técnica</t>
  </si>
  <si>
    <t>Táctica</t>
  </si>
  <si>
    <t>Plataformas</t>
  </si>
  <si>
    <t>Nivel_Riesgo</t>
  </si>
  <si>
    <t>Detección</t>
  </si>
  <si>
    <t>T0800</t>
  </si>
  <si>
    <t>attack-pattern--19a71d1e-6334-4233-8260-b749cae37953</t>
  </si>
  <si>
    <t>Activate Firmware Update Mode</t>
  </si>
  <si>
    <t>Adversaries may activate firmware update mode on devices to prevent expected response functions from engaging in reaction to an emergency or process malfunction. For example, devices such as protection relays may have an operation mode designed for firmware installation. This mode may halt process monitoring and related functions to allow new firmware to be loaded. A device left in update mode may be placed in an inactive holding state if no firmware is provided to it. By entering and leaving a device in this mode, the adversary may deny its usual functionalities.</t>
  </si>
  <si>
    <t>https://attack.mitre.org/techniques/T0800</t>
  </si>
  <si>
    <t>21 May 2020</t>
  </si>
  <si>
    <t>T0830</t>
  </si>
  <si>
    <t>attack-pattern--9a505987-ab05-4f46-a9a6-6441442eec3b</t>
  </si>
  <si>
    <t>Adversary-in-the-Middle</t>
  </si>
  <si>
    <t>Adversaries with privileged network access may seek to modify network traffic in real time using adversary-in-the-middle (AiTM) attacks. (Citation: Gabriel Sanchez October 2017) This type of attack allows the adversary to intercept traffic to and/or from a particular device on the network. If a AiTM attack is established, then the adversary has the ability to block, log, modify, or inject traffic into the communication stream. There are several ways to accomplish this attack, but some of the most-common are Address Resolution Protocol (ARP) poisoning and the use of a proxy. (Citation: Bonnie Zhu, Anthony Joseph, Shankar Sastry 2011)  
An AiTM attack may allow an adversary to perform the following attacks:  
[Block Reporting Message](https://attack.mitre.org/techniques/T0804), [Spoof Reporting Message](https://attack.mitre.org/techniques/T0856), [Modify Parameter](https://attack.mitre.org/techniques/T0836), [Unauthorized Command Message](https://attack.mitre.org/techniques/T0855)</t>
  </si>
  <si>
    <t>https://attack.mitre.org/techniques/T0830</t>
  </si>
  <si>
    <t>T0878</t>
  </si>
  <si>
    <t>attack-pattern--2900bbd8-308a-4274-b074-5b8bde8347bc</t>
  </si>
  <si>
    <t>Alarm Suppression</t>
  </si>
  <si>
    <t>Adversaries may target protection function alarms to prevent them from notifying operators of critical conditions. Alarm messages may be a part of an overall reporting system and of particular interest for adversaries. Disruption of the alarm system does not imply the disruption of the reporting system as a whole.
A Secura presentation on targeting OT notes a dual fold goal for adversaries attempting alarm suppression: prevent outgoing alarms from being raised and prevent incoming alarms from being responded to. (Citation: Jos Wetzels, Marina Krotofil 2019) The method of suppression may greatly depend on the type of alarm in question:  
* An alarm raised by a protocol message 
* An alarm signaled with I/O 
* An alarm bit set in a flag (and read) 
In ICS environments, the adversary may have to suppress or contend with multiple alarms and/or alarm propagation to achieve a specific goal to evade detection or prevent intended responses from occurring. (Citation: Jos Wetzels, Marina Krotofil 2019)  Methods of suppression may involve tampering or altering device displays and logs, modifying in memory code to fixed values, or even tampering with assembly level instruction code.</t>
  </si>
  <si>
    <t>https://attack.mitre.org/techniques/T0878</t>
  </si>
  <si>
    <t>T0802</t>
  </si>
  <si>
    <t>attack-pattern--3de230d4-3e42-4041-b089-17e1128feded</t>
  </si>
  <si>
    <t>Automated Collection</t>
  </si>
  <si>
    <t>Adversaries may automate collection of industrial environment information using tools or scripts. This automated collection may leverage native control protocols and tools available in the control systems environment. For example, the OPC protocol may be used to enumerate and gather information. Access to a system or interface with these native protocols may allow collection and enumeration of other attached, communicating servers and devices.</t>
  </si>
  <si>
    <t>https://attack.mitre.org/techniques/T0802</t>
  </si>
  <si>
    <t>T0895</t>
  </si>
  <si>
    <t>attack-pattern--77d9c726-b53e-481d-8bcc-1068aebfbb9d</t>
  </si>
  <si>
    <t>Autorun Image</t>
  </si>
  <si>
    <t xml:space="preserve">Adversaries may leverage AutoRun functionality or scripts to execute malicious code. Devices configured to enable AutoRun functionality or legacy operating systems may be susceptible to abuse of these features to run malicious code stored on various forms of removeable media (i.e., USB, Disk Images [.ISO]). Commonly, AutoRun or AutoPlay are disabled in many operating systems configurations to mitigate against this technique. If a device is configured to enable AutoRun or AutoPlay, adversaries may execute code on the device by mounting the removable media to the device, either through physical or virtual means. This may be especially relevant for virtual machine environments where disk images may be dynamically mapped to a guest system on a hypervisor.  
An example could include an adversary gaining access to a hypervisor through the management interface to modify a virtual machine’s hardware configuration. They could then deploy an iso image with a malicious AutoRun script to cause the virtual machine to automatically execute the code contained on the disk image. This would enable the execution of malicious code within a virtual machine without needing any prior remote access to that system.
</t>
  </si>
  <si>
    <t>https://attack.mitre.org/techniques/T0895</t>
  </si>
  <si>
    <t>26 March 2024</t>
  </si>
  <si>
    <t>T0803</t>
  </si>
  <si>
    <t>attack-pattern--008b8f56-6107-48be-aa9f-746f927dbb61</t>
  </si>
  <si>
    <t>Block Command Message</t>
  </si>
  <si>
    <t>Adversaries may block a command message from reaching its intended target to prevent command execution. In OT networks, command messages are sent to provide instructions to control system devices. A blocked command message can inhibit response functions from correcting a disruption or unsafe condition. (Citation: Bonnie Zhu, Anthony Joseph, Shankar Sastry 2011)  (Citation: Electricity Information Sharing and Analysis Center; SANS Industrial Control Systems March 2016)</t>
  </si>
  <si>
    <t>https://attack.mitre.org/techniques/T0803</t>
  </si>
  <si>
    <t>T0804</t>
  </si>
  <si>
    <t>attack-pattern--3f1f4ccb-9be2-4ff8-8f69-dd972221169b</t>
  </si>
  <si>
    <t>Block Reporting Message</t>
  </si>
  <si>
    <t>Adversaries may block or prevent a reporting message from reaching its intended target. In control systems, reporting messages contain telemetry data (e.g., I/O values) pertaining to the current state of equipment and the industrial process. By blocking these reporting messages, an adversary can potentially hide their actions from an operator.
Blocking reporting messages in control systems that manage physical processes may contribute to system impact, causing inhibition of a response function. A control system may not be able to respond in a proper or timely manner to an event, such as a dangerous fault, if its corresponding reporting message is blocked. (Citation: Bonnie Zhu, Anthony Joseph, Shankar Sastry 2011)  (Citation: Electricity Information Sharing and Analysis Center; SANS Industrial Control Systems March 2016)</t>
  </si>
  <si>
    <t>https://attack.mitre.org/techniques/T0804</t>
  </si>
  <si>
    <t>T0805</t>
  </si>
  <si>
    <t>attack-pattern--1c478716-71d9-46a4-9a53-fa5d576adb60</t>
  </si>
  <si>
    <t>Block Serial COM</t>
  </si>
  <si>
    <t>Adversaries may block access to serial COM to prevent instructions or configurations from reaching target devices. Serial Communication ports (COM) allow communication with control system devices. Devices can receive command and configuration messages over such serial COM. Devices also use serial COM to send command and reporting messages. Blocking device serial COM may also block command messages and block reporting messages. 
A serial to Ethernet converter is often connected to a serial COM to facilitate communication between serial and Ethernet devices. One approach to blocking a serial COM would be to create and hold open a TCP session with the Ethernet side of the converter. A serial to Ethernet converter may have a few ports open to facilitate multiple communications. For example, if there are three serial COM available -- 1, 2 and 3 --, the converter might be listening on the corresponding ports 20001, 20002, and 20003. If a TCP/IP connection is opened with one of these ports and held open, then the port will be unavailable for use by another party. One way the adversary could achieve this would be to initiate a TCP session with the serial to Ethernet converter at 10.0.0.1 via Telnet on serial port 1 with the following command: telnet 10.0.0.1 20001.</t>
  </si>
  <si>
    <t>https://attack.mitre.org/techniques/T0805</t>
  </si>
  <si>
    <t>T0806</t>
  </si>
  <si>
    <t>attack-pattern--8e7089d3-fba2-44f8-94a8-9a79c53920c4</t>
  </si>
  <si>
    <t>Brute Force I/O</t>
  </si>
  <si>
    <t>Adversaries may repetitively or successively change I/O point values to perform an action. Brute Force I/O may be achieved by changing either a range of I/O point values or a single point value repeatedly to manipulate a process function. The adversary's goal and the information they have about the target environment will influence which of the options they choose. In the case of brute forcing a range of point values, the adversary may be able to achieve an impact without targeting a specific point. In the case where a single point is targeted, the adversary may be able to generate instability on the process function associated with that particular point. 
Adversaries may use Brute Force I/O to cause failures within various industrial processes. These failures could be the result of wear on equipment or damage to downstream equipment.</t>
  </si>
  <si>
    <t>https://attack.mitre.org/techniques/T0806</t>
  </si>
  <si>
    <t>T0892</t>
  </si>
  <si>
    <t>attack-pattern--fab8fc7d-f27f-4fbb-9de6-44740aade05f</t>
  </si>
  <si>
    <t>Change Credential</t>
  </si>
  <si>
    <t xml:space="preserve">Adversaries may modify software and device credentials to prevent operator and responder access. Depending on the device, the modification or addition of this password could prevent any device configuration actions from being accomplished and may require a factory reset or replacement of hardware. These credentials are often built-in features provided by the device vendors as a means to restrict access to management interfaces.
An adversary with access to valid or hardcoded credentials could change the credential to prevent future authorized device access. Change Credential may be especially damaging when paired with other techniques such as Modify Program, Data Destruction, or Modify Controller Tasking. In these cases, a device’s configuration may be destroyed or include malicious actions for the process environment, which cannot not be removed through normal device configuration actions. 
Additionally, recovery of the device and original configuration may be difficult depending on the features provided by the device. In some cases, these passwords cannot be removed onsite and may require that the device be sent back to the vendor for additional recovery steps.
A chain of incidents occurred in Germany, where adversaries locked operators out of their building automation system (BAS) controllers by enabling a previously unset BCU key. (Citation: German BAS Lockout Dec 2021) 
</t>
  </si>
  <si>
    <t>https://attack.mitre.org/techniques/T0892</t>
  </si>
  <si>
    <t>30 March 2023</t>
  </si>
  <si>
    <t>T0858</t>
  </si>
  <si>
    <t>attack-pattern--2883c520-7957-46ca-89bd-dab1ad53b601</t>
  </si>
  <si>
    <t>Change Operating Mode</t>
  </si>
  <si>
    <t>Adversaries may change the operating mode of a controller to gain additional access to engineering functions such as Program Download.   Programmable controllers typically have several modes of operation that control the state of the user program and control access to the controllers API. Operating modes can be physically selected using a key switch on the face of the controller but may also be selected with calls to the controllers API. Operating modes and the mechanisms by which they are selected often vary by vendor and product line. Some commonly implemented operating modes are described below:  
* Program - This mode must be enabled before changes can be made to a devices program. This allows program uploads and downloads between the device and an engineering workstation. Often the PLCs logic Is halted, and all outputs may be forced off. (Citation: N.A. October 2017)  
* Run - Execution of the devices program occurs in this mode. Input and output (values, points, tags, elements, etc.) are monitored and used according to the programs logic. [Program Upload](https://attack.mitre.org/techniques/T0845) and [Program Download](https://attack.mitre.org/techniques/T0843) are disabled while in this mode. (Citation: Omron) (Citation: Machine Information Systems 2007)  (Citation: N.A. October 2017) (Citation: PLCgurus 2021)   
* Remote - Allows for remote changes to a PLCs operation mode. (Citation: PLCgurus 2021)    
* Stop - The PLC and program is stopped, while in this mode, outputs are forced off. (Citation: Machine Information Systems 2007)   
* Reset - Conditions on the PLC are reset to their original states. Warm resets may retain some memory while cold resets will reset all I/O and data registers. (Citation: Machine Information Systems 2007)   
* Test / Monitor mode - Similar to run mode, I/O is processed, although this mode allows for monitoring, force set, resets, and more generally tuning or debugging of the system. Often monitor mode may be used as a trial for initialization. (Citation: Omron)</t>
  </si>
  <si>
    <t>https://attack.mitre.org/techniques/T0858</t>
  </si>
  <si>
    <t>T0807</t>
  </si>
  <si>
    <t>attack-pattern--24a9253e-8948-4c98-b751-8e2aee53127c</t>
  </si>
  <si>
    <t>Command-Line Interface</t>
  </si>
  <si>
    <t>Adversaries may utilize command-line interfaces (CLIs) to interact with systems and execute commands. CLIs provide a means of interacting with computer systems and are a common feature across many types of platforms and devices within control systems environments. (Citation: Enterprise ATT&amp;CK January 2018) Adversaries may also use CLIs to install and run new software, including malicious tools that may be installed over the course of an operation.
CLIs are typically accessed locally, but can also be exposed via services, such as SSH, Telnet, and RDP.  Commands that are executed in the CLI execute with the current permissions level of the process running the terminal emulator, unless the command specifies a change in permissions context. Many controllers have CLI interfaces for management purposes.</t>
  </si>
  <si>
    <t>https://attack.mitre.org/techniques/T0807</t>
  </si>
  <si>
    <t>T0885</t>
  </si>
  <si>
    <t>attack-pattern--e6c31185-8040-4267-83d3-b217b8a92f07</t>
  </si>
  <si>
    <t>Commonly Used Port</t>
  </si>
  <si>
    <t>Adversaries may communicate over a commonly used port to bypass firewalls or network detection systems and to blend in with normal network activity, to avoid more detailed inspection. They may use the protocol associated with the port, or a completely different protocol. They may use commonly open ports, such as the examples provided below. 
 * TCP:80 (HTTP) 
 * TCP:443 (HTTPS) 
 * TCP/UDP:53 (DNS) 
 * TCP:1024-4999 (OPC on XP/Win2k3) 
 * TCP:49152-65535 (OPC on Vista and later) 
 * TCP:23 (TELNET) 
 * UDP:161 (SNMP) 
 * TCP:502 (MODBUS) 
 * TCP:102 (S7comm/ISO-TSAP) 
 * TCP:20000 (DNP3) 
 * TCP:44818 (Ethernet/IP)</t>
  </si>
  <si>
    <t>https://attack.mitre.org/techniques/T0885</t>
  </si>
  <si>
    <t>T0884</t>
  </si>
  <si>
    <t>attack-pattern--d67adac8-e3b9-44f9-9e6d-6c2a7d69dbe4</t>
  </si>
  <si>
    <t>Connection Proxy</t>
  </si>
  <si>
    <t>Adversaries may use a connection proxy to direct network traffic between systems or act as an intermediary for network communications.
The definition of a proxy can also be expanded to encompass trust relationships between networks in peer-to-peer, mesh, or trusted connections between networks consisting of hosts or systems that regularly communicate with each other.
The network may be within a single organization or across multiple organizations with trust relationships. Adversaries could use these types of relationships to manage command and control communications, to reduce the number of simultaneous outbound network connections, to provide resiliency in the face of connection loss, or to ride over existing trusted communications paths between victims to avoid suspicion. (Citation: Enterprise ATT&amp;CK January 2018)</t>
  </si>
  <si>
    <t>https://attack.mitre.org/techniques/T0884</t>
  </si>
  <si>
    <t>T0879</t>
  </si>
  <si>
    <t>attack-pattern--83ebd22f-b401-4d59-8219-2294172cf916</t>
  </si>
  <si>
    <t>Damage to Property</t>
  </si>
  <si>
    <t>Adversaries may cause damage and destruction of property to infrastructure, equipment, and the surrounding environment when attacking control systems. This technique may result in device and operational equipment breakdown, or represent tangential damage from other techniques used in an attack. Depending on the severity of physical damage and disruption caused to control processes and systems, this technique may result in [Loss of Safety](https://attack.mitre.org/techniques/T0880). Operations that result in [Loss of Control](https://attack.mitre.org/techniques/T0827) may also cause damage to property, which may be directly or indirectly motivated by an adversary seeking to cause impact in the form of [Loss of Productivity and Revenue](https://attack.mitre.org/techniques/T0828). 
The German Federal Office for Information Security (BSI) reported a targeted attack on a steel mill under an incidents affecting business section of its 2014 IT Security Report. (Citation: BSI State of IT Security 2014)  These targeted attacks affected industrial operations and resulted in breakdowns of control system components and even entire installations. As a result of these breakdowns, massive impact and damage resulted from the uncontrolled shutdown of a blast furnace. 
A Polish student used a remote controller device to interface with the Lodz city tram system in Poland. (Citation: John Bill May 2017) (Citation: Shelley Smith February 2008) (Citation: Bruce Schneier January 2008) Using this remote, the student was able to capture and replay legitimate tram signals. This resulted in damage to impacted trams, people, and the surrounding property. Reportedly, four trams were derailed and were forced to make emergency stops. (Citation: Shelley Smith February 2008) Commands issued by the student may have also resulted in tram collisions, causing harm to those on board and the environment outside. (Citation: Bruce Schneier January 2008)</t>
  </si>
  <si>
    <t>https://attack.mitre.org/techniques/T0879</t>
  </si>
  <si>
    <t>T0809</t>
  </si>
  <si>
    <t>attack-pattern--493832d9-cea6-4b63-abe7-9a65a6473675</t>
  </si>
  <si>
    <t>Data Destruction</t>
  </si>
  <si>
    <t>Adversaries may perform data destruction over the course of an operation. The adversary may drop or create malware, tools, or other non-native files on a target system to accomplish this, potentially leaving behind traces of malicious activities. Such non-native files and other data may be removed over the course of an intrusion to maintain a small footprint or as a standard part of the post-intrusion cleanup process. (Citation: Enterprise ATT&amp;CK January 2018)
Data destruction may also be used to render operator interfaces unable to respond and to disrupt response functions from occurring as expected. An adversary may also destroy data backups that are vital to recovery after an incident.
Standard file deletion commands are available on most operating system and device interfaces to perform cleanup, but adversaries may use other tools as well. Two examples are Windows Sysinternals SDelete and Active@ Killdisk.</t>
  </si>
  <si>
    <t>https://attack.mitre.org/techniques/T0809</t>
  </si>
  <si>
    <t>T0811</t>
  </si>
  <si>
    <t>attack-pattern--3405891b-16aa-4bd7-bd7c-733501f9b20f</t>
  </si>
  <si>
    <t>Data from Information Repositories</t>
  </si>
  <si>
    <t>Adversaries may target and collect data from information repositories. This can include sensitive data such as specifications, schematics, or diagrams of control system layouts, devices, and processes. Examples of information repositories include reference databases in the process environment, as well as databases in the corporate network that might contain information about the ICS.(Citation: Cybersecurity &amp; Infrastructure Security Agency March 2018)
Information collected from these systems may provide the adversary with a better understanding of the operational environment, vendors used, processes, or procedures of the ICS.
In a campaign between 2011 and 2013 against ONG organizations, Chinese state-sponsored actors searched document repositories for specific information such as, system manuals, remote terminal unit (RTU) sites, personnel lists, documents that included the string SCAD*, user credentials, and remote dial-up access information. (Citation: CISA AA21-201A Pipeline Intrusion July 2021)</t>
  </si>
  <si>
    <t>https://attack.mitre.org/techniques/T0811</t>
  </si>
  <si>
    <t>T0893</t>
  </si>
  <si>
    <t>attack-pattern--fa3aa267-da22-4bdd-961f-03223322a8d5</t>
  </si>
  <si>
    <t>Data from Local System</t>
  </si>
  <si>
    <t xml:space="preserve">Adversaries may target and collect data from local system sources, such as file systems, configuration files, or local databases. This can include sensitive data such as specifications, schematics, or diagrams of control system layouts, devices, and processes.
Adversaries may do this using [Command-Line Interface](https://attack.mitre.org/techniques/T0807) or [Scripting](https://attack.mitre.org/techniques/T0853) techniques to interact with the file system to gather information. Adversaries may also use [Automated Collection](https://attack.mitre.org/techniques/T0802) on the local system. </t>
  </si>
  <si>
    <t>https://attack.mitre.org/techniques/T0893</t>
  </si>
  <si>
    <t>T0812</t>
  </si>
  <si>
    <t>attack-pattern--8bb4538f-f16f-49f0-a431-70b5444c7349</t>
  </si>
  <si>
    <t>Default Credentials</t>
  </si>
  <si>
    <t>Adversaries may leverage manufacturer or supplier set default credentials on control system devices. These default credentials may have administrative permissions and may be necessary for initial configuration of the device. It is general best practice to change the passwords for these accounts as soon as possible, but some manufacturers may have devices that have passwords or usernames that cannot be changed. (Citation: Keith Stouffer May 2015)
Default credentials are normally documented in an instruction manual that is either packaged with the device, published online through official means, or published online through unofficial means. Adversaries may leverage default credentials that have not been properly modified or disabled.</t>
  </si>
  <si>
    <t>https://attack.mitre.org/techniques/T0812</t>
  </si>
  <si>
    <t>T0813</t>
  </si>
  <si>
    <t>attack-pattern--e33c7ecc-5a38-497f-beb2-a9a2049a4c20</t>
  </si>
  <si>
    <t>Denial of Control</t>
  </si>
  <si>
    <t>Adversaries may cause a denial of control to temporarily prevent operators and engineers from interacting with process controls. An adversary may attempt to deny process control access to cause a temporary loss of communication with the control device or to prevent operator adjustment of process controls. An affected process may still be operating during the period of control loss, but not necessarily in a desired state. (Citation: Corero) (Citation: Michael J. Assante and Robert M. Lee) (Citation: Tyson Macaulay)
In the 2017 Dallas Siren incident operators were unable to disable the false alarms from the Office of Emergency Management headquarters. (Citation: Mark Loveless April 2017)</t>
  </si>
  <si>
    <t>https://attack.mitre.org/techniques/T0813</t>
  </si>
  <si>
    <t>T0814</t>
  </si>
  <si>
    <t>attack-pattern--1b22b676-9347-4c55-9a35-ef0dc653db5b</t>
  </si>
  <si>
    <t>Denial of Service</t>
  </si>
  <si>
    <t xml:space="preserve">Adversaries may perform Denial-of-Service (DoS) attacks to disrupt expected device functionality. Examples of DoS attacks include overwhelming the target device with a high volume of requests in a short time period and sending the target device a request it does not know how to handle. Disrupting device state may temporarily render it unresponsive, possibly lasting until a reboot can occur. When placed in this state, devices may be unable to send and receive requests, and may not perform expected response functions in reaction to other events in the environment. 
Some ICS devices are particularly sensitive to DoS events, and may become unresponsive in reaction to even a simple ping sweep. Adversaries may also attempt to execute a Permanent Denial-of-Service (PDoS) against certain devices, such as in the case of the BrickerBot malware. (Citation: ICS-CERT April 2017) 
Adversaries may exploit a software vulnerability to cause a denial of service by taking advantage of a programming error in a program, service, or within the operating system software or kernel itself to execute adversary-controlled code. Vulnerabilities may exist in software that can be used to cause a denial of service condition. 
Adversaries may have prior knowledge about industrial protocols or control devices used in the environment through [Remote System Information Discovery](https://attack.mitre.org/techniques/T0888). There are examples of adversaries remotely causing a [Device Restart/Shutdown](https://attack.mitre.org/techniques/T0816) by exploiting a vulnerability that induces uncontrolled resource consumption. (Citation: ICS-CERT August 2018) (Citation: Common Weakness Enumeration January 2019) (Citation: MITRE March 2018) </t>
  </si>
  <si>
    <t>https://attack.mitre.org/techniques/T0814</t>
  </si>
  <si>
    <t>T0815</t>
  </si>
  <si>
    <t>attack-pattern--56ddc820-6cfb-407f-850b-52c035d123ac</t>
  </si>
  <si>
    <t>Denial of View</t>
  </si>
  <si>
    <t xml:space="preserve">Adversaries may cause a denial of view in attempt to disrupt and prevent operator oversight on the status of an ICS environment. This may manifest itself as a temporary communication failure between a device and its control source, where the interface recovers and becomes available once the interference ceases. (Citation: Corero) (Citation: Michael J. Assante and Robert M. Lee) (Citation: Tyson Macaulay) 
An adversary may attempt to deny operator visibility by preventing them from receiving status and reporting messages. Denying this view may temporarily block and prevent operators from noticing a change in state or anomalous behavior. The environment's data and processes may still be operational, but functioning in an unintended or adversarial manner. </t>
  </si>
  <si>
    <t>https://attack.mitre.org/techniques/T0815</t>
  </si>
  <si>
    <t>T0868</t>
  </si>
  <si>
    <t>attack-pattern--2aa406ed-81c3-4c1d-ba83-cfbee5a2847a</t>
  </si>
  <si>
    <t>Detect Operating Mode</t>
  </si>
  <si>
    <t>Adversaries may gather information about a PLCs or controllers current operating mode. Operating modes dictate what change or maintenance functions can be manipulated and are often controlled by a key switch on the PLC (e.g.,  run, prog [program], and remote). Knowledge of these states may be valuable to an adversary to determine if they are able to reprogram the PLC. Operating modes and the mechanisms by which they are selected often vary by vendor and product line. Some commonly implemented operating modes are described below:  
* Program - This mode must be enabled before changes can be made to a devices program. This allows program uploads and downloads between the device and an engineering workstation. Often the PLCs logic Is halted, and all outputs may be forced off. (Citation: N.A. October 2017)  
* Run - Execution of the devices program occurs in this mode. Input and output (values, points, tags, elements, etc.) are monitored and used according to the programs logic.[Program Upload](https://attack.mitre.org/techniques/T0845) and [Program Download](https://attack.mitre.org/techniques/T0843) are disabled while in this mode. (Citation: Omron) (Citation: Machine Information Systems 2007)  (Citation: N.A. October 2017) (Citation: PLCgurus 2021)   
* Remote - Allows for remote changes to a PLCs operation mode. (Citation: PLCgurus 2021)    
* Stop - The PLC and program is stopped, while in this mode, outputs are forced off. (Citation: Machine Information Systems 2007)   
* Reset - Conditions on the PLC are reset to their original states. Warm resets may retain some memory while cold resets will reset all I/O and data registers. (Citation: Machine Information Systems 2007)   
* Test / Monitor mode - Similar to run mode, I/O is processed, although this mode allows for monitoring, force set, resets, and more generally tuning or debugging of the system. Often monitor mode may be used as a trial for initialization. (Citation: Omron)</t>
  </si>
  <si>
    <t>https://attack.mitre.org/techniques/T0868</t>
  </si>
  <si>
    <t>T0816</t>
  </si>
  <si>
    <t>attack-pattern--25dfc8ad-bd73-4dfd-84a9-3c3d383f76e9</t>
  </si>
  <si>
    <t>Device Restart/Shutdown</t>
  </si>
  <si>
    <t>Adversaries may forcibly restart or shutdown a device in an ICS environment to disrupt and potentially negatively impact physical processes. Methods of device restart and shutdown exist in some devices as built-in, standard functionalities. These functionalities can be executed using interactive device web interfaces, CLIs, and network protocol commands.
Unexpected restart or shutdown of control system devices may prevent expected response functions happening during critical states.
A device restart can also be a sign of malicious device modifications, as many updates require a shutdown in order to take effect.</t>
  </si>
  <si>
    <t>https://attack.mitre.org/techniques/T0816</t>
  </si>
  <si>
    <t>T0817</t>
  </si>
  <si>
    <t>attack-pattern--7830cfcf-b268-4ac0-a69e-73c6affbae9a</t>
  </si>
  <si>
    <t>Drive-by Compromise</t>
  </si>
  <si>
    <t>Adversaries may gain access to a system during a drive-by compromise, when a user visits a website as part of a regular browsing session. With this technique, the user's web browser is targeted and exploited simply by visiting the compromised website. 
The adversary may target a specific community, such as trusted third party suppliers or other industry specific groups, which often visit the target website. This kind of targeted attack relies on a common interest, and is known as a strategic web compromise or watering hole attack. 
The National Cyber Awareness System (NCAS) has issued a Technical Alert (TA) regarding Russian government cyber activity targeting critical infrastructure sectors. (Citation: Cybersecurity &amp; Infrastructure Security Agency March 2018) Analysis by DHS and FBI has noted two distinct categories of victims in the Dragonfly campaign on the Western energy sector: staging and intended targets. The adversary targeted the less secure networks of staging targets, including trusted third-party suppliers and related peripheral organizations. Initial access to the intended targets used watering hole attacks to target process control, ICS, and critical infrastructure related trade publications and informational websites.</t>
  </si>
  <si>
    <t>https://attack.mitre.org/techniques/T0817</t>
  </si>
  <si>
    <t>T0871</t>
  </si>
  <si>
    <t>attack-pattern--5a2610f6-9fff-41e1-bc27-575ca20383d4</t>
  </si>
  <si>
    <t>Execution through API</t>
  </si>
  <si>
    <t>Adversaries may attempt to leverage Application Program Interfaces (APIs) used for communication between control software and the hardware. Specific functionality is often coded into APIs which can be called by software to engage specific functions on a device or other software.</t>
  </si>
  <si>
    <t>https://attack.mitre.org/techniques/T0871</t>
  </si>
  <si>
    <t>T0819</t>
  </si>
  <si>
    <t>attack-pattern--32632a95-6856-47b9-9ab7-fea5cd7dce00</t>
  </si>
  <si>
    <t>Exploit Public-Facing Application</t>
  </si>
  <si>
    <t>Adversaries may leverage weaknesses to exploit internet-facing software for initial access into an industrial network. Internet-facing software may be user applications, underlying networking implementations, an assets operating system, weak defenses, etc. Targets of this technique may be intentionally exposed for the purpose of remote management and visibility.
An adversary may seek to target public-facing applications as they may provide direct access into an ICS environment or the ability to move into the ICS network. Publicly exposed applications may be found through online tools that scan the internet for open ports and services. Version numbers for the exposed application may provide adversaries an ability to target specific known vulnerabilities. Exposed control protocol or remote access ports found in Commonly Used Port may be of interest by adversaries.</t>
  </si>
  <si>
    <t>https://attack.mitre.org/techniques/T0819</t>
  </si>
  <si>
    <t>T0820</t>
  </si>
  <si>
    <t>attack-pattern--9f947a1c-3860-48a8-8af0-a2dfa3efde03</t>
  </si>
  <si>
    <t>Exploitation for Evasion</t>
  </si>
  <si>
    <t>Adversaries may exploit a software vulnerability to take advantage of a programming error in a program, service, or within the operating system software or kernel itself to evade detection. Vulnerabilities may exist in software that can be used to disable or circumvent security features.  
Adversaries may have prior knowledge through [Remote System Information Discovery](https://attack.mitre.org/techniques/T0888) about security features implemented on control devices. These device security features will likely be targeted directly for exploitation. There are examples of firmware RAM/ROM consistency checks on control devices being targeted by adversaries to enable the installation of malicious [System Firmware](https://attack.mitre.org/techniques/T0857).</t>
  </si>
  <si>
    <t>https://attack.mitre.org/techniques/T0820</t>
  </si>
  <si>
    <t>T0890</t>
  </si>
  <si>
    <t>attack-pattern--cfe68e93-ce94-4c0f-a57d-3aa72cedd618</t>
  </si>
  <si>
    <t>Exploitation for Privilege Escalation</t>
  </si>
  <si>
    <t>Adversaries may exploit software vulnerabilities in an attempt to elevate privileges. Exploitation of a software vulnerability occurs when an adversary takes advantage of a programming error in a program, service, or within the operating system software or kernel itself to execute adversary-controlled code. Security constructs such as permission levels will often hinder access to information and use of certain techniques, so adversaries will likely need to perform privilege escalation to include use of software exploitation to circumvent those restrictions. (Citation: The MITRE Corporation) 
When initially gaining access to a system, an adversary may be operating within a lower privileged process which will prevent them from accessing certain resources on the system. Vulnerabilities may exist, usually in operating system components and software commonly running at higher permissions, that can be exploited to gain higher levels of access on the system. This could enable someone to move from unprivileged or user level permissions to SYSTEM or root permissions depending on the component that is vulnerable. This may be a necessary step for an adversary compromising an endpoint system that has been properly configured and limits other privilege escalation methods. (Citation: The MITRE Corporation)</t>
  </si>
  <si>
    <t>https://attack.mitre.org/techniques/T0890</t>
  </si>
  <si>
    <t>13 April 2021</t>
  </si>
  <si>
    <t>T0866</t>
  </si>
  <si>
    <t>attack-pattern--85a45294-08f1-4539-bf00-7da08aa7b0ee</t>
  </si>
  <si>
    <t>Exploitation of Remote Services</t>
  </si>
  <si>
    <t>Adversaries may exploit a software vulnerability to take advantage of a programming error in a program, service, or within the operating system software or kernel itself to enable remote service abuse. A common goal for post-compromise exploitation of remote services is for initial access into and lateral movement throughout the ICS environment to enable access to targeted systems. (Citation: Enterprise ATT&amp;CK)
ICS asset owners and operators have been affected by ransomware (or disruptive malware masquerading as ransomware) migrating from enterprise IT to ICS environments: WannaCry, NotPetya, and BadRabbit. In each of these cases, self-propagating (wormable) malware initially infected IT networks, but through exploit (particularly the SMBv1-targeting MS17-010 vulnerability) spread to industrial networks, producing significant impacts. (Citation: Joe Slowik April 2019)</t>
  </si>
  <si>
    <t>https://attack.mitre.org/techniques/T0866</t>
  </si>
  <si>
    <t>T0822</t>
  </si>
  <si>
    <t>attack-pattern--8d2f3bab-507c-4424-b58b-edc977bd215c</t>
  </si>
  <si>
    <t>External Remote Services</t>
  </si>
  <si>
    <t xml:space="preserve">Adversaries may leverage external remote services as a point of initial access into your network. These services allow users to connect to internal network resources from external locations. Examples are VPNs, Citrix, and other access mechanisms. Remote service gateways often manage connections and credential authentication for these services. (Citation: Daniel Oakley, Travis Smith, Tripwire)
External remote services allow administration of a control system from outside the system. Often, vendors and internal engineering groups have access to external remote services to control system networks via the corporate network. In some cases, this access is enabled directly from the internet. While remote access enables ease of maintenance when a control system is in a remote area, compromise of remote access solutions is a liability. The adversary may use these services to gain access to and execute attacks against a control system network. Access to valid accounts is often a requirement. 
As they look for an entry point into the control system network, adversaries may begin searching for existing point-to-point VPN implementations at trusted third party networks or through remote support employee connections where split tunneling is enabled. (Citation: Electricity Information Sharing and Analysis Center; SANS Industrial Control Systems March 2016)
</t>
  </si>
  <si>
    <t>https://attack.mitre.org/techniques/T0822</t>
  </si>
  <si>
    <t>T0823</t>
  </si>
  <si>
    <t>attack-pattern--b0628bfc-5376-4a38-9182-f324501cb4cf</t>
  </si>
  <si>
    <t>Graphical User Interface</t>
  </si>
  <si>
    <t>Adversaries may attempt to gain access to a machine via a Graphical User Interface (GUI) to enhance execution capabilities. Access to a GUI allows a user to interact with a computer in a more visual manner than a CLI. A GUI allows users to move a cursor and click on interface objects, with a mouse and keyboard as the main input devices, as opposed to just using the keyboard.
If physical access is not an option, then access might be possible via protocols such as VNC on Linux-based and Unix-based operating systems, and RDP on Windows operating systems. An adversary can use this access to execute programs and applications on the target machine.</t>
  </si>
  <si>
    <t>https://attack.mitre.org/techniques/T0823</t>
  </si>
  <si>
    <t>T0891</t>
  </si>
  <si>
    <t>attack-pattern--c9a8d958-fcdb-40d2-af4c-461c8031651a</t>
  </si>
  <si>
    <t>Hardcoded Credentials</t>
  </si>
  <si>
    <t xml:space="preserve">Adversaries may leverage credentials that are hardcoded in software or firmware to gain an unauthorized interactive user session to an asset. Examples credentials that may be hardcoded in an asset include:
* Username/Passwords
* Cryptographic keys/Certificates
* API tokens
Unlike [Default Credentials](https://attack.mitre.org/techniques/T0812), these credentials are built into the system in a way that they either cannot be changed by the asset owner, or may be infeasible to change because of the impact it would cause to the control system operation. These credentials may be reused across whole product lines or device models and are often not published or known to the owner and operators of the asset. 
Adversaries may utilize these hardcoded credentials to move throughout the control system environment or provide reliable access for their tools to interact with industrial assets. 
</t>
  </si>
  <si>
    <t>https://attack.mitre.org/techniques/T0891</t>
  </si>
  <si>
    <t>29 September 2022</t>
  </si>
  <si>
    <t>T0874</t>
  </si>
  <si>
    <t>attack-pattern--ab390887-afc0-4715-826d-b1b167d522ae</t>
  </si>
  <si>
    <t>Hooking</t>
  </si>
  <si>
    <t>Adversaries may hook into application programming interface (API) functions used by processes to redirect calls for execution and privilege escalation means. Windows processes often leverage these API functions to perform tasks that require reusable system resources. Windows API functions are typically stored in dynamic-link libraries (DLLs) as exported functions. (Citation: Enterprise ATT&amp;CK)
One type of hooking seen in ICS involves redirecting calls to these functions via import address table (IAT) hooking. IAT hooking uses modifications to a process IAT, where pointers to imported API functions are stored. (Citation: Nicolas Falliere, Liam O Murchu, Eric Chien February 2011)</t>
  </si>
  <si>
    <t>https://attack.mitre.org/techniques/T0874</t>
  </si>
  <si>
    <t>T0877</t>
  </si>
  <si>
    <t>attack-pattern--53a48c74-0025-45f4-b04a-baa853df8204</t>
  </si>
  <si>
    <t>I/O Image</t>
  </si>
  <si>
    <t>Adversaries may seek to capture process values related to the inputs and outputs of a PLC. During the scan cycle, a PLC reads the status of all inputs and stores them in an image table. (Citation: Nanjundaiah, Vaidyanath) The image table is the PLCs internal storage location where values of inputs/outputs for one scan are stored while it executes the user program. After the PLC has solved the entire logic program, it updates the output image table. The contents of this output image table are written to the corresponding output points in I/O Modules.
The Input and Output Image tables described above make up the I/O Image on a PLC. This image is used by the user program instead of directly interacting with physical I/O. (Citation: Spenneberg, Ralf 2016) 
Adversaries may collect the I/O Image state of a PLC by utilizing a devices [Native API](https://attack.mitre.org/techniques/T0834) to access the memory regions directly. The collection of the PLCs I/O state could be used to replace values or inform future stages of an attack.</t>
  </si>
  <si>
    <t>https://attack.mitre.org/techniques/T0877</t>
  </si>
  <si>
    <t>T0872</t>
  </si>
  <si>
    <t>attack-pattern--53a26eee-1080-4d17-9762-2027d5a1b805</t>
  </si>
  <si>
    <t>Indicator Removal on Host</t>
  </si>
  <si>
    <t>Adversaries may attempt to remove indicators of their presence on a system in an effort to cover their tracks. In cases where an adversary may feel detection is imminent, they may try to overwrite, delete, or cover up changes they have made to the device.</t>
  </si>
  <si>
    <t>https://attack.mitre.org/techniques/T0872</t>
  </si>
  <si>
    <t>T0883</t>
  </si>
  <si>
    <t>attack-pattern--f8df6b57-14bc-425f-9a91-6f59f6799307</t>
  </si>
  <si>
    <t>Internet Accessible Device</t>
  </si>
  <si>
    <t>Adversaries may gain access into industrial environments through systems exposed directly to the internet for remote access rather than through [External Remote Services](https://attack.mitre.org/techniques/T0822). Internet Accessible Devices are exposed to the internet unintentionally or intentionally without adequate protections. This may allow for adversaries to move directly into the control system network. Access onto these devices is accomplished without the use of exploits, these would be represented within the [Exploit Public-Facing Application](https://attack.mitre.org/techniques/T0819) technique.
Adversaries may leverage built in functions for remote access which may not be protected or utilize minimal legacy protections that may be targeted. (Citation: NCCIC January 2014) These services may be discoverable through the use of online scanning tools. 
In the case of the Bowman dam incident, adversaries leveraged access to the dam control network through a cellular modem. Access to the device was protected by password authentication, although the application was vulnerable to brute forcing. (Citation: NCCIC January 2014) (Citation: Danny Yadron December 2015) (Citation: Mark Thompson March 2016)
In Trend Micros manufacturing deception operations adversaries were detected leveraging direct internet access to an ICS environment through the exposure of operational protocols such as Siemens S7, Omron FINS, and EtherNet/IP, in addition to misconfigured VNC access. (Citation: Stephen Hilt, Federico Maggi, Charles Perine, Lord Remorin, Martin Rsler, and Rainer Vosseler)</t>
  </si>
  <si>
    <t>https://attack.mitre.org/techniques/T0883</t>
  </si>
  <si>
    <t>T0867</t>
  </si>
  <si>
    <t>attack-pattern--ead7bd34-186e-4c79-9a4d-b65bcce6ed9d</t>
  </si>
  <si>
    <t>Lateral Tool Transfer</t>
  </si>
  <si>
    <t>Adversaries may transfer tools or other files from one system to another to stage adversary tools or other files over the course of an operation. (Citation: Enterprise ATT&amp;CK) Copying of files may also be performed laterally between internal victim systems to support Lateral Movement with remote Execution using inherent file sharing protocols such as file sharing over SMB to connected network shares. (Citation: Enterprise ATT&amp;CK)
In control systems environments, malware may use SMB and other file sharing protocols to move laterally through industrial networks.</t>
  </si>
  <si>
    <t>https://attack.mitre.org/techniques/T0867</t>
  </si>
  <si>
    <t>T0826</t>
  </si>
  <si>
    <t>attack-pattern--b5b9bacb-97f2-4249-b804-47fd44de1f95</t>
  </si>
  <si>
    <t>Loss of Availability</t>
  </si>
  <si>
    <t>Adversaries may attempt to disrupt essential components or systems to prevent owner and operator from delivering products or services. (Citation: Corero) (Citation: Michael J. Assante and Robert M. Lee) (Citation: Tyson Macaulay) 
Adversaries may leverage malware to delete or encrypt critical data on HMIs, workstations, or databases.
In the 2021 Colonial Pipeline ransomware incident, pipeline operations were temporally halted on May 7th and were not fully restarted until May 12th. (Citation: Colonial Pipeline Company May 2021)</t>
  </si>
  <si>
    <t>https://attack.mitre.org/techniques/T0826</t>
  </si>
  <si>
    <t>T0827</t>
  </si>
  <si>
    <t>attack-pattern--a81696ef-c106-482c-8f80-59c30f2569fb</t>
  </si>
  <si>
    <t>Loss of Control</t>
  </si>
  <si>
    <t>Adversaries may seek to achieve a sustained loss of control or a runaway condition in which operators cannot issue any commands even if the malicious interference has subsided. (Citation: Corero) (Citation: Michael J. Assante and Robert M. Lee) (Citation: Tyson Macaulay)
The German Federal Office for Information Security (BSI) reported a targeted attack on a steel mill in its 2014 IT Security Report.(Citation: BSI State of IT Security 2014) These targeted attacks affected industrial operations and resulted in breakdowns of control system components and even entire installations. As a result of these breakdowns, massive impact resulted in damage and unsafe conditions from the uncontrolled shutdown of a blast furnace.</t>
  </si>
  <si>
    <t>https://attack.mitre.org/techniques/T0827</t>
  </si>
  <si>
    <t>T0828</t>
  </si>
  <si>
    <t>attack-pattern--63b6942d-8359-4506-bfb3-cf87aa8120ee</t>
  </si>
  <si>
    <t>Loss of Productivity and Revenue</t>
  </si>
  <si>
    <t>Adversaries may cause loss of productivity and revenue through disruption and even damage to the availability and integrity of control system operations, devices, and related processes. This technique may manifest as a direct effect of an ICS-targeting attack or tangentially, due to an IT-targeting attack against non-segregated environments. 
In cases where these operations or services are brought to a halt, the loss of productivity may eventually present an impact for the end-users or consumers of products and services. The disrupted supply-chain may result in supply shortages and increased prices, among other consequences. 
A ransomware attack on an Australian beverage company resulted in the shutdown of some manufacturing sites, including precautionary halts to protect key systems. (Citation: Paganini, Pierluigi June 2020) The company announced the potential for temporary shortages of their products following the attack. (Citation: Paganini, Pierluigi June 2020) (Citation: Lion Corporation June 2020) 
In the 2021 Colonial Pipeline ransomware incident, the pipeline was unable to transport approximately 2.5 million barrels of fuel per day to the East Coast.  (Citation: Colonial Pipeline Company May 2021)</t>
  </si>
  <si>
    <t>https://attack.mitre.org/techniques/T0828</t>
  </si>
  <si>
    <t>T0837</t>
  </si>
  <si>
    <t>attack-pattern--2bb4d762-bf4a-4bc3-9318-15cc6a354163</t>
  </si>
  <si>
    <t>Loss of Protection</t>
  </si>
  <si>
    <t>Adversaries may compromise protective system functions designed to prevent the effects of faults and abnormal conditions. This can result in equipment damage, prolonged process disruptions and hazards to personnel. 
Many faults and abnormal conditions in process control happen too quickly for a human operator to react to. Speed is critical in correcting these conditions to limit serious impacts such as Loss of Control and Property Damage. 
Adversaries may target and disable protective system functions as a prerequisite to subsequent attack execution or to allow for future faults and abnormal conditions to go unchecked. Detection of a Loss of Protection by operators can result in the shutdown of a process due to strict policies regarding protection systems. This can cause a Loss of Productivity and Revenue and may meet the technical goals of adversaries seeking to cause process disruptions.</t>
  </si>
  <si>
    <t>https://attack.mitre.org/techniques/T0837</t>
  </si>
  <si>
    <t>12 April 2021</t>
  </si>
  <si>
    <t>T0880</t>
  </si>
  <si>
    <t>attack-pattern--5fa00fdd-4a55-4191-94a0-564181d7fec2</t>
  </si>
  <si>
    <t>Loss of Safety</t>
  </si>
  <si>
    <t>Adversaries may compromise safety system functions designed to maintain safe operation of a process when unacceptable or dangerous conditions occur. Safety systems are often composed of the same elements as control systems but have the sole purpose of ensuring the process fails in a predetermined safe manner. 
Many unsafe conditions in process control happen too quickly for a human operator to react to. Speed is critical in correcting these conditions to limit serious impacts such as Loss of Control and Property Damage. 
Adversaries may target and disable safety system functions as a prerequisite to subsequent attack execution or to allow for future unsafe conditionals to go unchecked. Detection of a Loss of Safety by operators can result in the shutdown of a process due to strict policies regarding safety systems. This can cause a Loss of Productivity and Revenue and may meet the technical goals of adversaries seeking to cause process disruptions.</t>
  </si>
  <si>
    <t>https://attack.mitre.org/techniques/T0880</t>
  </si>
  <si>
    <t>T0829</t>
  </si>
  <si>
    <t>attack-pattern--138979ba-0430-4de6-a128-2fc0b056ba36</t>
  </si>
  <si>
    <t>Loss of View</t>
  </si>
  <si>
    <t>Adversaries may cause a sustained or permanent loss of view where the ICS equipment will require local, hands-on operator intervention; for instance, a restart or manual operation. By causing a sustained reporting or visibility loss, the adversary can effectively hide the present state of operations. This loss of view can occur without affecting the physical processes themselves. (Citation: Corero) (Citation: Michael J. Assante and Robert M. Lee) (Citation: Tyson Macaulay)</t>
  </si>
  <si>
    <t>https://attack.mitre.org/techniques/T0829</t>
  </si>
  <si>
    <t>T0835</t>
  </si>
  <si>
    <t>attack-pattern--36e9f5bc-ac13-4da4-a2f4-01f4877d9004</t>
  </si>
  <si>
    <t>Manipulate I/O Image</t>
  </si>
  <si>
    <t>Adversaries may manipulate the I/O image of PLCs through various means to prevent them from functioning as expected. Methods of I/O image manipulation may include overriding the I/O table via direct memory manipulation or using the override function used for testing PLC programs. (Citation: Dr. Kelvin T. Erickson December 2010) During the scan cycle, a PLC reads the status of all inputs and stores them in an image table. (Citation: Nanjundaiah, Vaidyanath) The image table is the PLCs internal storage location where values of inputs/outputs for one scan are stored while it executes the user program. After the PLC has solved the entire logic program, it updates the output image table. The contents of this output image table are written to the corresponding output points in I/O Modules. 
One of the unique characteristics of PLCs is their ability to override the status of a physical discrete input or to override the logic driving a physical output coil and force the output to a desired status.</t>
  </si>
  <si>
    <t>https://attack.mitre.org/techniques/T0835</t>
  </si>
  <si>
    <t>T0831</t>
  </si>
  <si>
    <t>attack-pattern--1af9e3fd-2bcc-414d-adbd-fe3b95c02ca1</t>
  </si>
  <si>
    <t>Manipulation of Control</t>
  </si>
  <si>
    <t>Adversaries may manipulate physical process control within the industrial environment. Methods of manipulating control can include changes to set point values, tags, or other parameters. Adversaries may manipulate control systems devices or possibly leverage their own, to communicate with and command physical control processes. The duration of manipulation may be temporary or longer sustained, depending on operator detection.   
Methods of Manipulation of Control include: 
* Man-in-the-middle  
* Spoof command message 
* Changing setpoints  
A Polish student used a remote controller device to interface with the Lodz city tram system in Poland. (Citation: John Bill May 2017) (Citation: Shelley Smith February 2008) (Citation: Bruce Schneier January 2008) Using this remote, the student was able to capture and replay legitimate tram signals. As a consequence, four trams were derailed and twelve people injured due to resulting emergency stops. (Citation: Shelley Smith February 2008) The track controlling commands issued may have also resulted in tram collisions, a further risk to those on board and nearby the areas of impact. (Citation: Bruce Schneier January 2008)</t>
  </si>
  <si>
    <t>https://attack.mitre.org/techniques/T0831</t>
  </si>
  <si>
    <t>T0832</t>
  </si>
  <si>
    <t>attack-pattern--4c2e1408-9d68-4187-8e6b-a77bc52700ec</t>
  </si>
  <si>
    <t>Manipulation of View</t>
  </si>
  <si>
    <t>Adversaries may attempt to manipulate the information reported back to operators or controllers. This manipulation may be short term or sustained. During this time the process itself could be in a much different state than what is reported. (Citation: Corero) (Citation: Michael J. Assante and Robert M. Lee) (Citation: Tyson Macaulay) 
Operators may be fooled into doing something that is harmful to the system in a loss of view situation. With a manipulated view into the systems, operators may issue inappropriate control sequences that introduce faults or catastrophic failures into the system. Business analysis systems can also be provided with inaccurate data leading to bad management decisions.</t>
  </si>
  <si>
    <t>https://attack.mitre.org/techniques/T0832</t>
  </si>
  <si>
    <t>T0849</t>
  </si>
  <si>
    <t>attack-pattern--ba203963-3182-41ac-af14-7e7ebc83cd61</t>
  </si>
  <si>
    <t>Masquerading</t>
  </si>
  <si>
    <t>Adversaries may use masquerading to disguise a malicious application or executable as another file, to avoid operator and engineer suspicion. Possible disguises of these masquerading files can include commonly found programs, expected vendor executables and configuration files, and other commonplace application and naming conventions. By impersonating expected and vendor-relevant files and applications, operators and engineers may not notice the presence of the underlying malicious content and possibly end up running those masquerading as legitimate functions. 
Applications and other files commonly found on Windows systems or in engineering workstations have been impersonated before. This can be as simple as renaming a file to effectively disguise it in the ICS environment.</t>
  </si>
  <si>
    <t>https://attack.mitre.org/techniques/T0849</t>
  </si>
  <si>
    <t>T0838</t>
  </si>
  <si>
    <t>attack-pattern--e5de767e-f513-41cd-aa15-33f6ce5fbf92</t>
  </si>
  <si>
    <t>Modify Alarm Settings</t>
  </si>
  <si>
    <t xml:space="preserve">Adversaries may modify alarm settings to prevent alerts that may inform operators of their presence or to prevent responses to dangerous and unintended scenarios. Reporting messages are a standard part of data acquisition in control systems. Reporting messages are used as a way to transmit system state information and acknowledgements that specific actions have occurred. These messages provide vital information for the management of a physical process, and keep operators, engineers, and administrators aware of the state of system devices and physical processes. 
If an adversary is able to change the reporting settings, certain events could be prevented from being reported. This type of modification can also prevent operators or devices from performing actions to keep the system in a safe state. If critical reporting messages cannot trigger these actions then a [Impact](https://attack.mitre.org/tactics/TA0105) could occur. 
In ICS environments, the adversary may have to use [Alarm Suppression](https://attack.mitre.org/techniques/T0878) or contend with multiple alarms and/or alarm propagation to achieve a specific goal to evade detection or prevent intended responses from occurring. (Citation: Jos Wetzels, Marina Krotofil 2019)  Methods of suppression often rely on modification of alarm settings, such as modifying in memory code to fixed values or tampering with assembly level instruction code. </t>
  </si>
  <si>
    <t>https://attack.mitre.org/techniques/T0838</t>
  </si>
  <si>
    <t>T0821</t>
  </si>
  <si>
    <t>attack-pattern--09a61657-46e1-439e-b3ed-3e4556a78243</t>
  </si>
  <si>
    <t>Modify Controller Tasking</t>
  </si>
  <si>
    <t>Adversaries may modify the tasking of a controller to allow for the execution of their own programs. This can allow an adversary to manipulate the execution flow and behavior of a controller. 
According to 61131-3, the association of a Task with a Program Organization Unit (POU) defines a task association. (Citation: IEC February 2013) An adversary may modify these associations or create new ones to manipulate the execution flow of a controller. Modification of controller tasking can be accomplished using a Program Download in addition to other types of program modification such as online edit and program append.
Tasks have properties, such as interval, frequency and priority to meet the requirements of program execution. Some controller vendors implement tasks with implicit, pre-defined properties whereas others allow for these properties to be formulated explicitly. An adversary may associate their program with tasks that have a higher priority or execute associated programs more frequently. For instance, to ensure cyclic execution of their program on a Siemens controller, an adversary may add their program to the task, Organization Block 1 (OB1).</t>
  </si>
  <si>
    <t>https://attack.mitre.org/techniques/T0821</t>
  </si>
  <si>
    <t>T0836</t>
  </si>
  <si>
    <t>attack-pattern--097924ce-a9a9-4039-8591-e0deedfb8722</t>
  </si>
  <si>
    <t>Modify Parameter</t>
  </si>
  <si>
    <t>Adversaries may modify parameters used to instruct industrial control system devices. These devices operate via programs that dictate how and when to perform actions based on such parameters. Such parameters can determine the extent to which an action is performed and may specify additional options. For example, a program on a control system device dictating motor processes may take a parameter defining the total number of seconds to run that motor.      
An adversary can potentially modify these parameters to produce an outcome outside of what was intended by the operators. By modifying system and process critical parameters, the adversary may cause [Impact](https://attack.mitre.org/tactics/TA0105) to equipment and/or control processes. Modified parameters may be turned into dangerous, out-of-bounds, or unexpected values from typical operations. For example, specifying that a process run for more or less time than it should, or dictating an unusually high, low, or invalid value as a parameter.</t>
  </si>
  <si>
    <t>https://attack.mitre.org/techniques/T0836</t>
  </si>
  <si>
    <t>T0889</t>
  </si>
  <si>
    <t>attack-pattern--fc5fda7e-6b2c-4457-b036-759896a2efa2</t>
  </si>
  <si>
    <t>Modify Program</t>
  </si>
  <si>
    <t>Adversaries may modify or add a program on a controller to affect how it interacts with the physical process, peripheral devices and other hosts on the network. Modification to controller programs can be accomplished using a Program Download in addition to other types of program modification such as online edit and program append. 
Program modification encompasses the addition and modification of instructions and logic contained in Program Organization Units (POU)  (Citation: IEC February 2013) and similar programming elements found on controllers. This can include, for example, adding new functions to a controller, modifying the logic in existing functions and making new calls from one function to another. 
Some programs may allow an adversary to interact directly with the native API of the controller to take advantage of obscure features or vulnerabilities.</t>
  </si>
  <si>
    <t>https://attack.mitre.org/techniques/T0889</t>
  </si>
  <si>
    <t>T0839</t>
  </si>
  <si>
    <t>attack-pattern--efbf7888-f61b-4572-9c80-7e2965c60707</t>
  </si>
  <si>
    <t>Module Firmware</t>
  </si>
  <si>
    <t>Adversaries may install malicious or vulnerable firmware onto modular hardware devices. Control system devices often contain modular hardware devices. These devices may have their own set of firmware that is separate from the firmware of the main control system equipment.   
This technique is similar to [System Firmware](https://attack.mitre.org/techniques/T0857), but is conducted on other system components that may not have the same capabilities or level of integrity checking. Although it results in a device re-image, malicious device firmware may provide persistent access to remaining devices. (Citation: Daniel Peck,  Dale Peterson January 2009)  
An easy point of access for an adversary is the Ethernet card, which may have its own CPU, RAM, and operating system. The adversary may attack and likely exploit the computer on an Ethernet card. Exploitation of the Ethernet card computer may enable the adversary to accomplish additional attacks, such as the following: (Citation: Daniel Peck,  Dale Peterson January 2009)  
* Delayed Attack - The adversary may stage an attack in advance and choose when to launch it, such as at a particularly damaging time.  
* Brick the Ethernet Card - Malicious firmware may be programmed to result in an Ethernet card failure, requiring a factory return.  
* Random Attack or Failure - The adversary may load malicious firmware onto multiple field devices. Execution of an attack and the time it occurs is generated by a pseudo-random number generator.   
* A Field Device Worm - The adversary may choose to identify all field devices of the same model, with the end goal of performing a device-wide compromise.  
* Attack Other Cards on the Field Device - Although it is not the most important module in a field device, the Ethernet card is most accessible to the adversary and malware. Compromise of the Ethernet card may provide a more direct route to compromising other modules, such as the CPU module.</t>
  </si>
  <si>
    <t>https://attack.mitre.org/techniques/T0839</t>
  </si>
  <si>
    <t>T0801</t>
  </si>
  <si>
    <t>attack-pattern--2d0d40ad-22fa-4cc8-b264-072557e1364b</t>
  </si>
  <si>
    <t>Monitor Process State</t>
  </si>
  <si>
    <t>Adversaries may gather information about the physical process state. This information may be used to gain more information about the process itself or used as a trigger for malicious actions. The sources of process state information may vary such as, OPC tags, historian data, specific PLC block information, or network traffic.</t>
  </si>
  <si>
    <t>https://attack.mitre.org/techniques/T0801</t>
  </si>
  <si>
    <t>T0834</t>
  </si>
  <si>
    <t>attack-pattern--b52870cc-83f3-473c-b895-72d91751030b</t>
  </si>
  <si>
    <t>Native API</t>
  </si>
  <si>
    <t>Adversaries may directly interact with the native OS application programming interface (API) to access system functions. Native APIs provide a controlled means of calling low-level OS services within the kernel, such as those involving hardware/devices, memory, and processes. (Citation: The MITRE Corporation May 2017) These native APIs are leveraged by the OS during system boot (when other system components are not yet initialized) as well as carrying out tasks and requests during routine operations. 
Functionality provided by native APIs are often also exposed to user-mode applications via interfaces and libraries. For example, functions such as memcpy and direct operations on memory registers can be used to modify user and system memory space.</t>
  </si>
  <si>
    <t>https://attack.mitre.org/techniques/T0834</t>
  </si>
  <si>
    <t>T0840</t>
  </si>
  <si>
    <t>attack-pattern--ea0c980c-5cf0-43a7-a049-59c4c207566e</t>
  </si>
  <si>
    <t>Network Connection Enumeration</t>
  </si>
  <si>
    <t>Adversaries may perform network connection enumeration to discover information about device communication patterns. If an adversary can inspect the state of a network connection with tools, such as Netstat(Citation: Netstat), in conjunction with [System Firmware](https://attack.mitre.org/techniques/T0857), then they can determine the role of certain devices on the network  (Citation: MITRE). The adversary can also use [Network Sniffing](https://attack.mitre.org/techniques/T0842) to watch network traffic for details about the source, destination, protocol, and content.</t>
  </si>
  <si>
    <t>https://attack.mitre.org/techniques/T0840</t>
  </si>
  <si>
    <t>T0842</t>
  </si>
  <si>
    <t>attack-pattern--38213338-1aab-479d-949b-c81b66ccca5c</t>
  </si>
  <si>
    <t>Network Sniffing</t>
  </si>
  <si>
    <t>Network sniffing is the practice of using a network interface on a computer system to monitor or capture information (Citation: Enterprise ATT&amp;CK January 2018) regardless of whether it is the specified destination for the information. 
An adversary may attempt to sniff the traffic to gain information about the target. This information can vary in the level of importance. Relatively unimportant information is general communications to and from machines.  Relatively important information would be login information. User credentials may be sent over an unencrypted protocol, such as Telnet, that can be captured and obtained through network packet analysis. 
In addition, ARP and Domain Name Service (DNS) poisoning can be used to capture credentials to websites, proxies, and internal systems by redirecting traffic to an adversary.</t>
  </si>
  <si>
    <t>https://attack.mitre.org/techniques/T0842</t>
  </si>
  <si>
    <t>T0861</t>
  </si>
  <si>
    <t>attack-pattern--25852363-5968-4673-b81d-341d5ed90bd1</t>
  </si>
  <si>
    <t>Point &amp; Tag Identification</t>
  </si>
  <si>
    <t>Adversaries may collect point and tag values to gain a more comprehensive understanding of the process environment. Points may be values such as inputs, memory locations, outputs or other process specific variables. (Citation: Dennis L. Sloatman September 2016) Tags are the identifiers given to points for operator convenience. 
Collecting such tags provides valuable context to environmental points and enables an adversary to map inputs, outputs, and other values to their control processes. Understanding the points being collected may inform an adversary on which processes and values to keep track of over the course of an operation.</t>
  </si>
  <si>
    <t>https://attack.mitre.org/techniques/T0861</t>
  </si>
  <si>
    <t>T0843</t>
  </si>
  <si>
    <t>attack-pattern--be69c571-d746-4b1f-bdd0-c0c9817e9068</t>
  </si>
  <si>
    <t>Program Download</t>
  </si>
  <si>
    <t>Adversaries may perform a program download to transfer a user program to a controller. 
Variations of program download, such as online edit and program append, allow a controller to continue running during the transfer and reconfiguration process without interruption to process control. However, before starting a full program download (i.e., download all) a controller may need to go into a stop state. This can have negative consequences on the physical process, especially if the controller is not able to fulfill a time-sensitive action. Adversaries may choose to avoid a download all in favor of an online edit or program append to avoid disrupting the physical process. An adversary may need to use the technique Detect Operating Mode or Change Operating Mode to make sure the controller is in the proper mode to accept a program download.
The granularity of control to transfer a user program in whole or parts is dictated by the management protocol (e.g., S7CommPlus, TriStation) and underlying controller API. Thus, program download is a high-level term for the suite of vendor-specific API calls used to configure a controllers user program memory space.  
[Modify Controller Tasking](https://attack.mitre.org/techniques/T0821) and [Modify Program](https://attack.mitre.org/techniques/T0889) represent the configuration changes that are transferred to a controller via a program download.</t>
  </si>
  <si>
    <t>https://attack.mitre.org/techniques/T0843</t>
  </si>
  <si>
    <t>T0845</t>
  </si>
  <si>
    <t>attack-pattern--3067b85e-271e-4bc5-81ad-ab1a81d411e3</t>
  </si>
  <si>
    <t>Program Upload</t>
  </si>
  <si>
    <t>Adversaries may attempt to upload a program from a PLC to gather information about an industrial process. Uploading a program may allow them to acquire and study the underlying logic. Methods of program upload include vendor software, which enables the user to upload and read a program running on a PLC. This software can be used to upload the target program to a workstation, jump box, or an interfacing device.</t>
  </si>
  <si>
    <t>https://attack.mitre.org/techniques/T0845</t>
  </si>
  <si>
    <t>T0873</t>
  </si>
  <si>
    <t>attack-pattern--e72425f8-9ae6-41d3-bfdb-e1b865e60722</t>
  </si>
  <si>
    <t>Project File Infection</t>
  </si>
  <si>
    <t>Adversaries may attempt to infect project files with malicious code. These project files may consist of objects, program organization units, variables such as tags, documentation, and other configurations needed for PLC programs to function. (Citation: Beckhoff) Using built in functions of the engineering software, adversaries may be able to download an infected program to a PLC in the operating environment enabling further [Execution](https://attack.mitre.org/tactics/TA0104) and [Persistence](https://attack.mitre.org/tactics/TA0110) techniques. (Citation: PLCdev) 
Adversaries may export their own code into project files with conditions to execute at specific intervals. (Citation: Nicolas Falliere, Liam O Murchu, Eric Chien February 2011) Malicious programs allow adversaries control of all aspects of the process enabled by the PLC. Once the project file is downloaded to a PLC the workstation device may be disconnected with the infected project file still executing. (Citation: PLCdev)</t>
  </si>
  <si>
    <t>https://attack.mitre.org/techniques/T0873</t>
  </si>
  <si>
    <t>T0886</t>
  </si>
  <si>
    <t>attack-pattern--e1f9cdd2-9511-4fca-90d7-f3e92cfdd0bf</t>
  </si>
  <si>
    <t>Remote Services</t>
  </si>
  <si>
    <t>Adversaries may leverage remote services to move between assets and network segments. These services are often used to allow operators to interact with systems remotely within the network, some examples are RDP, SMB, SSH, and other similar mechanisms. (Citation: Blake Johnson, Dan Caban, Marina Krotofil, Dan Scali, Nathan Brubaker, Christopher Glyer December 2017) (Citation: Dragos December 2017) (Citation: Joe Slowik April 2019) 
Remote services could be used to support remote access, data transmission, authentication, name resolution, and other remote functions. Further, remote services may be necessary to allow operators and administrators to configure systems within the network from their engineering or management workstations. An adversary may use this technique to access devices which may be dual-homed (Citation: Blake Johnson, Dan Caban, Marina Krotofil, Dan Scali, Nathan Brubaker, Christopher Glyer December 2017) to multiple network segments, and can be used for [Program Download](https://attack.mitre.org/techniques/T0843) or to execute attacks on control devices directly through [Valid Accounts](https://attack.mitre.org/techniques/T0859).
Specific remote services (RDP &amp; VNC) may be a precursor to enable [Graphical User Interface](https://attack.mitre.org/techniques/T0823) execution on devices such as HMIs or engineering workstation software.
Based on incident data, CISA and FBI assessed that Chinese state-sponsored actors also compromised various authorized remote access channels, including systems designed to transfer data and/or allow access between corporate and ICS networks.  (Citation: CISA AA21-201A Pipeline Intrusion July 2021)</t>
  </si>
  <si>
    <t>https://attack.mitre.org/techniques/T0886</t>
  </si>
  <si>
    <t>T0846</t>
  </si>
  <si>
    <t>attack-pattern--d5a69cfb-fc2a-46cb-99eb-74b236db5061</t>
  </si>
  <si>
    <t>Remote System Discovery</t>
  </si>
  <si>
    <t>Adversaries may attempt to get a listing of other systems by IP address, hostname, or other logical identifier on a network that may be used for subsequent Lateral Movement or Discovery techniques. Functionality could exist within adversary tools to enable this, but utilities available on the operating system or vendor software could also be used. (Citation: Enterprise ATT&amp;CK January 2018)</t>
  </si>
  <si>
    <t>https://attack.mitre.org/techniques/T0846</t>
  </si>
  <si>
    <t>T0888</t>
  </si>
  <si>
    <t>attack-pattern--2fedbe69-581f-447d-8a78-32ee7db939a9</t>
  </si>
  <si>
    <t>Remote System Information Discovery</t>
  </si>
  <si>
    <t>An adversary may attempt to get detailed information about remote systems and their peripherals, such as make/model, role, and configuration. Adversaries may use information from Remote System Information Discovery to aid in targeting and shaping follow-on behaviors. For example, the system's operational role and model information can dictate whether it is a relevant target for the adversary's operational objectives. In addition, the system's configuration may be used to scope subsequent technique usage. 
Requests for system information are typically implemented using automation and management protocols and are often automatically requested by vendor software during normal operation. This information may be used to tailor management actions, such as program download and system or module firmware. An adversary may leverage this same information by issuing calls directly to the system's API.</t>
  </si>
  <si>
    <t>https://attack.mitre.org/techniques/T0888</t>
  </si>
  <si>
    <t>T0847</t>
  </si>
  <si>
    <t>attack-pattern--c267bbee-bb59-47fe-85e0-3ed210337c21</t>
  </si>
  <si>
    <t>Replication Through Removable Media</t>
  </si>
  <si>
    <t>Adversaries may move onto systems, such as those separated from the enterprise network, by copying malware to removable media which is inserted into the control systems environment. The adversary may rely on unknowing trusted third parties, such as suppliers or contractors with access privileges, to introduce the removable media. This technique enables initial access to target devices that never connect to untrusted networks, but are physically accessible.     
Operators of the German nuclear power plant, Gundremmingen, discovered malware on a facility computer not connected to the internet. (Citation: Kernkraftwerk Gundremmingen April 2016) (Citation: Trend Micro April 2016) The malware included Conficker and W32.Ramnit, which were also found on eighteen removable disk drives in the facility. (Citation: Christoph Steitz, Eric Auchard April 2016) (Citation: Catalin Cimpanu April 2016) (Citation: Peter Dockrill April 2016) (Citation: Lee Mathews April 2016) (Citation: Sean Gallagher April 2016) (Citation: Dark Reading Staff April 2016) The plant has since checked for infection and cleaned up more than 1,000 computers. (Citation: BBC April 2016) An ESET researcher commented that internet disconnection does not guarantee system safety from infection or payload execution. (Citation: ESET April 2016)</t>
  </si>
  <si>
    <t>https://attack.mitre.org/techniques/T0847</t>
  </si>
  <si>
    <t>T0848</t>
  </si>
  <si>
    <t>attack-pattern--b14395bd-5419-4ef4-9bd8-696936f509bb</t>
  </si>
  <si>
    <t>Rogue Master</t>
  </si>
  <si>
    <t>Adversaries may setup a rogue master to leverage control server functions to communicate with outstations. A rogue master can be used to send legitimate control messages to other control system devices, affecting processes in unintended ways. It may also be used to disrupt network communications by capturing and receiving the network traffic meant for the actual master. Impersonating a master may also allow an adversary to avoid detection. 
In the case of the 2017 Dallas Siren incident, adversaries used a rogue master to send command messages to the 156 distributed sirens across the city, either through a single rogue transmitter with a strong signal, or using many distributed repeaters. (Citation: Bastille April 2017) (Citation: Zack Whittaker April 2017)</t>
  </si>
  <si>
    <t>https://attack.mitre.org/techniques/T0848</t>
  </si>
  <si>
    <t>T0851</t>
  </si>
  <si>
    <t>attack-pattern--3b6b9246-43f8-4c69-ad7a-2b11cfe0a0d9</t>
  </si>
  <si>
    <t>Rootkit</t>
  </si>
  <si>
    <t>Adversaries may deploy rootkits to hide the presence of programs, files, network connections, services, drivers, and other system components. Rootkits are programs that hide the existence of malware by intercepting and modifying operating-system API calls that supply system information. Rootkits or rootkit-enabling functionality may reside at the user or kernel level in the operating system, or lower. (Citation: Enterprise ATT&amp;CK January 2018)   
Firmware rootkits that affect the operating system yield nearly full control of the system. While firmware rootkits are normally developed for the main processing board, they can also be developed for the I/O that is attached to an asset. Compromise of this firmware allows the modification of all of the process variables and functions the module engages in. This may result in commands being disregarded and false information being fed to the main device. By tampering with device processes, an adversary may inhibit its expected response functions and possibly enable [Impact](https://attack.mitre.org/tactics/TA0105).</t>
  </si>
  <si>
    <t>https://attack.mitre.org/techniques/T0851</t>
  </si>
  <si>
    <t>T0852</t>
  </si>
  <si>
    <t>attack-pattern--c5e3cdbc-0387-4be9-8f83-ff5c0865f377</t>
  </si>
  <si>
    <t>Screen Capture</t>
  </si>
  <si>
    <t>Adversaries may attempt to perform screen capture of devices in the control system environment. Screenshots may be taken of workstations, HMIs, or other devices that display environment-relevant process, device, reporting, alarm, or related data. These device displays may reveal information regarding the ICS process, layout, control, and related schematics. In particular, an HMI can provide a lot of important industrial process information. (Citation: ICS-CERT October 2017) Analysis of screen captures may provide the adversary with an understanding of intended operations and interactions between critical devices.</t>
  </si>
  <si>
    <t>https://attack.mitre.org/techniques/T0852</t>
  </si>
  <si>
    <t>T0853</t>
  </si>
  <si>
    <t>attack-pattern--2dc2b567-8821-49f9-9045-8740f3d0b958</t>
  </si>
  <si>
    <t>Scripting</t>
  </si>
  <si>
    <t>Adversaries may use scripting languages to execute arbitrary code in the form of a pre-written script or in the form of user-supplied code to an interpreter. Scripting languages are programming languages that differ from compiled languages, in that scripting languages use an interpreter, instead of a compiler. These interpreters read and compile part of the source code just before it is executed, as opposed to compilers, which compile each and every line of code to an executable file. Scripting allows software developers to run their code on any system where the interpreter exists. This way, they can distribute one package, instead of precompiling executables for many different systems. Scripting languages, such as Python, have their interpreters shipped as a default with many Linux distributions. 
In addition to being a useful tool for developers and administrators, scripting language interpreters may be abused by the adversary to execute code in the target environment. Due to the nature of scripting languages, this allows for weaponized code to be deployed to a target easily, and leaves open the possibility of on-the-fly scripting to perform a task.</t>
  </si>
  <si>
    <t>https://attack.mitre.org/techniques/T0853</t>
  </si>
  <si>
    <t>T0881</t>
  </si>
  <si>
    <t>attack-pattern--063b5b92-5361-481a-9c3f-95492ed9a2d8</t>
  </si>
  <si>
    <t>Service Stop</t>
  </si>
  <si>
    <t>Adversaries may stop or disable services on a system to render those services unavailable to legitimate users. Stopping critical services can inhibit or stop response to an incident or aid in the adversary's overall objectives to cause damage to the environment. (Citation: Enterprise ATT&amp;CK)  Services may not allow for modification of their data stores while running. Adversaries may stop services in order to conduct Data Destruction. (Citation: Enterprise ATT&amp;CK)</t>
  </si>
  <si>
    <t>https://attack.mitre.org/techniques/T0881</t>
  </si>
  <si>
    <t>T0865</t>
  </si>
  <si>
    <t>attack-pattern--648f995e-9c3a-41e4-aeee-98bb41037426</t>
  </si>
  <si>
    <t>Spearphishing Attachment</t>
  </si>
  <si>
    <t>Adversaries may use a spearphishing attachment, a variant of spearphishing, as a form of a social engineering attack against specific targets. Spearphishing attachments are different from other forms of spearphishing in that they employ malware attached to an email. All forms of spearphishing are electronically delivered and target a specific individual, company, or industry. In this scenario, adversaries attach a file to the spearphishing email and usually rely upon [User Execution](https://attack.mitre.org/techniques/T0863) to gain execution and access. (Citation: Enterprise ATT&amp;CK October 2019) 
A Chinese spearphishing campaign running from December 9, 2011 through February 29, 2012, targeted ONG organizations and their employees. The emails were constructed with a high level of sophistication to convince employees to open the malicious file attachments. (Citation: CISA AA21-201A Pipeline Intrusion July 2021)</t>
  </si>
  <si>
    <t>https://attack.mitre.org/techniques/T0865</t>
  </si>
  <si>
    <t>T0856</t>
  </si>
  <si>
    <t>attack-pattern--8535b71e-3c12-4258-a4ab-40257a1becc4</t>
  </si>
  <si>
    <t>Spoof Reporting Message</t>
  </si>
  <si>
    <t xml:space="preserve">Adversaries may spoof reporting messages in control system environments for evasion and to impair process control. In control systems, reporting messages contain telemetry data (e.g., I/O values) pertaining to the current state of equipment and the industrial process. Reporting messages are important for monitoring the normal operation of a system or identifying important events such as deviations from expected values. 
If an adversary has the ability to Spoof Reporting Messages, they can impact the control system in many ways. The adversary can Spoof Reporting Messages that state that the process is operating normally, as a form of evasion. The adversary could also Spoof Reporting Messages to make the defenders and operators think that other errors are occurring in order to distract them from the actual source of a problem. (Citation: Bonnie Zhu, Anthony Joseph, Shankar Sastry 2011) </t>
  </si>
  <si>
    <t>https://attack.mitre.org/techniques/T0856</t>
  </si>
  <si>
    <t>T0869</t>
  </si>
  <si>
    <t>attack-pattern--e076cca8-2f08-45c9-aff7-ea5ac798b387</t>
  </si>
  <si>
    <t>Standard Application Layer Protocol</t>
  </si>
  <si>
    <t>Adversaries may establish command and control capabilities over commonly used application layer protocols such as HTTP(S), OPC, RDP, telnet, DNP3, and modbus. These protocols may be used to disguise adversary actions as benign network traffic. Standard protocols may be seen on their associated port or in some cases over a non-standard port.  Adversaries may use these protocols to reach out of the network for command and control, or in some cases to other infected devices within the network.</t>
  </si>
  <si>
    <t>https://attack.mitre.org/techniques/T0869</t>
  </si>
  <si>
    <t>T0862</t>
  </si>
  <si>
    <t>attack-pattern--5e0f75da-e108-4688-a6de-a4f07cc2cbe3</t>
  </si>
  <si>
    <t>Supply Chain Compromise</t>
  </si>
  <si>
    <t>Adversaries may perform supply chain compromise to gain control systems environment access by means of infected products, software, and workflows. Supply chain compromise is the manipulation of products, such as devices or software, or their delivery mechanisms before receipt by the end consumer. Adversary compromise of these products and mechanisms is done for the goal of data or system compromise, once infected products are introduced to the target environment. 
Supply chain compromise can occur at all stages of the supply chain, from manipulation of development tools and environments to manipulation of developed products and tools distribution mechanisms. This may involve the compromise and replacement of legitimate software and patches, such as on third party or vendor websites. Targeting of supply chain compromise can be done in attempts to infiltrate the environments of a specific audience. In control systems environments with assets in both the IT and OT networks, it is possible a supply chain compromise affecting the IT environment could enable further access to the OT environment.   
Counterfeit devices may be introduced to the global supply chain posing safety and cyber risks to asset owners and operators. These devices may not meet the safety, engineering and manufacturing requirements of regulatory bodies but may feature tagging indicating conformance with industry standards. Due to the lack of adherence to standards and overall lesser quality, the counterfeit products may pose a serious safety and operational risk. (Citation: Control Global May 2019) 
Yokogawa identified instances in which their customers received counterfeit differential pressure transmitters using the Yokogawa logo. The counterfeit transmitters were nearly indistinguishable with a semblance of functionality and interface that mimics the genuine product. (Citation: Control Global May 2019) 
F-Secure Labs analyzed the approach the adversary used to compromise victim systems with Havex. (Citation: Daavid Hentunen, Antti Tikkanen June 2014) The adversary planted trojanized software installers available on legitimate ICS/SCADA vendor websites. After being downloaded, this software infected the host computer with a Remote Access Trojan (RAT).</t>
  </si>
  <si>
    <t>https://attack.mitre.org/techniques/T0862</t>
  </si>
  <si>
    <t>T0894</t>
  </si>
  <si>
    <t>attack-pattern--1c5cf58c-a34a-40d7-82f4-f987cdfc2b91</t>
  </si>
  <si>
    <t>System Binary Proxy Execution</t>
  </si>
  <si>
    <t xml:space="preserve">Adversaries may bypass process and/or signature-based defenses by proxying execution of malicious content with signed, or otherwise trusted, binaries. Binaries used in this technique are often Microsoft-signed files, indicating that they have been either downloaded from Microsoft or are already native in the operating system. (Citation: LOLBAS Project) Binaries signed with trusted digital certificates can typically execute on Windows systems protected by digital signature validation. Several Microsoft signed binaries that are default on Windows installations can be used to proxy execution of other files or commands. Similarly, on Linux systems adversaries may abuse trusted binaries such as split to proxy execution of malicious commands. (Citation: split man page)(Citation: GTFO split)
Adversaries may abuse application binaries installed on a system for proxy execution of malicious code or domain-specific commands. These commands could be used to target local resources on the device or networked devices within the environment through defined APIs ([Execution through API](https://attack.mitre.org/techniques/T0871)) or application-specific programming languages (e.g., MicroSCADA SCIL). Application binaries may be signed by the developer or generally trusted by the operators, analysts, and monitoring tools accustomed to the environment. These applications may be developed and/or directly provided by the device vendor to enable configuration, management, and operation of their devices without many alternatives. 
Adversaries may seek to target these trusted application binaries to execute or send commands without the development of custom malware. For example, adversaries may target a SCADA server binary which has the existing ability to send commands to substation devices, such as through IEC 104 command messages. Proxy execution may still require the development of custom tools to hook into the application binary’s execution.
</t>
  </si>
  <si>
    <t>https://attack.mitre.org/techniques/T0894</t>
  </si>
  <si>
    <t>25 March 2024</t>
  </si>
  <si>
    <t>T0857</t>
  </si>
  <si>
    <t>attack-pattern--b9160e77-ea9e-4ba9-b1c8-53a3c466b13d</t>
  </si>
  <si>
    <t>System Firmware</t>
  </si>
  <si>
    <t>System firmware on modern assets is often designed with an update feature. Older device firmware may be factory installed and require special reprograming equipment. When available, the firmware update feature enables vendors to remotely patch bugs and perform upgrades. Device firmware updates are often delegated to the user and may be done using a software update package. It may also be possible to perform this task over the network. 
An adversary may exploit the firmware update feature on accessible devices to upload malicious or out-of-date firmware. Malicious modification of device firmware may provide an adversary with root access to a device, given firmware is one of the lowest programming abstraction layers. (Citation: Basnight, Zachry, et al.)</t>
  </si>
  <si>
    <t>https://attack.mitre.org/techniques/T0857</t>
  </si>
  <si>
    <t>T0882</t>
  </si>
  <si>
    <t>attack-pattern--b7e13ee8-182c-4f19-92a4-a88d7d855d54</t>
  </si>
  <si>
    <t>Theft of Operational Information</t>
  </si>
  <si>
    <t>Adversaries may steal operational information on a production environment as a direct mission outcome for personal gain or to inform future operations. This information may include design documents, schedules, rotational data, or similar artifacts that provide insight on operations.    In the Bowman Dam incident, adversaries probed systems for operational data. (Citation: Mark Thompson March 2016) (Citation: Danny Yadron December 2015)</t>
  </si>
  <si>
    <t>https://attack.mitre.org/techniques/T0882</t>
  </si>
  <si>
    <t>T0864</t>
  </si>
  <si>
    <t>attack-pattern--35392fb4-a31d-4c6a-b9f2-1c65b7f5e6b9</t>
  </si>
  <si>
    <t>Transient Cyber Asset</t>
  </si>
  <si>
    <t xml:space="preserve">Adversaries may target devices that are transient across ICS networks and external networks. Normally, transient assets are brought into an environment by authorized personnel and do not remain in that environment on a permanent basis. (Citation: North American Electric Reliability Corporation June 2021) Transient assets are commonly needed to support management functions and may be more common in systems where a remotely managed asset is not feasible, external connections for remote access do not exist, or 3rd party contractor/vendor access is required. 
Adversaries may take advantage of transient assets in different ways. For instance, adversaries may target a transient asset when it is connected to an external network and then leverage its trusted access in another environment to launch an attack. They may also take advantage of installed applications and libraries that are used by legitimate end-users to interact with control system devices. 
Transient assets, in some cases, may not be deployed with a secure configuration leading to weaknesses that could allow an adversary to propagate malicious executable code, e.g., the transient asset may be infected by malware and when connected to an ICS environment the malware propagates onto other systems. </t>
  </si>
  <si>
    <t>https://attack.mitre.org/techniques/T0864</t>
  </si>
  <si>
    <t>14 October 2021</t>
  </si>
  <si>
    <t>T0855</t>
  </si>
  <si>
    <t>attack-pattern--40b300ba-f553-48bf-862e-9471b220d455</t>
  </si>
  <si>
    <t>Unauthorized Command Message</t>
  </si>
  <si>
    <t>Adversaries may send unauthorized command messages to instruct control system assets to perform actions outside of their intended functionality, or without the logical preconditions to trigger their expected function. Command messages are used in ICS networks to give direct instructions to control systems devices. If an adversary can send an unauthorized command message to a control system, then it can instruct the control systems device to perform an action outside the normal bounds of the device's actions. An adversary could potentially instruct a control systems device to perform an action that will cause an [Impact](https://attack.mitre.org/tactics/TA0105). (Citation: Bonnie Zhu, Anthony Joseph, Shankar Sastry 2011)
In the Dallas Siren incident, adversaries were able to send command messages to activate tornado alarm systems across the city without an impending tornado or other disaster. (Citation: Zack Whittaker April 2017) (Citation: Benjamin Freed March 2019)</t>
  </si>
  <si>
    <t>https://attack.mitre.org/techniques/T0855</t>
  </si>
  <si>
    <t>T0863</t>
  </si>
  <si>
    <t>attack-pattern--2736b752-4ec5-4421-a230-8977dea7649c</t>
  </si>
  <si>
    <t>User Execution</t>
  </si>
  <si>
    <t>Adversaries may rely on a targeted organizations user interaction for the execution of malicious code. User interaction may consist of installing applications, opening email attachments, or granting higher permissions to documents. 
Adversaries may embed malicious code or visual basic code into files such as Microsoft Word and Excel documents or software installers. (Citation: Booz Allen Hamilton) Execution of this code requires that the user enable scripting or write access within the document. Embedded code may not always be noticeable to the user especially in cases of trojanized software. (Citation: Daavid Hentunen, Antti Tikkanen June 2014) 
A Chinese spearphishing campaign running from December 9, 2011 through February 29, 2012 delivered malware through spearphishing attachments which required user action to achieve execution. (Citation: CISA AA21-201A Pipeline Intrusion July 2021)</t>
  </si>
  <si>
    <t>https://attack.mitre.org/techniques/T0863</t>
  </si>
  <si>
    <t>T0859</t>
  </si>
  <si>
    <t>attack-pattern--cd2c76a4-5e23-4ca5-9c40-d5e0604f7101</t>
  </si>
  <si>
    <t>Valid Accounts</t>
  </si>
  <si>
    <t>Adversaries may steal the credentials of a specific user or service account using credential access techniques. In some cases, default credentials for control system devices may be publicly available. Compromised credentials may be used to bypass access controls placed on various resources on hosts and within the network, and may even be used for persistent access to remote systems. Compromised and default credentials may also grant an adversary increased privilege to specific systems and devices or access to restricted areas of the network. Adversaries may choose not to use malware or tools, in conjunction with the legitimate access those credentials provide, to make it harder to detect their presence or to control devices and send legitimate commands in an unintended way. 
Adversaries may also create accounts, sometimes using predefined account names and passwords, to provide a means of backup access for persistence. (Citation: Booz Allen Hamilton) 
The overlap of credentials and permissions across a network of systems is of concern because the adversary may be able to pivot across accounts and systems to reach a high level of access (i.e., domain or enterprise administrator)  and possibly between the enterprise and operational technology environments. Adversaries may be able to leverage valid credentials from one system to gain access to another system.</t>
  </si>
  <si>
    <t>https://attack.mitre.org/techniques/T0859</t>
  </si>
  <si>
    <t>T0860</t>
  </si>
  <si>
    <t>attack-pattern--2877063e-1851-48d2-bcc6-bc1d2733157e</t>
  </si>
  <si>
    <t>Wireless Compromise</t>
  </si>
  <si>
    <t>Adversaries may perform wireless compromise as a method of gaining communications and unauthorized access to a wireless network. Access to a wireless network may be gained through the compromise of a wireless device. (Citation: Alexander Bolshev, Gleb Cherbov July 2014) (Citation: Alexander Bolshev March 2014) Adversaries may also utilize radios and other wireless communication devices on the same frequency as the wireless network. Wireless compromise can be done as an initial access vector from a remote distance. 
A Polish student used a modified TV remote controller to gain access to and control over the Lodz city tram system in Poland. (Citation: John Bill May 2017) (Citation: Shelley Smith February 2008) The remote controller device allowed the student to interface with the trams network to modify track settings and override operator control. The adversary may have accomplished this by aligning the controller to the frequency and amplitude of IR control protocol signals. (Citation: Bruce Schneier January 2008) The controller then enabled initial access to the network, allowing the capture and replay of tram signals. (Citation: John Bill May 2017)</t>
  </si>
  <si>
    <t>https://attack.mitre.org/techniques/T0860</t>
  </si>
  <si>
    <t>T0887</t>
  </si>
  <si>
    <t>attack-pattern--0fe075d5-beac-4d02-b93e-0f874997db72</t>
  </si>
  <si>
    <t>Wireless Sniffing</t>
  </si>
  <si>
    <t>Adversaries may seek to capture radio frequency (RF) communication used for remote control and reporting in distributed environments. RF communication frequencies vary between 3 kHz to 300 GHz, although are commonly between 300 MHz to 6 GHz. (Citation: Candell, R., Hany, M., Lee, K. B., Liu,Y., Quimby, J., Remley, K. April 2018)  The wavelength and frequency of the signal affect how the signal propagates through open air, obstacles (e.g. walls and trees) and the type of radio required to capture them. These characteristics are often standardized in the protocol and hardware and may have an effect on how the signal is captured. Some examples of wireless protocols that may be found in cyber-physical environments are: WirelessHART, Zigbee, WIA-FA, and 700 MHz Public Safety Spectrum. 
Adversaries may capture RF communications by using specialized hardware, such as software defined radio (SDR), handheld radio, or a computer with radio demodulator tuned to the communication frequency. (Citation: Bastille April 2017) Information transmitted over a wireless medium may be captured in-transit whether the sniffing device is the intended destination or not. This technique may be particularly useful to an adversary when the communications are not encrypted. (Citation: Gallagher, S. April 2017) 
In the 2017 Dallas Siren incident, it is suspected that adversaries likely captured wireless command message broadcasts on a 700 MHz frequency during a regular test of the system. These messages were later replayed to trigger the alarm systems. (Citation: Gallagher, S. April 2017)</t>
  </si>
  <si>
    <t>https://attack.mitre.org/techniques/T0887</t>
  </si>
  <si>
    <t>ID_Riesgo</t>
  </si>
  <si>
    <t>Amenaza</t>
  </si>
  <si>
    <t>Vulnerabilidad</t>
  </si>
  <si>
    <t>Impacto</t>
  </si>
  <si>
    <t>Nivel_Riesgo_Inherente</t>
  </si>
  <si>
    <t>Controles_Existentes</t>
  </si>
  <si>
    <t>Probabilidad_Residual</t>
  </si>
  <si>
    <t>Impacto_Residual</t>
  </si>
  <si>
    <t>Nivel_Riesgo_Residual</t>
  </si>
  <si>
    <t>Estado_Tratamiento</t>
  </si>
  <si>
    <t>Fecha_Evaluación</t>
  </si>
  <si>
    <t>RISK-001</t>
  </si>
  <si>
    <t>Ataque DDoS</t>
  </si>
  <si>
    <t>Sin protección anti-DDoS</t>
  </si>
  <si>
    <t>Firewall básico</t>
  </si>
  <si>
    <t>En Tratamiento</t>
  </si>
  <si>
    <t>RISK-002</t>
  </si>
  <si>
    <t>Inyección SQL</t>
  </si>
  <si>
    <t>Validación de entrada insuficiente</t>
  </si>
  <si>
    <t>WAF, Consultas parametrizadas</t>
  </si>
  <si>
    <t>Mitigado</t>
  </si>
  <si>
    <t>ID_Tratamiento</t>
  </si>
  <si>
    <t>Riesgo</t>
  </si>
  <si>
    <t>Estrategia</t>
  </si>
  <si>
    <t>Medida_Control</t>
  </si>
  <si>
    <t>Tipo_Control</t>
  </si>
  <si>
    <t>Fecha_Inicio</t>
  </si>
  <si>
    <t>Fecha_Limite</t>
  </si>
  <si>
    <t>Avance_%</t>
  </si>
  <si>
    <t>Costo_Estimado</t>
  </si>
  <si>
    <t>TRAT-001</t>
  </si>
  <si>
    <t>Ataque DDoS al servidor web</t>
  </si>
  <si>
    <t>Mitigar</t>
  </si>
  <si>
    <t>Implementar servicio anti-DDoS en la nube</t>
  </si>
  <si>
    <t>Preventivo</t>
  </si>
  <si>
    <t>30/11/2025</t>
  </si>
  <si>
    <t>En Progreso</t>
  </si>
  <si>
    <t>Contratar servicio Cloudflare o AWS Shield</t>
  </si>
  <si>
    <t>TRAT-002</t>
  </si>
  <si>
    <t>Inyección SQL en BD</t>
  </si>
  <si>
    <t>Implementar consultas preparadas en toda la aplicación</t>
  </si>
  <si>
    <t>Líder Desarrollo</t>
  </si>
  <si>
    <t>15/11/2025</t>
  </si>
  <si>
    <t>Completado</t>
  </si>
  <si>
    <t>Implementado y probado</t>
  </si>
  <si>
    <t>DASHBOARD EJECUTIVO - SGSI</t>
  </si>
  <si>
    <t>RESUMEN DE ACTIVOS</t>
  </si>
  <si>
    <t>TOP 10 AMENAZAS MITRE</t>
  </si>
  <si>
    <t>Total de Activos:</t>
  </si>
  <si>
    <t>Activos Críticos:</t>
  </si>
  <si>
    <t>Activos Altos:</t>
  </si>
  <si>
    <t>RESUMEN DE RIESGOS</t>
  </si>
  <si>
    <t>Total de Riesgos:</t>
  </si>
  <si>
    <t>Riesgos Críticos (≥15):</t>
  </si>
  <si>
    <t>Riesgos Altos (10-14):</t>
  </si>
  <si>
    <t>Riesgos Medios (6-9):</t>
  </si>
  <si>
    <t>ESTADO DE TRATAMIENTOS</t>
  </si>
  <si>
    <t>Total de Tratamientos:</t>
  </si>
  <si>
    <t>Completados:</t>
  </si>
  <si>
    <t>En Progreso:</t>
  </si>
  <si>
    <t>Pendientes:</t>
  </si>
  <si>
    <t>INDICADORES CLAVE (KPIs)</t>
  </si>
  <si>
    <t>Indicador</t>
  </si>
  <si>
    <t>Meta</t>
  </si>
  <si>
    <t>% Riesgos Mitigados</t>
  </si>
  <si>
    <t>80%</t>
  </si>
  <si>
    <t>Tiempo Promedio Mitigación</t>
  </si>
  <si>
    <t>TBD</t>
  </si>
  <si>
    <t>30 días</t>
  </si>
  <si>
    <t>% Activos con Análisis</t>
  </si>
  <si>
    <t>100%</t>
  </si>
  <si>
    <t>Cobertura de Controles</t>
  </si>
  <si>
    <t>90%</t>
  </si>
  <si>
    <t>CONFIGURACIÓN DE CATEGORÍAS Y SUBCATEGORÍAS</t>
  </si>
  <si>
    <t>Use esta hoja para definir las categorías y subcategorías de activos. Estos valores se usarán en listas desplegables.</t>
  </si>
  <si>
    <t>CATEGORÍAS DE ACTIVOS</t>
  </si>
  <si>
    <t>SUBCATEGORÍAS</t>
  </si>
  <si>
    <t>ID_Categoría</t>
  </si>
  <si>
    <t>Nombre_Categoría</t>
  </si>
  <si>
    <t>ID_Subcategoría</t>
  </si>
  <si>
    <t>Categoría_Padre</t>
  </si>
  <si>
    <t>Nombre_Subcategoría</t>
  </si>
  <si>
    <t>CAT-01</t>
  </si>
  <si>
    <t>SUB-01</t>
  </si>
  <si>
    <t>CAT-02</t>
  </si>
  <si>
    <t>SUB-02</t>
  </si>
  <si>
    <t>Almacenamiento</t>
  </si>
  <si>
    <t>CAT-03</t>
  </si>
  <si>
    <t>Aplicaciones</t>
  </si>
  <si>
    <t>SUB-03</t>
  </si>
  <si>
    <t>CAT-04</t>
  </si>
  <si>
    <t>Personas</t>
  </si>
  <si>
    <t>SUB-04</t>
  </si>
  <si>
    <t>CAT-05</t>
  </si>
  <si>
    <t>Servicios</t>
  </si>
  <si>
    <t>SUB-05</t>
  </si>
  <si>
    <t>CAT-06</t>
  </si>
  <si>
    <t>Hardware</t>
  </si>
  <si>
    <t>SUB-06</t>
  </si>
  <si>
    <t>Documentos</t>
  </si>
  <si>
    <t>CAT-07</t>
  </si>
  <si>
    <t>Software</t>
  </si>
  <si>
    <t>SUB-07</t>
  </si>
  <si>
    <t>Archivos Configuración</t>
  </si>
  <si>
    <t>CAT-08</t>
  </si>
  <si>
    <t>Redes</t>
  </si>
  <si>
    <t>SUB-08</t>
  </si>
  <si>
    <t>Aplicaciones Web</t>
  </si>
  <si>
    <t>CAT-09</t>
  </si>
  <si>
    <t>Dispositivos Móviles</t>
  </si>
  <si>
    <t>SUB-09</t>
  </si>
  <si>
    <t>Aplicaciones Móviles</t>
  </si>
  <si>
    <t>CAT-10</t>
  </si>
  <si>
    <t>Sistemas de Control</t>
  </si>
  <si>
    <t>SUB-10</t>
  </si>
  <si>
    <t>Aplicaciones Escritorio</t>
  </si>
  <si>
    <t>SUB-11</t>
  </si>
  <si>
    <t>Personal TI</t>
  </si>
  <si>
    <t>SUB-12</t>
  </si>
  <si>
    <t>Usuarios Finales</t>
  </si>
  <si>
    <t>SUB-13</t>
  </si>
  <si>
    <t>Administradores</t>
  </si>
  <si>
    <t>SUB-14</t>
  </si>
  <si>
    <t>Servicios Cloud</t>
  </si>
  <si>
    <t>SUB-15</t>
  </si>
  <si>
    <t>Servicios Externos</t>
  </si>
  <si>
    <t>SUB-16</t>
  </si>
  <si>
    <t>Equipos de Red</t>
  </si>
  <si>
    <t>SUB-17</t>
  </si>
  <si>
    <t>Estaciones de Trabajo</t>
  </si>
  <si>
    <t>SUB-18</t>
  </si>
  <si>
    <t>Sistemas Operativos</t>
  </si>
  <si>
    <t>SUB-19</t>
  </si>
  <si>
    <t>Aplicaciones Base</t>
  </si>
  <si>
    <t>SUB-20</t>
  </si>
  <si>
    <t>LAN/WAN</t>
  </si>
  <si>
    <t>SUB-21</t>
  </si>
  <si>
    <t>Wireless</t>
  </si>
  <si>
    <t>SUB-22</t>
  </si>
  <si>
    <t>Smartphones</t>
  </si>
  <si>
    <t>SUB-23</t>
  </si>
  <si>
    <t>Tablets</t>
  </si>
  <si>
    <t>SUB-24</t>
  </si>
  <si>
    <t>SCADA</t>
  </si>
  <si>
    <t>SUB-25</t>
  </si>
  <si>
    <t>PLC</t>
  </si>
  <si>
    <t>CONFIGURACIÓN DE ÁREAS Y UBICACIONES</t>
  </si>
  <si>
    <t>Defina las áreas organizacionales y ubicaciones físicas donde se encuentran los activos.</t>
  </si>
  <si>
    <t>ÁREAS ORGANIZACIONALES</t>
  </si>
  <si>
    <t>UBICACIONES FÍSICAS</t>
  </si>
  <si>
    <t>ID_Área</t>
  </si>
  <si>
    <t>Nombre_Área</t>
  </si>
  <si>
    <t>ID_Ubicación</t>
  </si>
  <si>
    <t>Nombre_Ubicación</t>
  </si>
  <si>
    <t>Dirección</t>
  </si>
  <si>
    <t>AREA-01</t>
  </si>
  <si>
    <t>UBI-01</t>
  </si>
  <si>
    <t>AREA-02</t>
  </si>
  <si>
    <t>UBI-02</t>
  </si>
  <si>
    <t>Datacenter Respaldo</t>
  </si>
  <si>
    <t>AREA-03</t>
  </si>
  <si>
    <t>Operaciones</t>
  </si>
  <si>
    <t>UBI-03</t>
  </si>
  <si>
    <t>Oficina Central</t>
  </si>
  <si>
    <t>AREA-04</t>
  </si>
  <si>
    <t>Desarrollo</t>
  </si>
  <si>
    <t>UBI-04</t>
  </si>
  <si>
    <t>Oficina Sucursal 1</t>
  </si>
  <si>
    <t>AREA-05</t>
  </si>
  <si>
    <t>UBI-05</t>
  </si>
  <si>
    <t>Oficina Sucursal 2</t>
  </si>
  <si>
    <t>AREA-06</t>
  </si>
  <si>
    <t>Redes y Comunicaciones</t>
  </si>
  <si>
    <t>UBI-06</t>
  </si>
  <si>
    <t>Cloud AWS</t>
  </si>
  <si>
    <t>AREA-07</t>
  </si>
  <si>
    <t>UBI-07</t>
  </si>
  <si>
    <t>Cloud Azure</t>
  </si>
  <si>
    <t>AREA-08</t>
  </si>
  <si>
    <t>Administración</t>
  </si>
  <si>
    <t>UBI-08</t>
  </si>
  <si>
    <t>Sala de Servidores</t>
  </si>
  <si>
    <t>AREA-09</t>
  </si>
  <si>
    <t>UBI-09</t>
  </si>
  <si>
    <t>Zona Desmilitarizada</t>
  </si>
  <si>
    <t>AREA-10</t>
  </si>
  <si>
    <t>Finanzas</t>
  </si>
  <si>
    <t>UBI-10</t>
  </si>
  <si>
    <t>Remoto/Teletrabajo</t>
  </si>
  <si>
    <t>Ubicación Remota</t>
  </si>
  <si>
    <t>CONFIGURACIÓN DE CLASES Y SUBCLASES DE ACTIVOS</t>
  </si>
  <si>
    <t>Defina las clases y subclases para clasificación detallada de activos.</t>
  </si>
  <si>
    <t>CLASES DE ACTIVOS</t>
  </si>
  <si>
    <t>SUBCLASES DE ACTIVOS</t>
  </si>
  <si>
    <t>ID_Clase</t>
  </si>
  <si>
    <t>Nombre_Clase</t>
  </si>
  <si>
    <t>ID_Subclase</t>
  </si>
  <si>
    <t>Clase_Padre</t>
  </si>
  <si>
    <t>Nombre_Subclase</t>
  </si>
  <si>
    <t>CLS-01</t>
  </si>
  <si>
    <t>SCLS-01</t>
  </si>
  <si>
    <t>Datos de Empleados</t>
  </si>
  <si>
    <t>CLS-02</t>
  </si>
  <si>
    <t>Datos Financieros</t>
  </si>
  <si>
    <t>SCLS-02</t>
  </si>
  <si>
    <t>CLS-03</t>
  </si>
  <si>
    <t>Propiedad Intelectual</t>
  </si>
  <si>
    <t>SCLS-03</t>
  </si>
  <si>
    <t>Información Bancaria</t>
  </si>
  <si>
    <t>CLS-04</t>
  </si>
  <si>
    <t>SCLS-04</t>
  </si>
  <si>
    <t>Registros Contables</t>
  </si>
  <si>
    <t>CLS-05</t>
  </si>
  <si>
    <t>SCLS-05</t>
  </si>
  <si>
    <t>Patentes</t>
  </si>
  <si>
    <t>CLS-06</t>
  </si>
  <si>
    <t>Credenciales y Accesos</t>
  </si>
  <si>
    <t>SCLS-06</t>
  </si>
  <si>
    <t>Diseños</t>
  </si>
  <si>
    <t>CLS-07</t>
  </si>
  <si>
    <t>Logs y Auditoría</t>
  </si>
  <si>
    <t>SCLS-07</t>
  </si>
  <si>
    <t>Métricas de Sistema</t>
  </si>
  <si>
    <t>CLS-08</t>
  </si>
  <si>
    <t>Backups</t>
  </si>
  <si>
    <t>SCLS-08</t>
  </si>
  <si>
    <t>CLS-09</t>
  </si>
  <si>
    <t>Documentación Técnica</t>
  </si>
  <si>
    <t>SCLS-09</t>
  </si>
  <si>
    <t>Configuración de Red</t>
  </si>
  <si>
    <t>CLS-10</t>
  </si>
  <si>
    <t>Código Fuente</t>
  </si>
  <si>
    <t>SCLS-10</t>
  </si>
  <si>
    <t>SCLS-11</t>
  </si>
  <si>
    <t>Contraseñas</t>
  </si>
  <si>
    <t>SCLS-12</t>
  </si>
  <si>
    <t>Certificados</t>
  </si>
  <si>
    <t>SCLS-13</t>
  </si>
  <si>
    <t>Logs de Acceso</t>
  </si>
  <si>
    <t>SCLS-14</t>
  </si>
  <si>
    <t>Logs de Seguridad</t>
  </si>
  <si>
    <t>SCLS-15</t>
  </si>
  <si>
    <t>Backups Completos</t>
  </si>
  <si>
    <t>SCLS-16</t>
  </si>
  <si>
    <t>Backups Incrementales</t>
  </si>
  <si>
    <t>REGISTRO DE ACCIONES DEL SISTEMA</t>
  </si>
  <si>
    <t>Usuario</t>
  </si>
  <si>
    <t>Detalles</t>
  </si>
  <si>
    <t>david ñanculeo</t>
  </si>
  <si>
    <t>Validación ISO 27001:2022 ejecutada</t>
  </si>
  <si>
    <t>Cálculo riesgo inherente: 0 riesgos calculados</t>
  </si>
  <si>
    <t>Riesgo residual calculado: 0 riesgos</t>
  </si>
  <si>
    <t>Coloreado de riesgos: 0</t>
  </si>
  <si>
    <t>📄 FUNCIONES DE SISTEMA</t>
  </si>
  <si>
    <t>📄 Info del Sistema</t>
  </si>
  <si>
    <t>✅ Validar Hojas de Excel</t>
  </si>
  <si>
    <t>Optimización de 34 hojas completada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</si>
</sst>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5">
    <font>
      <sz val="11"/>
      <color theme="1"/>
      <name val="Calibri"/>
      <family val="2"/>
      <scheme val="minor"/>
    </font>
    <font>
      <b/>
      <sz val="14"/>
      <color rgb="FFFFFFFF"/>
      <name val="Segoe UI"/>
    </font>
    <font>
      <b/>
      <sz val="12"/>
      <color rgb="FFFFFFFF"/>
      <name val="Segoe UI"/>
    </font>
    <font>
      <b/>
      <sz val="9"/>
      <name val="Segoe UI"/>
    </font>
    <font>
      <sz val="9"/>
      <name val="Segoe UI"/>
    </font>
    <font>
      <b/>
      <sz val="10"/>
      <color rgb="FFFFFFFF"/>
      <name val="Segoe UI"/>
    </font>
    <font>
      <i/>
      <sz val="8"/>
      <name val="Segoe UI"/>
    </font>
    <font>
      <sz val="8"/>
      <name val="Segoe UI"/>
    </font>
    <font>
      <sz val="11"/>
      <color rgb="FFCCCCCC"/>
      <name val="Calibri"/>
    </font>
    <font>
      <b/>
      <sz val="9"/>
      <color rgb="FFFFFFFF"/>
      <name val="Segoe UI"/>
    </font>
    <font>
      <b/>
      <sz val="11"/>
      <color rgb="FFFFFFFF"/>
      <name val="Segoe UI"/>
    </font>
    <font>
      <b/>
      <sz val="10"/>
      <name val="Segoe UI"/>
    </font>
    <font>
      <b/>
      <sz val="9"/>
      <name val="Calibri"/>
    </font>
    <font>
      <sz val="8"/>
      <name val="Calibri"/>
    </font>
    <font>
      <b/>
      <sz val="9"/>
      <color rgb="FFFFFFFF"/>
      <name val="Calibri"/>
    </font>
    <font>
      <b/>
      <sz val="11"/>
      <color rgb="FFFFFFFF"/>
      <name val="Calibri"/>
    </font>
    <font>
      <sz val="9"/>
      <name val="Calibri"/>
    </font>
    <font>
      <b/>
      <sz val="16"/>
      <color rgb="FFFFFFFF"/>
      <name val="Arial"/>
    </font>
    <font>
      <b/>
      <sz val="9"/>
      <name val="Arial"/>
    </font>
    <font>
      <sz val="9"/>
      <name val="Arial"/>
    </font>
    <font>
      <b/>
      <sz val="12"/>
      <color rgb="FFFFFFFF"/>
      <name val="Arial"/>
    </font>
    <font>
      <sz val="10"/>
      <name val="Arial"/>
    </font>
    <font>
      <b/>
      <sz val="10"/>
      <name val="Arial"/>
    </font>
    <font>
      <b/>
      <sz val="10"/>
      <color rgb="FFFFFFFF"/>
      <name val="Arial"/>
    </font>
    <font>
      <i/>
      <sz val="9"/>
      <name val="Arial"/>
    </font>
    <font>
      <b/>
      <sz val="9"/>
      <color rgb="FFFFFFFF"/>
      <name val="Arial"/>
    </font>
    <font>
      <b/>
      <sz val="11"/>
      <color rgb="FFFFFFFF"/>
      <name val="Arial"/>
    </font>
    <font>
      <b/>
      <sz val="16"/>
      <color rgb="FF1F4E78"/>
      <name val="Calibri"/>
    </font>
    <font>
      <b/>
      <sz val="14"/>
      <color rgb="FF4472C4"/>
      <name val="Calibri"/>
    </font>
    <font>
      <b/>
      <sz val="11"/>
      <name val="Calibri"/>
    </font>
    <font>
      <b/>
      <sz val="14"/>
      <color rgb="FF1F4E78"/>
      <name val="Calibri"/>
    </font>
    <font>
      <b/>
      <sz val="12"/>
      <color rgb="FF1F4E78"/>
      <name val="Calibri"/>
    </font>
    <font>
      <b/>
      <sz val="11"/>
      <color rgb="FF1F4E78"/>
      <name val="Calibri"/>
    </font>
    <font>
      <b/>
      <sz val="12"/>
      <name val="Calibri"/>
    </font>
    <font>
      <b/>
      <sz val="12"/>
      <color rgb="FFFFFFFF"/>
      <name val="Calibri"/>
    </font>
    <font>
      <i/>
      <sz val="9"/>
      <name val="Calibri"/>
    </font>
    <font>
      <b/>
      <sz val="18"/>
      <color rgb="FFFFFFFF"/>
      <name val="Arial"/>
    </font>
    <font>
      <i/>
      <sz val="10"/>
      <name val="Arial"/>
    </font>
    <font>
      <b/>
      <sz val="12"/>
      <color rgb="FFFFFFFF"/>
      <name val="Arial"/>
    </font>
    <font>
      <b/>
      <sz val="11"/>
      <color rgb="FFFFFFFF"/>
      <name val="Arial"/>
    </font>
    <font>
      <b/>
      <sz val="14"/>
      <color rgb="FFFFFFFF"/>
      <name val="Arial"/>
    </font>
    <font>
      <b/>
      <sz val="10"/>
      <color rgb="FFFFFFFF"/>
      <name val="Arial"/>
    </font>
    <font>
      <b/>
      <sz val="12"/>
      <color rgb="FFFFFFFF"/>
      <name val="Arial"/>
      <family val="2"/>
    </font>
    <font>
      <b/>
      <sz val="11"/>
      <color rgb="FFFFFFFF"/>
      <name val="Arial"/>
      <family val="2"/>
    </font>
    <font>
      <sz val="11"/>
      <color rgb="FF000000"/>
      <name val="Calibri"/>
      <family val="2"/>
    </font>
  </fonts>
  <fills count="28">
    <fill>
      <patternFill patternType="none"/>
    </fill>
    <fill>
      <patternFill patternType="gray125"/>
    </fill>
    <fill>
      <patternFill patternType="solid">
        <fgColor rgb="FF0A2647"/>
        <bgColor rgb="FF0A2647"/>
      </patternFill>
    </fill>
    <fill>
      <patternFill patternType="solid">
        <fgColor rgb="FF144272"/>
        <bgColor rgb="FF144272"/>
      </patternFill>
    </fill>
    <fill>
      <patternFill patternType="solid">
        <fgColor rgb="FFE8F4F8"/>
        <bgColor rgb="FFE8F4F8"/>
      </patternFill>
    </fill>
    <fill>
      <patternFill patternType="solid">
        <fgColor rgb="FF2C74B3"/>
        <bgColor rgb="FF2C74B3"/>
      </patternFill>
    </fill>
    <fill>
      <patternFill patternType="solid">
        <fgColor rgb="FF205295"/>
        <bgColor rgb="FF205295"/>
      </patternFill>
    </fill>
    <fill>
      <patternFill patternType="solid">
        <fgColor rgb="FFFF6B35"/>
        <bgColor rgb="FFFF6B35"/>
      </patternFill>
    </fill>
    <fill>
      <patternFill patternType="solid">
        <fgColor rgb="FFC62828"/>
        <bgColor rgb="FFC62828"/>
      </patternFill>
    </fill>
    <fill>
      <patternFill patternType="solid">
        <fgColor rgb="FFC6EFCE"/>
        <bgColor rgb="FFC6EFCE"/>
      </patternFill>
    </fill>
    <fill>
      <patternFill patternType="solid">
        <fgColor rgb="FF1F4E78"/>
        <bgColor rgb="FF1F4E78"/>
      </patternFill>
    </fill>
    <fill>
      <patternFill patternType="solid">
        <fgColor rgb="FFE7E6E6"/>
        <bgColor rgb="FFE7E6E6"/>
      </patternFill>
    </fill>
    <fill>
      <patternFill patternType="solid">
        <fgColor rgb="FF4472C4"/>
        <bgColor rgb="FF4472C4"/>
      </patternFill>
    </fill>
    <fill>
      <patternFill patternType="solid">
        <fgColor rgb="FF00B0F0"/>
        <bgColor rgb="FF00B0F0"/>
      </patternFill>
    </fill>
    <fill>
      <patternFill patternType="solid">
        <fgColor rgb="FFFFF2CC"/>
        <bgColor rgb="FFFFF2CC"/>
      </patternFill>
    </fill>
    <fill>
      <patternFill patternType="solid">
        <fgColor rgb="FFC00000"/>
        <bgColor rgb="FFC00000"/>
      </patternFill>
    </fill>
    <fill>
      <patternFill patternType="solid">
        <fgColor rgb="FFFF6B00"/>
        <bgColor rgb="FFFF6B00"/>
      </patternFill>
    </fill>
    <fill>
      <patternFill patternType="solid">
        <fgColor rgb="FFFFC000"/>
        <bgColor rgb="FFFFC000"/>
      </patternFill>
    </fill>
    <fill>
      <patternFill patternType="solid">
        <fgColor rgb="FF92D050"/>
        <bgColor rgb="FF92D050"/>
      </patternFill>
    </fill>
    <fill>
      <patternFill patternType="solid">
        <fgColor rgb="FFFF0000"/>
        <bgColor rgb="FFFF0000"/>
      </patternFill>
    </fill>
    <fill>
      <patternFill patternType="solid">
        <fgColor rgb="FFD9E1F2"/>
        <bgColor rgb="FFD9E1F2"/>
      </patternFill>
    </fill>
    <fill>
      <patternFill patternType="solid">
        <fgColor rgb="FFFFFF00"/>
        <bgColor rgb="FFFFFF00"/>
      </patternFill>
    </fill>
    <fill>
      <patternFill patternType="solid">
        <fgColor rgb="FF44546A"/>
        <bgColor rgb="FF44546A"/>
      </patternFill>
    </fill>
    <fill>
      <patternFill patternType="solid">
        <fgColor rgb="FF1F4E78"/>
        <bgColor rgb="FF1F4E78"/>
      </patternFill>
    </fill>
    <fill>
      <patternFill patternType="solid">
        <fgColor rgb="FF4472C4"/>
        <bgColor rgb="FF4472C4"/>
      </patternFill>
    </fill>
    <fill>
      <patternFill patternType="solid">
        <fgColor rgb="FFFF6B00"/>
        <bgColor rgb="FFFF6B00"/>
      </patternFill>
    </fill>
    <fill>
      <patternFill patternType="solid">
        <fgColor rgb="FF92D050"/>
        <bgColor rgb="FF92D050"/>
      </patternFill>
    </fill>
    <fill>
      <patternFill patternType="solid">
        <fgColor rgb="FF00B0F0"/>
        <bgColor rgb="FF00B0F0"/>
      </patternFill>
    </fill>
  </fills>
  <borders count="13">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style="thin">
        <color auto="1"/>
      </right>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s>
  <cellStyleXfs count="1">
    <xf numFmtId="0" fontId="0" fillId="0" borderId="0"/>
  </cellStyleXfs>
  <cellXfs count="161">
    <xf numFmtId="0" fontId="0" fillId="0" borderId="0" xfId="0"/>
    <xf numFmtId="0" fontId="3" fillId="4" borderId="1" xfId="0" applyFont="1" applyFill="1" applyBorder="1" applyAlignment="1">
      <alignment horizontal="right" vertical="center"/>
    </xf>
    <xf numFmtId="0" fontId="9" fillId="6" borderId="1" xfId="0" applyFont="1" applyFill="1" applyBorder="1" applyAlignment="1">
      <alignment horizontal="center" vertical="center" wrapText="1"/>
    </xf>
    <xf numFmtId="0" fontId="7" fillId="0" borderId="1" xfId="0" applyFont="1" applyBorder="1" applyAlignment="1">
      <alignment horizontal="left" vertical="center"/>
    </xf>
    <xf numFmtId="0" fontId="13" fillId="0" borderId="1" xfId="0" applyFont="1" applyBorder="1" applyAlignment="1">
      <alignment horizontal="left" vertical="center" wrapText="1"/>
    </xf>
    <xf numFmtId="0" fontId="13" fillId="9" borderId="1" xfId="0" applyFont="1" applyFill="1" applyBorder="1" applyAlignment="1">
      <alignment horizontal="left" vertical="center" wrapText="1"/>
    </xf>
    <xf numFmtId="0" fontId="19" fillId="0" borderId="1" xfId="0" applyFont="1" applyBorder="1" applyAlignment="1">
      <alignment horizontal="left" vertical="top" wrapText="1"/>
    </xf>
    <xf numFmtId="0" fontId="15" fillId="10" borderId="1" xfId="0" applyFont="1" applyFill="1" applyBorder="1" applyAlignment="1">
      <alignment horizontal="center" vertical="center" wrapText="1"/>
    </xf>
    <xf numFmtId="0" fontId="0" fillId="0" borderId="1" xfId="0" applyBorder="1"/>
    <xf numFmtId="0" fontId="15" fillId="19" borderId="1" xfId="0" applyFont="1" applyFill="1" applyBorder="1"/>
    <xf numFmtId="0" fontId="29" fillId="20" borderId="0" xfId="0" applyFont="1" applyFill="1" applyAlignment="1">
      <alignment horizontal="center" vertical="center" wrapText="1"/>
    </xf>
    <xf numFmtId="0" fontId="33" fillId="21" borderId="1" xfId="0" applyFont="1" applyFill="1" applyBorder="1" applyAlignment="1">
      <alignment horizontal="center" vertical="center"/>
    </xf>
    <xf numFmtId="0" fontId="34" fillId="19" borderId="1" xfId="0" applyFont="1" applyFill="1" applyBorder="1" applyAlignment="1">
      <alignment horizontal="center" vertical="center"/>
    </xf>
    <xf numFmtId="0" fontId="34" fillId="15" borderId="1" xfId="0" applyFont="1" applyFill="1" applyBorder="1" applyAlignment="1">
      <alignment horizontal="center" vertical="center"/>
    </xf>
    <xf numFmtId="0" fontId="33" fillId="17" borderId="1" xfId="0" applyFont="1" applyFill="1" applyBorder="1" applyAlignment="1">
      <alignment horizontal="center" vertical="center"/>
    </xf>
    <xf numFmtId="0" fontId="33" fillId="18" borderId="1" xfId="0" applyFont="1" applyFill="1" applyBorder="1" applyAlignment="1">
      <alignment horizontal="center" vertical="center"/>
    </xf>
    <xf numFmtId="0" fontId="29" fillId="17" borderId="1" xfId="0" applyFont="1" applyFill="1" applyBorder="1"/>
    <xf numFmtId="0" fontId="15" fillId="12" borderId="1" xfId="0" applyFont="1" applyFill="1" applyBorder="1"/>
    <xf numFmtId="22" fontId="0" fillId="0" borderId="0" xfId="0" applyNumberFormat="1"/>
    <xf numFmtId="0" fontId="6" fillId="0" borderId="1" xfId="0" applyFont="1" applyBorder="1"/>
    <xf numFmtId="0" fontId="12" fillId="6" borderId="1" xfId="0" applyFont="1" applyFill="1" applyBorder="1" applyAlignment="1">
      <alignment horizontal="center" vertical="center"/>
    </xf>
    <xf numFmtId="0" fontId="13" fillId="0" borderId="1" xfId="0" applyFont="1" applyBorder="1" applyAlignment="1">
      <alignment horizontal="left" vertical="center"/>
    </xf>
    <xf numFmtId="0" fontId="12" fillId="6" borderId="1" xfId="0" applyFont="1" applyFill="1" applyBorder="1" applyAlignment="1">
      <alignment horizontal="center" vertical="center" wrapText="1"/>
    </xf>
    <xf numFmtId="0" fontId="12" fillId="6" borderId="1" xfId="0" applyFont="1" applyFill="1" applyBorder="1"/>
    <xf numFmtId="0" fontId="13" fillId="0" borderId="1" xfId="0" applyFont="1" applyBorder="1"/>
    <xf numFmtId="0" fontId="12" fillId="0" borderId="1" xfId="0" applyFont="1" applyBorder="1"/>
    <xf numFmtId="0" fontId="14" fillId="6" borderId="1" xfId="0" applyFont="1" applyFill="1" applyBorder="1" applyAlignment="1">
      <alignment horizontal="center" vertical="center"/>
    </xf>
    <xf numFmtId="0" fontId="14" fillId="6" borderId="1" xfId="0" applyFont="1" applyFill="1" applyBorder="1" applyAlignment="1">
      <alignment horizontal="center" vertical="center" wrapText="1"/>
    </xf>
    <xf numFmtId="0" fontId="18" fillId="11" borderId="1" xfId="0" applyFont="1" applyFill="1" applyBorder="1"/>
    <xf numFmtId="0" fontId="19" fillId="0" borderId="1" xfId="0" applyFont="1" applyBorder="1"/>
    <xf numFmtId="0" fontId="22" fillId="0" borderId="1" xfId="0" applyFont="1" applyBorder="1"/>
    <xf numFmtId="0" fontId="23" fillId="10" borderId="1" xfId="0" applyFont="1" applyFill="1" applyBorder="1" applyAlignment="1">
      <alignment horizontal="center" vertical="center" wrapText="1"/>
    </xf>
    <xf numFmtId="0" fontId="21" fillId="0" borderId="1" xfId="0" applyFont="1" applyBorder="1"/>
    <xf numFmtId="0" fontId="22" fillId="13" borderId="1" xfId="0" applyFont="1" applyFill="1" applyBorder="1"/>
    <xf numFmtId="0" fontId="22" fillId="11" borderId="1" xfId="0" applyFont="1" applyFill="1" applyBorder="1" applyAlignment="1">
      <alignment horizontal="center" vertical="center"/>
    </xf>
    <xf numFmtId="0" fontId="23" fillId="10" borderId="1" xfId="0" applyFont="1" applyFill="1" applyBorder="1" applyAlignment="1">
      <alignment horizontal="center" vertical="center"/>
    </xf>
    <xf numFmtId="0" fontId="19" fillId="0" borderId="1" xfId="0" applyFont="1" applyBorder="1" applyAlignment="1">
      <alignment horizontal="left" vertical="center" wrapText="1"/>
    </xf>
    <xf numFmtId="0" fontId="19" fillId="0" borderId="1" xfId="0" applyFont="1" applyBorder="1" applyAlignment="1">
      <alignment wrapText="1"/>
    </xf>
    <xf numFmtId="0" fontId="25" fillId="15" borderId="1" xfId="0" applyFont="1" applyFill="1" applyBorder="1" applyAlignment="1">
      <alignment horizontal="center"/>
    </xf>
    <xf numFmtId="0" fontId="25" fillId="16" borderId="1" xfId="0" applyFont="1" applyFill="1" applyBorder="1" applyAlignment="1">
      <alignment horizontal="center"/>
    </xf>
    <xf numFmtId="0" fontId="25" fillId="17" borderId="1" xfId="0" applyFont="1" applyFill="1" applyBorder="1" applyAlignment="1">
      <alignment horizontal="center"/>
    </xf>
    <xf numFmtId="0" fontId="19" fillId="0" borderId="1" xfId="0" applyFont="1" applyBorder="1" applyAlignment="1">
      <alignment vertical="top" wrapText="1"/>
    </xf>
    <xf numFmtId="0" fontId="19" fillId="0" borderId="1" xfId="0" applyFont="1" applyBorder="1" applyAlignment="1">
      <alignment horizontal="center"/>
    </xf>
    <xf numFmtId="0" fontId="18" fillId="0" borderId="1" xfId="0" applyFont="1" applyBorder="1"/>
    <xf numFmtId="0" fontId="19" fillId="0" borderId="1" xfId="0" applyFont="1" applyBorder="1" applyAlignment="1">
      <alignment horizontal="right"/>
    </xf>
    <xf numFmtId="0" fontId="23" fillId="16" borderId="1" xfId="0" applyFont="1" applyFill="1" applyBorder="1"/>
    <xf numFmtId="0" fontId="23" fillId="16" borderId="1" xfId="0" applyFont="1" applyFill="1" applyBorder="1" applyAlignment="1">
      <alignment horizontal="right"/>
    </xf>
    <xf numFmtId="0" fontId="23" fillId="16" borderId="1" xfId="0" applyFont="1" applyFill="1" applyBorder="1" applyAlignment="1">
      <alignment wrapText="1"/>
    </xf>
    <xf numFmtId="0" fontId="19" fillId="0" borderId="1" xfId="0" applyFont="1" applyBorder="1" applyAlignment="1">
      <alignment vertical="center" wrapText="1"/>
    </xf>
    <xf numFmtId="0" fontId="25" fillId="16" borderId="1" xfId="0" applyFont="1" applyFill="1" applyBorder="1" applyAlignment="1">
      <alignment horizontal="center" vertical="center"/>
    </xf>
    <xf numFmtId="0" fontId="25" fillId="17" borderId="1" xfId="0" applyFont="1" applyFill="1" applyBorder="1" applyAlignment="1">
      <alignment horizontal="center" vertical="center"/>
    </xf>
    <xf numFmtId="0" fontId="19" fillId="0" borderId="1" xfId="0" applyFont="1" applyBorder="1" applyAlignment="1">
      <alignment horizontal="center" vertical="center"/>
    </xf>
    <xf numFmtId="0" fontId="19" fillId="0" borderId="1" xfId="0" applyFont="1" applyBorder="1" applyAlignment="1">
      <alignment horizontal="left" vertical="center"/>
    </xf>
    <xf numFmtId="0" fontId="18" fillId="0" borderId="1" xfId="0" applyFont="1" applyBorder="1" applyAlignment="1">
      <alignment horizontal="center"/>
    </xf>
    <xf numFmtId="0" fontId="18" fillId="0" borderId="1" xfId="0" applyFont="1" applyBorder="1" applyAlignment="1">
      <alignment horizontal="right" vertical="center"/>
    </xf>
    <xf numFmtId="0" fontId="22" fillId="17" borderId="1" xfId="0" applyFont="1" applyFill="1" applyBorder="1"/>
    <xf numFmtId="0" fontId="18" fillId="0" borderId="1" xfId="0" applyFont="1" applyBorder="1" applyAlignment="1">
      <alignment horizontal="right"/>
    </xf>
    <xf numFmtId="0" fontId="26" fillId="15" borderId="1" xfId="0" applyFont="1" applyFill="1" applyBorder="1"/>
    <xf numFmtId="0" fontId="25" fillId="18" borderId="1" xfId="0" applyFont="1" applyFill="1" applyBorder="1" applyAlignment="1">
      <alignment horizontal="center"/>
    </xf>
    <xf numFmtId="0" fontId="25" fillId="13" borderId="1" xfId="0" applyFont="1" applyFill="1" applyBorder="1" applyAlignment="1">
      <alignment horizontal="center"/>
    </xf>
    <xf numFmtId="0" fontId="29" fillId="0" borderId="1" xfId="0" applyFont="1" applyBorder="1"/>
    <xf numFmtId="14" fontId="0" fillId="0" borderId="1" xfId="0" applyNumberFormat="1" applyBorder="1"/>
    <xf numFmtId="0" fontId="29" fillId="20" borderId="1" xfId="0" applyFont="1" applyFill="1" applyBorder="1"/>
    <xf numFmtId="0" fontId="29" fillId="20" borderId="1" xfId="0" applyFont="1" applyFill="1" applyBorder="1" applyAlignment="1">
      <alignment horizontal="center" vertical="center" wrapText="1"/>
    </xf>
    <xf numFmtId="0" fontId="29" fillId="20" borderId="1" xfId="0" applyFont="1" applyFill="1" applyBorder="1" applyAlignment="1">
      <alignment horizontal="center" vertical="center"/>
    </xf>
    <xf numFmtId="0" fontId="15" fillId="15" borderId="1" xfId="0" applyFont="1" applyFill="1" applyBorder="1"/>
    <xf numFmtId="0" fontId="29" fillId="21" borderId="1" xfId="0" applyFont="1" applyFill="1" applyBorder="1"/>
    <xf numFmtId="0" fontId="29" fillId="18" borderId="1" xfId="0" applyFont="1" applyFill="1" applyBorder="1"/>
    <xf numFmtId="0" fontId="29" fillId="12" borderId="1" xfId="0" applyFont="1" applyFill="1" applyBorder="1"/>
    <xf numFmtId="0" fontId="41" fillId="24" borderId="1" xfId="0" applyFont="1" applyFill="1" applyBorder="1"/>
    <xf numFmtId="22" fontId="0" fillId="0" borderId="1" xfId="0" applyNumberFormat="1" applyBorder="1"/>
    <xf numFmtId="0" fontId="13" fillId="0" borderId="3" xfId="0" applyFont="1" applyBorder="1" applyAlignment="1">
      <alignment horizontal="left" vertical="center" wrapText="1"/>
    </xf>
    <xf numFmtId="0" fontId="13" fillId="9" borderId="3" xfId="0" applyFont="1" applyFill="1" applyBorder="1" applyAlignment="1">
      <alignment horizontal="left" vertical="center" wrapText="1"/>
    </xf>
    <xf numFmtId="0" fontId="13" fillId="0" borderId="2" xfId="0" applyFont="1" applyBorder="1" applyAlignment="1">
      <alignment horizontal="left" vertical="center" wrapText="1"/>
    </xf>
    <xf numFmtId="0" fontId="13" fillId="0" borderId="6" xfId="0" applyFont="1" applyBorder="1" applyAlignment="1">
      <alignment horizontal="left" vertical="center" wrapText="1"/>
    </xf>
    <xf numFmtId="0" fontId="14" fillId="8" borderId="4" xfId="0" applyFont="1" applyFill="1" applyBorder="1" applyAlignment="1">
      <alignment horizontal="center" vertical="center" wrapText="1"/>
    </xf>
    <xf numFmtId="0" fontId="14" fillId="8" borderId="5" xfId="0" applyFont="1" applyFill="1" applyBorder="1" applyAlignment="1">
      <alignment horizontal="center" vertical="center" wrapText="1"/>
    </xf>
    <xf numFmtId="0" fontId="14" fillId="8" borderId="9" xfId="0" applyFont="1" applyFill="1" applyBorder="1" applyAlignment="1">
      <alignment horizontal="center" vertical="center" wrapText="1"/>
    </xf>
    <xf numFmtId="0" fontId="13" fillId="0" borderId="7" xfId="0" applyFont="1" applyBorder="1" applyAlignment="1">
      <alignment horizontal="left" vertical="center" wrapText="1"/>
    </xf>
    <xf numFmtId="0" fontId="13" fillId="0" borderId="8" xfId="0" applyFont="1" applyBorder="1" applyAlignment="1">
      <alignment horizontal="left" vertical="center" wrapText="1"/>
    </xf>
    <xf numFmtId="0" fontId="36" fillId="23" borderId="0" xfId="0" applyFont="1" applyFill="1" applyAlignment="1">
      <alignment horizontal="center" vertical="center"/>
    </xf>
    <xf numFmtId="0" fontId="0" fillId="0" borderId="0" xfId="0"/>
    <xf numFmtId="0" fontId="39" fillId="24" borderId="0" xfId="0" applyFont="1" applyFill="1" applyAlignment="1">
      <alignment horizontal="left" vertical="center"/>
    </xf>
    <xf numFmtId="0" fontId="37" fillId="0" borderId="0" xfId="0" applyFont="1" applyAlignment="1">
      <alignment horizontal="center"/>
    </xf>
    <xf numFmtId="0" fontId="24" fillId="0" borderId="0" xfId="0" applyFont="1" applyAlignment="1">
      <alignment horizontal="left" vertical="center"/>
    </xf>
    <xf numFmtId="0" fontId="39" fillId="25" borderId="0" xfId="0" applyFont="1" applyFill="1" applyAlignment="1">
      <alignment horizontal="left" vertical="center"/>
    </xf>
    <xf numFmtId="0" fontId="39" fillId="26" borderId="0" xfId="0" applyFont="1" applyFill="1" applyAlignment="1">
      <alignment horizontal="left" vertical="center"/>
    </xf>
    <xf numFmtId="0" fontId="39" fillId="27" borderId="0" xfId="0" applyFont="1" applyFill="1" applyAlignment="1">
      <alignment horizontal="left" vertical="center"/>
    </xf>
    <xf numFmtId="0" fontId="38" fillId="24" borderId="0" xfId="0" applyFont="1" applyFill="1" applyAlignment="1">
      <alignment horizontal="center" vertical="center"/>
    </xf>
    <xf numFmtId="0" fontId="43" fillId="27" borderId="0" xfId="0" applyFont="1" applyFill="1" applyAlignment="1">
      <alignment horizontal="left" vertical="center"/>
    </xf>
    <xf numFmtId="0" fontId="42" fillId="24" borderId="0" xfId="0" applyFont="1" applyFill="1" applyAlignment="1">
      <alignment horizontal="center" vertical="center"/>
    </xf>
    <xf numFmtId="0" fontId="0" fillId="0" borderId="0" xfId="0" applyAlignment="1">
      <alignment horizontal="center"/>
    </xf>
    <xf numFmtId="0" fontId="1" fillId="2" borderId="7" xfId="0" applyFont="1" applyFill="1" applyBorder="1" applyAlignment="1">
      <alignment horizontal="center" vertical="center"/>
    </xf>
    <xf numFmtId="0" fontId="0" fillId="0" borderId="1" xfId="0" applyBorder="1"/>
    <xf numFmtId="0" fontId="0" fillId="0" borderId="2" xfId="0" applyBorder="1"/>
    <xf numFmtId="0" fontId="4" fillId="0" borderId="1" xfId="0" applyFont="1" applyBorder="1" applyAlignment="1">
      <alignment horizontal="left" vertical="center"/>
    </xf>
    <xf numFmtId="0" fontId="7" fillId="0" borderId="1" xfId="0" applyFont="1" applyBorder="1"/>
    <xf numFmtId="0" fontId="2" fillId="3" borderId="8" xfId="0" applyFont="1" applyFill="1" applyBorder="1" applyAlignment="1">
      <alignment horizontal="center" vertical="center"/>
    </xf>
    <xf numFmtId="0" fontId="0" fillId="0" borderId="3" xfId="0" applyBorder="1"/>
    <xf numFmtId="0" fontId="0" fillId="0" borderId="6" xfId="0" applyBorder="1"/>
    <xf numFmtId="0" fontId="8" fillId="0" borderId="0" xfId="0" applyFont="1" applyAlignment="1">
      <alignment horizontal="center"/>
    </xf>
    <xf numFmtId="0" fontId="5" fillId="5" borderId="1" xfId="0" applyFont="1" applyFill="1" applyBorder="1" applyAlignment="1">
      <alignment horizontal="center" vertical="center"/>
    </xf>
    <xf numFmtId="0" fontId="11" fillId="4" borderId="1" xfId="0" applyFont="1" applyFill="1" applyBorder="1" applyAlignment="1">
      <alignment horizontal="left" vertical="center" indent="1"/>
    </xf>
    <xf numFmtId="0" fontId="4" fillId="0" borderId="1" xfId="0" applyFont="1" applyBorder="1" applyAlignment="1">
      <alignment horizontal="left" vertical="top" wrapText="1" indent="2"/>
    </xf>
    <xf numFmtId="0" fontId="10" fillId="5" borderId="1" xfId="0" applyFont="1" applyFill="1" applyBorder="1" applyAlignment="1">
      <alignment horizontal="left" vertical="center" indent="1"/>
    </xf>
    <xf numFmtId="0" fontId="10" fillId="7" borderId="10" xfId="0" applyFont="1" applyFill="1" applyBorder="1" applyAlignment="1">
      <alignment horizontal="center" vertical="center"/>
    </xf>
    <xf numFmtId="0" fontId="0" fillId="0" borderId="11" xfId="0" applyBorder="1"/>
    <xf numFmtId="0" fontId="0" fillId="0" borderId="12" xfId="0" applyBorder="1"/>
    <xf numFmtId="0" fontId="13" fillId="0" borderId="1" xfId="0" applyFont="1" applyBorder="1"/>
    <xf numFmtId="0" fontId="11" fillId="4" borderId="1" xfId="0" applyFont="1" applyFill="1" applyBorder="1"/>
    <xf numFmtId="0" fontId="16" fillId="0" borderId="1" xfId="0" applyFont="1" applyBorder="1"/>
    <xf numFmtId="0" fontId="13" fillId="0" borderId="1" xfId="0" applyFont="1" applyBorder="1" applyAlignment="1">
      <alignment wrapText="1"/>
    </xf>
    <xf numFmtId="0" fontId="15" fillId="5" borderId="1" xfId="0" applyFont="1" applyFill="1" applyBorder="1"/>
    <xf numFmtId="0" fontId="16" fillId="0" borderId="1" xfId="0" applyFont="1" applyBorder="1" applyAlignment="1">
      <alignment horizontal="left" vertical="center" indent="1"/>
    </xf>
    <xf numFmtId="0" fontId="15" fillId="8" borderId="1" xfId="0" applyFont="1" applyFill="1" applyBorder="1"/>
    <xf numFmtId="0" fontId="20" fillId="12" borderId="1" xfId="0" applyFont="1" applyFill="1" applyBorder="1" applyAlignment="1">
      <alignment horizontal="center" vertical="center"/>
    </xf>
    <xf numFmtId="0" fontId="19" fillId="0" borderId="1" xfId="0" applyFont="1" applyBorder="1"/>
    <xf numFmtId="0" fontId="21" fillId="0" borderId="1" xfId="0" applyFont="1" applyBorder="1" applyAlignment="1">
      <alignment horizontal="right"/>
    </xf>
    <xf numFmtId="0" fontId="21" fillId="0" borderId="1" xfId="0" applyFont="1" applyBorder="1"/>
    <xf numFmtId="0" fontId="21" fillId="0" borderId="1" xfId="0" applyFont="1" applyBorder="1" applyAlignment="1">
      <alignment horizontal="left" vertical="center" wrapText="1"/>
    </xf>
    <xf numFmtId="0" fontId="17" fillId="10" borderId="1" xfId="0" applyFont="1" applyFill="1" applyBorder="1" applyAlignment="1">
      <alignment horizontal="center" vertical="center"/>
    </xf>
    <xf numFmtId="0" fontId="21" fillId="0" borderId="1" xfId="0" applyFont="1" applyBorder="1" applyAlignment="1">
      <alignment horizontal="left" wrapText="1"/>
    </xf>
    <xf numFmtId="0" fontId="22" fillId="13" borderId="1" xfId="0" applyFont="1" applyFill="1" applyBorder="1" applyAlignment="1">
      <alignment horizontal="right"/>
    </xf>
    <xf numFmtId="0" fontId="20" fillId="12" borderId="1" xfId="0" applyFont="1" applyFill="1" applyBorder="1"/>
    <xf numFmtId="0" fontId="19" fillId="0" borderId="1" xfId="0" applyFont="1" applyBorder="1" applyAlignment="1">
      <alignment vertical="top" wrapText="1"/>
    </xf>
    <xf numFmtId="0" fontId="24" fillId="14" borderId="1" xfId="0" applyFont="1" applyFill="1" applyBorder="1" applyAlignment="1">
      <alignment vertical="top" wrapText="1"/>
    </xf>
    <xf numFmtId="0" fontId="21" fillId="0" borderId="1" xfId="0" applyFont="1" applyBorder="1" applyAlignment="1">
      <alignment wrapText="1"/>
    </xf>
    <xf numFmtId="0" fontId="19" fillId="0" borderId="1" xfId="0" applyFont="1" applyBorder="1" applyAlignment="1">
      <alignment wrapText="1"/>
    </xf>
    <xf numFmtId="0" fontId="26" fillId="13" borderId="1" xfId="0" applyFont="1" applyFill="1" applyBorder="1"/>
    <xf numFmtId="0" fontId="26" fillId="15" borderId="1" xfId="0" applyFont="1" applyFill="1" applyBorder="1"/>
    <xf numFmtId="0" fontId="21" fillId="0" borderId="1" xfId="0" applyFont="1" applyBorder="1" applyAlignment="1">
      <alignment vertical="center" wrapText="1"/>
    </xf>
    <xf numFmtId="0" fontId="28" fillId="0" borderId="1" xfId="0" applyFont="1" applyBorder="1"/>
    <xf numFmtId="0" fontId="27" fillId="0" borderId="1" xfId="0" applyFont="1" applyBorder="1"/>
    <xf numFmtId="0" fontId="30" fillId="0" borderId="1" xfId="0" applyFont="1" applyBorder="1"/>
    <xf numFmtId="0" fontId="31" fillId="0" borderId="1" xfId="0" applyFont="1" applyBorder="1"/>
    <xf numFmtId="0" fontId="32" fillId="0" borderId="1" xfId="0" applyFont="1" applyBorder="1"/>
    <xf numFmtId="0" fontId="15" fillId="22" borderId="1" xfId="0" applyFont="1" applyFill="1" applyBorder="1" applyAlignment="1">
      <alignment horizontal="center"/>
    </xf>
    <xf numFmtId="0" fontId="35" fillId="0" borderId="1" xfId="0" applyFont="1" applyBorder="1"/>
    <xf numFmtId="0" fontId="40" fillId="23" borderId="1" xfId="0" applyFont="1" applyFill="1" applyBorder="1"/>
    <xf numFmtId="0" fontId="0" fillId="0" borderId="4" xfId="0" applyBorder="1"/>
    <xf numFmtId="0" fontId="5" fillId="5" borderId="4" xfId="0" applyFont="1" applyFill="1" applyBorder="1" applyAlignment="1">
      <alignment horizontal="center" vertical="center"/>
    </xf>
    <xf numFmtId="0" fontId="0" fillId="0" borderId="0" xfId="0" applyBorder="1"/>
    <xf numFmtId="0" fontId="1" fillId="2" borderId="0" xfId="0" applyFont="1" applyFill="1" applyBorder="1" applyAlignment="1">
      <alignment horizontal="center" vertical="center"/>
    </xf>
    <xf numFmtId="0" fontId="0" fillId="0" borderId="0" xfId="0" applyBorder="1"/>
    <xf numFmtId="0" fontId="2" fillId="3" borderId="0" xfId="0" applyFont="1" applyFill="1" applyBorder="1" applyAlignment="1">
      <alignment horizontal="center" vertical="center"/>
    </xf>
    <xf numFmtId="0" fontId="8" fillId="0" borderId="0" xfId="0" applyFont="1" applyBorder="1" applyAlignment="1">
      <alignment horizontal="center"/>
    </xf>
    <xf numFmtId="0" fontId="17" fillId="10" borderId="0" xfId="0" applyFont="1" applyFill="1" applyBorder="1" applyAlignment="1">
      <alignment horizontal="center" vertical="center"/>
    </xf>
    <xf numFmtId="0" fontId="18" fillId="11" borderId="0" xfId="0" applyFont="1" applyFill="1" applyBorder="1"/>
    <xf numFmtId="0" fontId="19" fillId="0" borderId="0" xfId="0" applyFont="1" applyBorder="1"/>
    <xf numFmtId="0" fontId="20" fillId="12" borderId="0" xfId="0" applyFont="1" applyFill="1" applyBorder="1"/>
    <xf numFmtId="0" fontId="23" fillId="10" borderId="0" xfId="0" applyFont="1" applyFill="1" applyBorder="1" applyAlignment="1">
      <alignment horizontal="center" vertical="center" wrapText="1"/>
    </xf>
    <xf numFmtId="0" fontId="19" fillId="0" borderId="0" xfId="0" applyFont="1" applyBorder="1" applyAlignment="1">
      <alignment horizontal="left" vertical="top" wrapText="1"/>
    </xf>
    <xf numFmtId="0" fontId="22" fillId="11" borderId="0" xfId="0" applyFont="1" applyFill="1" applyBorder="1" applyAlignment="1">
      <alignment horizontal="center" vertical="center"/>
    </xf>
    <xf numFmtId="0" fontId="19" fillId="0" borderId="0" xfId="0" applyFont="1" applyBorder="1" applyAlignment="1">
      <alignment horizontal="left" vertical="top" wrapText="1"/>
    </xf>
    <xf numFmtId="0" fontId="24" fillId="14" borderId="0" xfId="0" applyFont="1" applyFill="1" applyBorder="1" applyAlignment="1">
      <alignment horizontal="left" vertical="top" wrapText="1"/>
    </xf>
    <xf numFmtId="0" fontId="23" fillId="15" borderId="0" xfId="0" applyFont="1" applyFill="1" applyBorder="1" applyAlignment="1">
      <alignment horizontal="center" vertical="center"/>
    </xf>
    <xf numFmtId="0" fontId="23" fillId="16" borderId="0" xfId="0" applyFont="1" applyFill="1" applyBorder="1" applyAlignment="1">
      <alignment horizontal="center" vertical="center"/>
    </xf>
    <xf numFmtId="0" fontId="23" fillId="17" borderId="0" xfId="0" applyFont="1" applyFill="1" applyBorder="1" applyAlignment="1">
      <alignment horizontal="center" vertical="center"/>
    </xf>
    <xf numFmtId="0" fontId="23" fillId="18" borderId="0" xfId="0" applyFont="1" applyFill="1" applyBorder="1" applyAlignment="1">
      <alignment horizontal="center" vertical="center"/>
    </xf>
    <xf numFmtId="0" fontId="23" fillId="10" borderId="0" xfId="0" applyFont="1" applyFill="1" applyBorder="1" applyAlignment="1">
      <alignment horizontal="center" vertical="center"/>
    </xf>
    <xf numFmtId="0" fontId="19" fillId="0" borderId="0" xfId="0" applyFont="1" applyBorder="1" applyAlignment="1">
      <alignment horizontal="left" vertical="center" wrapText="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9525</xdr:rowOff>
        </xdr:from>
        <xdr:to>
          <xdr:col>4</xdr:col>
          <xdr:colOff>0</xdr:colOff>
          <xdr:row>6</xdr:row>
          <xdr:rowOff>0</xdr:rowOff>
        </xdr:to>
        <xdr:sp macro="" textlink="">
          <xdr:nvSpPr>
            <xdr:cNvPr id="1243" name="Button 219" hidden="1">
              <a:extLst>
                <a:ext uri="{63B3BB69-23CF-44E3-9099-C40C66FF867C}">
                  <a14:compatExt spid="_x0000_s1243"/>
                </a:ext>
                <a:ext uri="{FF2B5EF4-FFF2-40B4-BE49-F238E27FC236}">
                  <a16:creationId xmlns:a16="http://schemas.microsoft.com/office/drawing/2014/main" id="{00000000-0008-0000-0000-0000D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ea typeface="Calibri"/>
                  <a:cs typeface="Calibri"/>
                </a:rPr>
                <a:t>Ingresar Nuevo Activo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6</xdr:row>
          <xdr:rowOff>19050</xdr:rowOff>
        </xdr:from>
        <xdr:to>
          <xdr:col>4</xdr:col>
          <xdr:colOff>0</xdr:colOff>
          <xdr:row>6</xdr:row>
          <xdr:rowOff>371475</xdr:rowOff>
        </xdr:to>
        <xdr:sp macro="" textlink="">
          <xdr:nvSpPr>
            <xdr:cNvPr id="1244" name="Button 220" hidden="1">
              <a:extLst>
                <a:ext uri="{63B3BB69-23CF-44E3-9099-C40C66FF867C}">
                  <a14:compatExt spid="_x0000_s1244"/>
                </a:ext>
                <a:ext uri="{FF2B5EF4-FFF2-40B4-BE49-F238E27FC236}">
                  <a16:creationId xmlns:a16="http://schemas.microsoft.com/office/drawing/2014/main" id="{00000000-0008-0000-0000-0000D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ea typeface="Calibri"/>
                  <a:cs typeface="Calibri"/>
                </a:rPr>
                <a:t>Ingresar Nueva Categoría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7</xdr:row>
          <xdr:rowOff>9525</xdr:rowOff>
        </xdr:from>
        <xdr:to>
          <xdr:col>3</xdr:col>
          <xdr:colOff>2990850</xdr:colOff>
          <xdr:row>7</xdr:row>
          <xdr:rowOff>361950</xdr:rowOff>
        </xdr:to>
        <xdr:sp macro="" textlink="">
          <xdr:nvSpPr>
            <xdr:cNvPr id="1245" name="Button 221" hidden="1">
              <a:extLst>
                <a:ext uri="{63B3BB69-23CF-44E3-9099-C40C66FF867C}">
                  <a14:compatExt spid="_x0000_s1245"/>
                </a:ext>
                <a:ext uri="{FF2B5EF4-FFF2-40B4-BE49-F238E27FC236}">
                  <a16:creationId xmlns:a16="http://schemas.microsoft.com/office/drawing/2014/main" id="{00000000-0008-0000-0000-0000D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ea typeface="Calibri"/>
                  <a:cs typeface="Calibri"/>
                </a:rPr>
                <a:t>Ingresar Nueva Subcategoría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8</xdr:row>
          <xdr:rowOff>0</xdr:rowOff>
        </xdr:from>
        <xdr:to>
          <xdr:col>3</xdr:col>
          <xdr:colOff>2990850</xdr:colOff>
          <xdr:row>9</xdr:row>
          <xdr:rowOff>9525</xdr:rowOff>
        </xdr:to>
        <xdr:sp macro="" textlink="">
          <xdr:nvSpPr>
            <xdr:cNvPr id="1246" name="Button 222" hidden="1">
              <a:extLst>
                <a:ext uri="{63B3BB69-23CF-44E3-9099-C40C66FF867C}">
                  <a14:compatExt spid="_x0000_s1246"/>
                </a:ext>
                <a:ext uri="{FF2B5EF4-FFF2-40B4-BE49-F238E27FC236}">
                  <a16:creationId xmlns:a16="http://schemas.microsoft.com/office/drawing/2014/main" id="{00000000-0008-0000-0000-0000D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ea typeface="Calibri"/>
                  <a:cs typeface="Calibri"/>
                </a:rPr>
                <a:t>Ingresar Nueva Área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9</xdr:row>
          <xdr:rowOff>28575</xdr:rowOff>
        </xdr:from>
        <xdr:to>
          <xdr:col>3</xdr:col>
          <xdr:colOff>2990850</xdr:colOff>
          <xdr:row>10</xdr:row>
          <xdr:rowOff>9525</xdr:rowOff>
        </xdr:to>
        <xdr:sp macro="" textlink="">
          <xdr:nvSpPr>
            <xdr:cNvPr id="1247" name="Button 223" hidden="1">
              <a:extLst>
                <a:ext uri="{63B3BB69-23CF-44E3-9099-C40C66FF867C}">
                  <a14:compatExt spid="_x0000_s1247"/>
                </a:ext>
                <a:ext uri="{FF2B5EF4-FFF2-40B4-BE49-F238E27FC236}">
                  <a16:creationId xmlns:a16="http://schemas.microsoft.com/office/drawing/2014/main" id="{00000000-0008-0000-0000-0000D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ea typeface="Calibri"/>
                  <a:cs typeface="Calibri"/>
                </a:rPr>
                <a:t>Ingresar Nueva Ubicación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10</xdr:row>
          <xdr:rowOff>19050</xdr:rowOff>
        </xdr:from>
        <xdr:to>
          <xdr:col>3</xdr:col>
          <xdr:colOff>2990850</xdr:colOff>
          <xdr:row>11</xdr:row>
          <xdr:rowOff>9525</xdr:rowOff>
        </xdr:to>
        <xdr:sp macro="" textlink="">
          <xdr:nvSpPr>
            <xdr:cNvPr id="1248" name="Button 224" hidden="1">
              <a:extLst>
                <a:ext uri="{63B3BB69-23CF-44E3-9099-C40C66FF867C}">
                  <a14:compatExt spid="_x0000_s1248"/>
                </a:ext>
                <a:ext uri="{FF2B5EF4-FFF2-40B4-BE49-F238E27FC236}">
                  <a16:creationId xmlns:a16="http://schemas.microsoft.com/office/drawing/2014/main" id="{00000000-0008-0000-0000-0000E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ea typeface="Calibri"/>
                  <a:cs typeface="Calibri"/>
                </a:rPr>
                <a:t>Ingresar Nueva Clase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11</xdr:row>
          <xdr:rowOff>19050</xdr:rowOff>
        </xdr:from>
        <xdr:to>
          <xdr:col>3</xdr:col>
          <xdr:colOff>2990850</xdr:colOff>
          <xdr:row>12</xdr:row>
          <xdr:rowOff>9525</xdr:rowOff>
        </xdr:to>
        <xdr:sp macro="" textlink="">
          <xdr:nvSpPr>
            <xdr:cNvPr id="1249" name="Button 225" hidden="1">
              <a:extLst>
                <a:ext uri="{63B3BB69-23CF-44E3-9099-C40C66FF867C}">
                  <a14:compatExt spid="_x0000_s1249"/>
                </a:ext>
                <a:ext uri="{FF2B5EF4-FFF2-40B4-BE49-F238E27FC236}">
                  <a16:creationId xmlns:a16="http://schemas.microsoft.com/office/drawing/2014/main" id="{00000000-0008-0000-0000-0000E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ea typeface="Calibri"/>
                  <a:cs typeface="Calibri"/>
                </a:rPr>
                <a:t>Ingresar Nueva Subclase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14</xdr:row>
          <xdr:rowOff>9525</xdr:rowOff>
        </xdr:from>
        <xdr:to>
          <xdr:col>3</xdr:col>
          <xdr:colOff>2990850</xdr:colOff>
          <xdr:row>14</xdr:row>
          <xdr:rowOff>371475</xdr:rowOff>
        </xdr:to>
        <xdr:sp macro="" textlink="">
          <xdr:nvSpPr>
            <xdr:cNvPr id="1250" name="Button 226" hidden="1">
              <a:extLst>
                <a:ext uri="{63B3BB69-23CF-44E3-9099-C40C66FF867C}">
                  <a14:compatExt spid="_x0000_s1250"/>
                </a:ext>
                <a:ext uri="{FF2B5EF4-FFF2-40B4-BE49-F238E27FC236}">
                  <a16:creationId xmlns:a16="http://schemas.microsoft.com/office/drawing/2014/main" id="{00000000-0008-0000-0000-0000E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ea typeface="Calibri"/>
                  <a:cs typeface="Calibri"/>
                </a:rPr>
                <a:t>Ingresar Nuevo Riesgo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15</xdr:row>
          <xdr:rowOff>0</xdr:rowOff>
        </xdr:from>
        <xdr:to>
          <xdr:col>3</xdr:col>
          <xdr:colOff>2990850</xdr:colOff>
          <xdr:row>15</xdr:row>
          <xdr:rowOff>371475</xdr:rowOff>
        </xdr:to>
        <xdr:sp macro="" textlink="">
          <xdr:nvSpPr>
            <xdr:cNvPr id="1251" name="Button 227" hidden="1">
              <a:extLst>
                <a:ext uri="{63B3BB69-23CF-44E3-9099-C40C66FF867C}">
                  <a14:compatExt spid="_x0000_s1251"/>
                </a:ext>
                <a:ext uri="{FF2B5EF4-FFF2-40B4-BE49-F238E27FC236}">
                  <a16:creationId xmlns:a16="http://schemas.microsoft.com/office/drawing/2014/main" id="{00000000-0008-0000-0000-0000E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ea typeface="Calibri"/>
                  <a:cs typeface="Calibri"/>
                </a:rPr>
                <a:t>Calcular Riesgo Inherente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16</xdr:row>
          <xdr:rowOff>9525</xdr:rowOff>
        </xdr:from>
        <xdr:to>
          <xdr:col>3</xdr:col>
          <xdr:colOff>2990850</xdr:colOff>
          <xdr:row>16</xdr:row>
          <xdr:rowOff>371475</xdr:rowOff>
        </xdr:to>
        <xdr:sp macro="" textlink="">
          <xdr:nvSpPr>
            <xdr:cNvPr id="1252" name="Button 228" hidden="1">
              <a:extLst>
                <a:ext uri="{63B3BB69-23CF-44E3-9099-C40C66FF867C}">
                  <a14:compatExt spid="_x0000_s1252"/>
                </a:ext>
                <a:ext uri="{FF2B5EF4-FFF2-40B4-BE49-F238E27FC236}">
                  <a16:creationId xmlns:a16="http://schemas.microsoft.com/office/drawing/2014/main" id="{00000000-0008-0000-0000-0000E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ea typeface="Calibri"/>
                  <a:cs typeface="Calibri"/>
                </a:rPr>
                <a:t>Calcular Riesgo Residual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17</xdr:row>
          <xdr:rowOff>0</xdr:rowOff>
        </xdr:from>
        <xdr:to>
          <xdr:col>3</xdr:col>
          <xdr:colOff>2990850</xdr:colOff>
          <xdr:row>17</xdr:row>
          <xdr:rowOff>361950</xdr:rowOff>
        </xdr:to>
        <xdr:sp macro="" textlink="">
          <xdr:nvSpPr>
            <xdr:cNvPr id="1253" name="Button 229" hidden="1">
              <a:extLst>
                <a:ext uri="{63B3BB69-23CF-44E3-9099-C40C66FF867C}">
                  <a14:compatExt spid="_x0000_s1253"/>
                </a:ext>
                <a:ext uri="{FF2B5EF4-FFF2-40B4-BE49-F238E27FC236}">
                  <a16:creationId xmlns:a16="http://schemas.microsoft.com/office/drawing/2014/main" id="{00000000-0008-0000-0000-0000E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ea typeface="Calibri"/>
                  <a:cs typeface="Calibri"/>
                </a:rPr>
                <a:t>Colorear Matriz Riesgos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18</xdr:row>
          <xdr:rowOff>0</xdr:rowOff>
        </xdr:from>
        <xdr:to>
          <xdr:col>3</xdr:col>
          <xdr:colOff>2990850</xdr:colOff>
          <xdr:row>18</xdr:row>
          <xdr:rowOff>361950</xdr:rowOff>
        </xdr:to>
        <xdr:sp macro="" textlink="">
          <xdr:nvSpPr>
            <xdr:cNvPr id="1254" name="Button 230" hidden="1">
              <a:extLst>
                <a:ext uri="{63B3BB69-23CF-44E3-9099-C40C66FF867C}">
                  <a14:compatExt spid="_x0000_s1254"/>
                </a:ext>
                <a:ext uri="{FF2B5EF4-FFF2-40B4-BE49-F238E27FC236}">
                  <a16:creationId xmlns:a16="http://schemas.microsoft.com/office/drawing/2014/main" id="{00000000-0008-0000-0000-0000E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ea typeface="Calibri"/>
                  <a:cs typeface="Calibri"/>
                </a:rPr>
                <a:t>Generar Mapa de Calor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21</xdr:row>
          <xdr:rowOff>9525</xdr:rowOff>
        </xdr:from>
        <xdr:to>
          <xdr:col>3</xdr:col>
          <xdr:colOff>2990850</xdr:colOff>
          <xdr:row>21</xdr:row>
          <xdr:rowOff>371475</xdr:rowOff>
        </xdr:to>
        <xdr:sp macro="" textlink="">
          <xdr:nvSpPr>
            <xdr:cNvPr id="1255" name="Button 231" hidden="1">
              <a:extLst>
                <a:ext uri="{63B3BB69-23CF-44E3-9099-C40C66FF867C}">
                  <a14:compatExt spid="_x0000_s1255"/>
                </a:ext>
                <a:ext uri="{FF2B5EF4-FFF2-40B4-BE49-F238E27FC236}">
                  <a16:creationId xmlns:a16="http://schemas.microsoft.com/office/drawing/2014/main" id="{00000000-0008-0000-0000-0000E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ea typeface="Calibri"/>
                  <a:cs typeface="Calibri"/>
                </a:rPr>
                <a:t>Ingresar Nuevo Tratamiento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22</xdr:row>
          <xdr:rowOff>19050</xdr:rowOff>
        </xdr:from>
        <xdr:to>
          <xdr:col>4</xdr:col>
          <xdr:colOff>0</xdr:colOff>
          <xdr:row>22</xdr:row>
          <xdr:rowOff>371475</xdr:rowOff>
        </xdr:to>
        <xdr:sp macro="" textlink="">
          <xdr:nvSpPr>
            <xdr:cNvPr id="1256" name="Button 232" hidden="1">
              <a:extLst>
                <a:ext uri="{63B3BB69-23CF-44E3-9099-C40C66FF867C}">
                  <a14:compatExt spid="_x0000_s1256"/>
                </a:ext>
                <a:ext uri="{FF2B5EF4-FFF2-40B4-BE49-F238E27FC236}">
                  <a16:creationId xmlns:a16="http://schemas.microsoft.com/office/drawing/2014/main" id="{00000000-0008-0000-0000-0000E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ea typeface="Calibri"/>
                  <a:cs typeface="Calibri"/>
                </a:rPr>
                <a:t>Actualizar Estado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23</xdr:row>
          <xdr:rowOff>19050</xdr:rowOff>
        </xdr:from>
        <xdr:to>
          <xdr:col>4</xdr:col>
          <xdr:colOff>0</xdr:colOff>
          <xdr:row>24</xdr:row>
          <xdr:rowOff>0</xdr:rowOff>
        </xdr:to>
        <xdr:sp macro="" textlink="">
          <xdr:nvSpPr>
            <xdr:cNvPr id="1257" name="Button 233" hidden="1">
              <a:extLst>
                <a:ext uri="{63B3BB69-23CF-44E3-9099-C40C66FF867C}">
                  <a14:compatExt spid="_x0000_s1257"/>
                </a:ext>
                <a:ext uri="{FF2B5EF4-FFF2-40B4-BE49-F238E27FC236}">
                  <a16:creationId xmlns:a16="http://schemas.microsoft.com/office/drawing/2014/main" id="{00000000-0008-0000-0000-0000E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ea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26</xdr:row>
          <xdr:rowOff>19050</xdr:rowOff>
        </xdr:from>
        <xdr:to>
          <xdr:col>4</xdr:col>
          <xdr:colOff>0</xdr:colOff>
          <xdr:row>27</xdr:row>
          <xdr:rowOff>0</xdr:rowOff>
        </xdr:to>
        <xdr:sp macro="" textlink="">
          <xdr:nvSpPr>
            <xdr:cNvPr id="1258" name="Button 234" hidden="1">
              <a:extLst>
                <a:ext uri="{63B3BB69-23CF-44E3-9099-C40C66FF867C}">
                  <a14:compatExt spid="_x0000_s1258"/>
                </a:ext>
                <a:ext uri="{FF2B5EF4-FFF2-40B4-BE49-F238E27FC236}">
                  <a16:creationId xmlns:a16="http://schemas.microsoft.com/office/drawing/2014/main" id="{00000000-0008-0000-0000-0000E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ea typeface="Calibri"/>
                  <a:cs typeface="Calibri"/>
                </a:rPr>
                <a:t>Actualizar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27</xdr:row>
          <xdr:rowOff>9525</xdr:rowOff>
        </xdr:from>
        <xdr:to>
          <xdr:col>4</xdr:col>
          <xdr:colOff>0</xdr:colOff>
          <xdr:row>27</xdr:row>
          <xdr:rowOff>371475</xdr:rowOff>
        </xdr:to>
        <xdr:sp macro="" textlink="">
          <xdr:nvSpPr>
            <xdr:cNvPr id="1259" name="Button 235" hidden="1">
              <a:extLst>
                <a:ext uri="{63B3BB69-23CF-44E3-9099-C40C66FF867C}">
                  <a14:compatExt spid="_x0000_s1259"/>
                </a:ext>
                <a:ext uri="{FF2B5EF4-FFF2-40B4-BE49-F238E27FC236}">
                  <a16:creationId xmlns:a16="http://schemas.microsoft.com/office/drawing/2014/main" id="{00000000-0008-0000-0000-0000E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ea typeface="Calibri"/>
                  <a:cs typeface="Calibri"/>
                </a:rPr>
                <a:t>Exportar Reporte Completo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28</xdr:row>
          <xdr:rowOff>9525</xdr:rowOff>
        </xdr:from>
        <xdr:to>
          <xdr:col>3</xdr:col>
          <xdr:colOff>2990850</xdr:colOff>
          <xdr:row>29</xdr:row>
          <xdr:rowOff>0</xdr:rowOff>
        </xdr:to>
        <xdr:sp macro="" textlink="">
          <xdr:nvSpPr>
            <xdr:cNvPr id="1260" name="Button 236" hidden="1">
              <a:extLst>
                <a:ext uri="{63B3BB69-23CF-44E3-9099-C40C66FF867C}">
                  <a14:compatExt spid="_x0000_s1260"/>
                </a:ext>
                <a:ext uri="{FF2B5EF4-FFF2-40B4-BE49-F238E27FC236}">
                  <a16:creationId xmlns:a16="http://schemas.microsoft.com/office/drawing/2014/main" id="{00000000-0008-0000-0000-0000E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ea typeface="Calibri"/>
                  <a:cs typeface="Calibri"/>
                </a:rPr>
                <a:t>Exportar Activos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29</xdr:row>
          <xdr:rowOff>19050</xdr:rowOff>
        </xdr:from>
        <xdr:to>
          <xdr:col>3</xdr:col>
          <xdr:colOff>2990850</xdr:colOff>
          <xdr:row>29</xdr:row>
          <xdr:rowOff>371475</xdr:rowOff>
        </xdr:to>
        <xdr:sp macro="" textlink="">
          <xdr:nvSpPr>
            <xdr:cNvPr id="1261" name="Button 237" hidden="1">
              <a:extLst>
                <a:ext uri="{63B3BB69-23CF-44E3-9099-C40C66FF867C}">
                  <a14:compatExt spid="_x0000_s1261"/>
                </a:ext>
                <a:ext uri="{FF2B5EF4-FFF2-40B4-BE49-F238E27FC236}">
                  <a16:creationId xmlns:a16="http://schemas.microsoft.com/office/drawing/2014/main" id="{00000000-0008-0000-0000-0000E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ea typeface="Calibri"/>
                  <a:cs typeface="Calibri"/>
                </a:rPr>
                <a:t>Validar ISO 27001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32</xdr:row>
          <xdr:rowOff>28575</xdr:rowOff>
        </xdr:from>
        <xdr:to>
          <xdr:col>3</xdr:col>
          <xdr:colOff>2990850</xdr:colOff>
          <xdr:row>33</xdr:row>
          <xdr:rowOff>0</xdr:rowOff>
        </xdr:to>
        <xdr:sp macro="" textlink="">
          <xdr:nvSpPr>
            <xdr:cNvPr id="1262" name="Button 238" hidden="1">
              <a:extLst>
                <a:ext uri="{63B3BB69-23CF-44E3-9099-C40C66FF867C}">
                  <a14:compatExt spid="_x0000_s1262"/>
                </a:ext>
                <a:ext uri="{FF2B5EF4-FFF2-40B4-BE49-F238E27FC236}">
                  <a16:creationId xmlns:a16="http://schemas.microsoft.com/office/drawing/2014/main" id="{00000000-0008-0000-0000-0000E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ea typeface="Calibri"/>
                  <a:cs typeface="Calibri"/>
                </a:rPr>
                <a:t> Info del Sistema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33</xdr:row>
          <xdr:rowOff>0</xdr:rowOff>
        </xdr:from>
        <xdr:to>
          <xdr:col>3</xdr:col>
          <xdr:colOff>2990850</xdr:colOff>
          <xdr:row>34</xdr:row>
          <xdr:rowOff>0</xdr:rowOff>
        </xdr:to>
        <xdr:sp macro="" textlink="">
          <xdr:nvSpPr>
            <xdr:cNvPr id="1263" name="Button 239" hidden="1">
              <a:extLst>
                <a:ext uri="{63B3BB69-23CF-44E3-9099-C40C66FF867C}">
                  <a14:compatExt spid="_x0000_s1263"/>
                </a:ext>
                <a:ext uri="{FF2B5EF4-FFF2-40B4-BE49-F238E27FC236}">
                  <a16:creationId xmlns:a16="http://schemas.microsoft.com/office/drawing/2014/main" id="{00000000-0008-0000-0000-0000E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100" b="0" i="0" u="none" strike="noStrike" baseline="0">
                  <a:solidFill>
                    <a:srgbClr val="000000"/>
                  </a:solidFill>
                  <a:latin typeface="Calibri"/>
                  <a:ea typeface="Calibri"/>
                  <a:cs typeface="Calibri"/>
                </a:rPr>
                <a:t>Validar Excel</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3" Type="http://schemas.openxmlformats.org/officeDocument/2006/relationships/ctrlProp" Target="../ctrlProps/ctrlProp1.xml"/><Relationship Id="rId21" Type="http://schemas.openxmlformats.org/officeDocument/2006/relationships/ctrlProp" Target="../ctrlProps/ctrlProp19.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20" Type="http://schemas.openxmlformats.org/officeDocument/2006/relationships/ctrlProp" Target="../ctrlProps/ctrlProp18.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10" Type="http://schemas.openxmlformats.org/officeDocument/2006/relationships/ctrlProp" Target="../ctrlProps/ctrlProp8.xml"/><Relationship Id="rId19" Type="http://schemas.openxmlformats.org/officeDocument/2006/relationships/ctrlProp" Target="../ctrlProps/ctrlProp17.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H34"/>
  <sheetViews>
    <sheetView topLeftCell="A15" workbookViewId="0">
      <selection activeCell="K19" sqref="K19"/>
    </sheetView>
  </sheetViews>
  <sheetFormatPr baseColWidth="10" defaultColWidth="9.140625" defaultRowHeight="15"/>
  <cols>
    <col min="1" max="1" width="8" customWidth="1"/>
    <col min="2" max="2" width="28" customWidth="1"/>
    <col min="3" max="3" width="8" customWidth="1"/>
    <col min="4" max="4" width="45" customWidth="1"/>
  </cols>
  <sheetData>
    <row r="1" spans="1:8" ht="39.950000000000003" customHeight="1">
      <c r="A1" s="80" t="s">
        <v>0</v>
      </c>
      <c r="B1" s="81"/>
      <c r="C1" s="81"/>
      <c r="D1" s="81"/>
      <c r="E1" s="81"/>
      <c r="F1" s="81"/>
      <c r="G1" s="81"/>
      <c r="H1" s="81"/>
    </row>
    <row r="3" spans="1:8">
      <c r="A3" s="83" t="s">
        <v>1</v>
      </c>
      <c r="B3" s="81"/>
      <c r="C3" s="81"/>
      <c r="D3" s="81"/>
      <c r="E3" s="81"/>
      <c r="F3" s="81"/>
      <c r="G3" s="81"/>
      <c r="H3" s="81"/>
    </row>
    <row r="5" spans="1:8" ht="24.95" customHeight="1">
      <c r="A5" s="88" t="s">
        <v>2</v>
      </c>
      <c r="B5" s="81"/>
      <c r="C5" s="81"/>
      <c r="D5" s="81"/>
    </row>
    <row r="6" spans="1:8" ht="30" customHeight="1">
      <c r="A6" s="82" t="s">
        <v>3</v>
      </c>
      <c r="B6" s="81"/>
      <c r="C6" s="84" t="s">
        <v>4</v>
      </c>
      <c r="D6" s="81"/>
    </row>
    <row r="7" spans="1:8" ht="30" customHeight="1">
      <c r="A7" s="82" t="s">
        <v>5</v>
      </c>
      <c r="B7" s="81"/>
      <c r="C7" s="84" t="s">
        <v>6</v>
      </c>
      <c r="D7" s="81"/>
    </row>
    <row r="8" spans="1:8" ht="30" customHeight="1">
      <c r="A8" s="82" t="s">
        <v>7</v>
      </c>
      <c r="B8" s="81"/>
      <c r="C8" s="84" t="s">
        <v>8</v>
      </c>
      <c r="D8" s="81"/>
    </row>
    <row r="9" spans="1:8" ht="30" customHeight="1">
      <c r="A9" s="82" t="s">
        <v>9</v>
      </c>
      <c r="B9" s="81"/>
      <c r="C9" s="84" t="s">
        <v>10</v>
      </c>
      <c r="D9" s="81"/>
    </row>
    <row r="10" spans="1:8" ht="30" customHeight="1">
      <c r="A10" s="82" t="s">
        <v>11</v>
      </c>
      <c r="B10" s="81"/>
      <c r="C10" s="84" t="s">
        <v>12</v>
      </c>
      <c r="D10" s="81"/>
    </row>
    <row r="11" spans="1:8" ht="30" customHeight="1">
      <c r="A11" s="82" t="s">
        <v>13</v>
      </c>
      <c r="B11" s="81"/>
      <c r="C11" s="84" t="s">
        <v>14</v>
      </c>
      <c r="D11" s="81"/>
    </row>
    <row r="12" spans="1:8" ht="30" customHeight="1">
      <c r="A12" s="82" t="s">
        <v>15</v>
      </c>
      <c r="B12" s="81"/>
      <c r="C12" s="84" t="s">
        <v>16</v>
      </c>
      <c r="D12" s="81"/>
    </row>
    <row r="14" spans="1:8" ht="24.95" customHeight="1">
      <c r="A14" s="88" t="s">
        <v>17</v>
      </c>
      <c r="B14" s="81"/>
      <c r="C14" s="81"/>
      <c r="D14" s="81"/>
    </row>
    <row r="15" spans="1:8" ht="30" customHeight="1">
      <c r="A15" s="85" t="s">
        <v>18</v>
      </c>
      <c r="B15" s="81"/>
      <c r="C15" s="84" t="s">
        <v>19</v>
      </c>
      <c r="D15" s="81"/>
    </row>
    <row r="16" spans="1:8" ht="30" customHeight="1">
      <c r="A16" s="85" t="s">
        <v>20</v>
      </c>
      <c r="B16" s="81"/>
      <c r="C16" s="84" t="s">
        <v>21</v>
      </c>
      <c r="D16" s="81"/>
    </row>
    <row r="17" spans="1:4" ht="30" customHeight="1">
      <c r="A17" s="85" t="s">
        <v>22</v>
      </c>
      <c r="B17" s="81"/>
      <c r="C17" s="84" t="s">
        <v>23</v>
      </c>
      <c r="D17" s="81"/>
    </row>
    <row r="18" spans="1:4" ht="30" customHeight="1">
      <c r="A18" s="85" t="s">
        <v>24</v>
      </c>
      <c r="B18" s="81"/>
      <c r="C18" s="84" t="s">
        <v>25</v>
      </c>
      <c r="D18" s="81"/>
    </row>
    <row r="19" spans="1:4" ht="30" customHeight="1">
      <c r="A19" s="85" t="s">
        <v>26</v>
      </c>
      <c r="B19" s="81"/>
      <c r="C19" s="84" t="s">
        <v>27</v>
      </c>
      <c r="D19" s="81"/>
    </row>
    <row r="21" spans="1:4" ht="24.95" customHeight="1">
      <c r="A21" s="88" t="s">
        <v>28</v>
      </c>
      <c r="B21" s="81"/>
      <c r="C21" s="81"/>
      <c r="D21" s="81"/>
    </row>
    <row r="22" spans="1:4" ht="30" customHeight="1">
      <c r="A22" s="86" t="s">
        <v>29</v>
      </c>
      <c r="B22" s="81"/>
      <c r="C22" s="84" t="s">
        <v>30</v>
      </c>
      <c r="D22" s="81"/>
    </row>
    <row r="23" spans="1:4" ht="30" customHeight="1">
      <c r="A23" s="86" t="s">
        <v>31</v>
      </c>
      <c r="B23" s="81"/>
      <c r="C23" s="84" t="s">
        <v>32</v>
      </c>
      <c r="D23" s="81"/>
    </row>
    <row r="24" spans="1:4" ht="30" customHeight="1">
      <c r="A24" s="86" t="s">
        <v>33</v>
      </c>
      <c r="B24" s="81"/>
      <c r="C24" s="84" t="s">
        <v>34</v>
      </c>
      <c r="D24" s="81"/>
    </row>
    <row r="26" spans="1:4" ht="24.95" customHeight="1">
      <c r="A26" s="88" t="s">
        <v>35</v>
      </c>
      <c r="B26" s="81"/>
      <c r="C26" s="81"/>
      <c r="D26" s="81"/>
    </row>
    <row r="27" spans="1:4" ht="30" customHeight="1">
      <c r="A27" s="87" t="s">
        <v>36</v>
      </c>
      <c r="B27" s="81"/>
      <c r="C27" s="84" t="s">
        <v>37</v>
      </c>
      <c r="D27" s="81"/>
    </row>
    <row r="28" spans="1:4" ht="30" customHeight="1">
      <c r="A28" s="87" t="s">
        <v>38</v>
      </c>
      <c r="B28" s="81"/>
      <c r="C28" s="84" t="s">
        <v>39</v>
      </c>
      <c r="D28" s="81"/>
    </row>
    <row r="29" spans="1:4" ht="30" customHeight="1">
      <c r="A29" s="89" t="s">
        <v>40</v>
      </c>
      <c r="B29" s="81"/>
      <c r="C29" s="84" t="s">
        <v>41</v>
      </c>
      <c r="D29" s="81"/>
    </row>
    <row r="30" spans="1:4" ht="30" customHeight="1">
      <c r="A30" s="87" t="s">
        <v>42</v>
      </c>
      <c r="B30" s="81"/>
      <c r="C30" s="84" t="s">
        <v>43</v>
      </c>
      <c r="D30" s="81"/>
    </row>
    <row r="32" spans="1:4" ht="21.75" customHeight="1">
      <c r="A32" s="90" t="s">
        <v>2074</v>
      </c>
      <c r="B32" s="81"/>
      <c r="C32" s="81"/>
      <c r="D32" s="81"/>
    </row>
    <row r="33" spans="1:4" ht="28.5" customHeight="1">
      <c r="A33" s="89" t="s">
        <v>2075</v>
      </c>
      <c r="B33" s="81"/>
      <c r="C33" s="91"/>
      <c r="D33" s="91"/>
    </row>
    <row r="34" spans="1:4" ht="25.5" customHeight="1">
      <c r="A34" s="89" t="s">
        <v>2076</v>
      </c>
      <c r="B34" s="81"/>
    </row>
  </sheetData>
  <mergeCells count="48">
    <mergeCell ref="A32:D32"/>
    <mergeCell ref="A33:B33"/>
    <mergeCell ref="A34:B34"/>
    <mergeCell ref="C33:D33"/>
    <mergeCell ref="C29:D29"/>
    <mergeCell ref="A30:B30"/>
    <mergeCell ref="C24:D24"/>
    <mergeCell ref="C30:D30"/>
    <mergeCell ref="C15:D15"/>
    <mergeCell ref="A29:B29"/>
    <mergeCell ref="A19:B19"/>
    <mergeCell ref="A26:D26"/>
    <mergeCell ref="C22:D22"/>
    <mergeCell ref="A28:B28"/>
    <mergeCell ref="C28:D28"/>
    <mergeCell ref="A16:B16"/>
    <mergeCell ref="A24:B24"/>
    <mergeCell ref="C19:D19"/>
    <mergeCell ref="A21:D21"/>
    <mergeCell ref="C6:D6"/>
    <mergeCell ref="A15:B15"/>
    <mergeCell ref="A7:B7"/>
    <mergeCell ref="C16:D16"/>
    <mergeCell ref="A9:B9"/>
    <mergeCell ref="A14:D14"/>
    <mergeCell ref="C9:D9"/>
    <mergeCell ref="A12:B12"/>
    <mergeCell ref="C12:D12"/>
    <mergeCell ref="C11:D11"/>
    <mergeCell ref="A11:B11"/>
    <mergeCell ref="C10:D10"/>
    <mergeCell ref="A10:B10"/>
    <mergeCell ref="A1:H1"/>
    <mergeCell ref="A6:B6"/>
    <mergeCell ref="A3:H3"/>
    <mergeCell ref="C27:D27"/>
    <mergeCell ref="A17:B17"/>
    <mergeCell ref="A23:B23"/>
    <mergeCell ref="A8:B8"/>
    <mergeCell ref="C17:D17"/>
    <mergeCell ref="C23:D23"/>
    <mergeCell ref="C8:D8"/>
    <mergeCell ref="A22:B22"/>
    <mergeCell ref="C7:D7"/>
    <mergeCell ref="A18:B18"/>
    <mergeCell ref="A27:B27"/>
    <mergeCell ref="C18:D18"/>
    <mergeCell ref="A5:D5"/>
  </mergeCells>
  <pageMargins left="0.75" right="0.75" top="1" bottom="1" header="0.5" footer="0.5"/>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1243" r:id="rId3" name="Button 219">
              <controlPr defaultSize="0" print="0" autoFill="0" autoPict="0" macro="[0]!IngresarNuevoActivo">
                <anchor moveWithCells="1" sizeWithCells="1">
                  <from>
                    <xdr:col>2</xdr:col>
                    <xdr:colOff>0</xdr:colOff>
                    <xdr:row>5</xdr:row>
                    <xdr:rowOff>9525</xdr:rowOff>
                  </from>
                  <to>
                    <xdr:col>4</xdr:col>
                    <xdr:colOff>0</xdr:colOff>
                    <xdr:row>6</xdr:row>
                    <xdr:rowOff>0</xdr:rowOff>
                  </to>
                </anchor>
              </controlPr>
            </control>
          </mc:Choice>
        </mc:AlternateContent>
        <mc:AlternateContent xmlns:mc="http://schemas.openxmlformats.org/markup-compatibility/2006">
          <mc:Choice Requires="x14">
            <control shapeId="1244" r:id="rId4" name="Button 220">
              <controlPr defaultSize="0" print="0" autoFill="0" autoPict="0" macro="[0]!AgregarCategoria">
                <anchor moveWithCells="1" sizeWithCells="1">
                  <from>
                    <xdr:col>2</xdr:col>
                    <xdr:colOff>9525</xdr:colOff>
                    <xdr:row>6</xdr:row>
                    <xdr:rowOff>19050</xdr:rowOff>
                  </from>
                  <to>
                    <xdr:col>4</xdr:col>
                    <xdr:colOff>0</xdr:colOff>
                    <xdr:row>6</xdr:row>
                    <xdr:rowOff>371475</xdr:rowOff>
                  </to>
                </anchor>
              </controlPr>
            </control>
          </mc:Choice>
        </mc:AlternateContent>
        <mc:AlternateContent xmlns:mc="http://schemas.openxmlformats.org/markup-compatibility/2006">
          <mc:Choice Requires="x14">
            <control shapeId="1245" r:id="rId5" name="Button 221">
              <controlPr defaultSize="0" print="0" autoFill="0" autoPict="0" macro="[0]!AgregarSubcategoria">
                <anchor moveWithCells="1" sizeWithCells="1">
                  <from>
                    <xdr:col>2</xdr:col>
                    <xdr:colOff>9525</xdr:colOff>
                    <xdr:row>7</xdr:row>
                    <xdr:rowOff>9525</xdr:rowOff>
                  </from>
                  <to>
                    <xdr:col>3</xdr:col>
                    <xdr:colOff>2990850</xdr:colOff>
                    <xdr:row>7</xdr:row>
                    <xdr:rowOff>361950</xdr:rowOff>
                  </to>
                </anchor>
              </controlPr>
            </control>
          </mc:Choice>
        </mc:AlternateContent>
        <mc:AlternateContent xmlns:mc="http://schemas.openxmlformats.org/markup-compatibility/2006">
          <mc:Choice Requires="x14">
            <control shapeId="1246" r:id="rId6" name="Button 222">
              <controlPr defaultSize="0" print="0" autoFill="0" autoPict="0" macro="[0]!AgregarArea">
                <anchor moveWithCells="1" sizeWithCells="1">
                  <from>
                    <xdr:col>2</xdr:col>
                    <xdr:colOff>9525</xdr:colOff>
                    <xdr:row>8</xdr:row>
                    <xdr:rowOff>0</xdr:rowOff>
                  </from>
                  <to>
                    <xdr:col>3</xdr:col>
                    <xdr:colOff>2990850</xdr:colOff>
                    <xdr:row>9</xdr:row>
                    <xdr:rowOff>9525</xdr:rowOff>
                  </to>
                </anchor>
              </controlPr>
            </control>
          </mc:Choice>
        </mc:AlternateContent>
        <mc:AlternateContent xmlns:mc="http://schemas.openxmlformats.org/markup-compatibility/2006">
          <mc:Choice Requires="x14">
            <control shapeId="1247" r:id="rId7" name="Button 223">
              <controlPr defaultSize="0" print="0" autoFill="0" autoPict="0" macro="[0]!AgregarUbicacion">
                <anchor moveWithCells="1" sizeWithCells="1">
                  <from>
                    <xdr:col>2</xdr:col>
                    <xdr:colOff>0</xdr:colOff>
                    <xdr:row>9</xdr:row>
                    <xdr:rowOff>28575</xdr:rowOff>
                  </from>
                  <to>
                    <xdr:col>3</xdr:col>
                    <xdr:colOff>2990850</xdr:colOff>
                    <xdr:row>10</xdr:row>
                    <xdr:rowOff>9525</xdr:rowOff>
                  </to>
                </anchor>
              </controlPr>
            </control>
          </mc:Choice>
        </mc:AlternateContent>
        <mc:AlternateContent xmlns:mc="http://schemas.openxmlformats.org/markup-compatibility/2006">
          <mc:Choice Requires="x14">
            <control shapeId="1248" r:id="rId8" name="Button 224">
              <controlPr defaultSize="0" print="0" autoFill="0" autoPict="0" macro="[0]!AgregarClase">
                <anchor moveWithCells="1" sizeWithCells="1">
                  <from>
                    <xdr:col>2</xdr:col>
                    <xdr:colOff>0</xdr:colOff>
                    <xdr:row>10</xdr:row>
                    <xdr:rowOff>19050</xdr:rowOff>
                  </from>
                  <to>
                    <xdr:col>3</xdr:col>
                    <xdr:colOff>2990850</xdr:colOff>
                    <xdr:row>11</xdr:row>
                    <xdr:rowOff>9525</xdr:rowOff>
                  </to>
                </anchor>
              </controlPr>
            </control>
          </mc:Choice>
        </mc:AlternateContent>
        <mc:AlternateContent xmlns:mc="http://schemas.openxmlformats.org/markup-compatibility/2006">
          <mc:Choice Requires="x14">
            <control shapeId="1249" r:id="rId9" name="Button 225">
              <controlPr defaultSize="0" print="0" autoFill="0" autoPict="0" macro="[0]!AgregarSubclase">
                <anchor moveWithCells="1" sizeWithCells="1">
                  <from>
                    <xdr:col>2</xdr:col>
                    <xdr:colOff>9525</xdr:colOff>
                    <xdr:row>11</xdr:row>
                    <xdr:rowOff>19050</xdr:rowOff>
                  </from>
                  <to>
                    <xdr:col>3</xdr:col>
                    <xdr:colOff>2990850</xdr:colOff>
                    <xdr:row>12</xdr:row>
                    <xdr:rowOff>9525</xdr:rowOff>
                  </to>
                </anchor>
              </controlPr>
            </control>
          </mc:Choice>
        </mc:AlternateContent>
        <mc:AlternateContent xmlns:mc="http://schemas.openxmlformats.org/markup-compatibility/2006">
          <mc:Choice Requires="x14">
            <control shapeId="1250" r:id="rId10" name="Button 226">
              <controlPr defaultSize="0" print="0" autoFill="0" autoPict="0" macro="[0]!IngresarNuevoRiesgo">
                <anchor moveWithCells="1" sizeWithCells="1">
                  <from>
                    <xdr:col>2</xdr:col>
                    <xdr:colOff>0</xdr:colOff>
                    <xdr:row>14</xdr:row>
                    <xdr:rowOff>9525</xdr:rowOff>
                  </from>
                  <to>
                    <xdr:col>3</xdr:col>
                    <xdr:colOff>2990850</xdr:colOff>
                    <xdr:row>14</xdr:row>
                    <xdr:rowOff>371475</xdr:rowOff>
                  </to>
                </anchor>
              </controlPr>
            </control>
          </mc:Choice>
        </mc:AlternateContent>
        <mc:AlternateContent xmlns:mc="http://schemas.openxmlformats.org/markup-compatibility/2006">
          <mc:Choice Requires="x14">
            <control shapeId="1251" r:id="rId11" name="Button 227">
              <controlPr defaultSize="0" print="0" autoFill="0" autoPict="0" macro="[0]!CalcularRiesgoInherente">
                <anchor moveWithCells="1" sizeWithCells="1">
                  <from>
                    <xdr:col>2</xdr:col>
                    <xdr:colOff>9525</xdr:colOff>
                    <xdr:row>15</xdr:row>
                    <xdr:rowOff>0</xdr:rowOff>
                  </from>
                  <to>
                    <xdr:col>3</xdr:col>
                    <xdr:colOff>2990850</xdr:colOff>
                    <xdr:row>15</xdr:row>
                    <xdr:rowOff>371475</xdr:rowOff>
                  </to>
                </anchor>
              </controlPr>
            </control>
          </mc:Choice>
        </mc:AlternateContent>
        <mc:AlternateContent xmlns:mc="http://schemas.openxmlformats.org/markup-compatibility/2006">
          <mc:Choice Requires="x14">
            <control shapeId="1252" r:id="rId12" name="Button 228">
              <controlPr defaultSize="0" print="0" autoFill="0" autoPict="0" macro="[0]!CalcularRiesgoResidual">
                <anchor moveWithCells="1" sizeWithCells="1">
                  <from>
                    <xdr:col>2</xdr:col>
                    <xdr:colOff>19050</xdr:colOff>
                    <xdr:row>16</xdr:row>
                    <xdr:rowOff>9525</xdr:rowOff>
                  </from>
                  <to>
                    <xdr:col>3</xdr:col>
                    <xdr:colOff>2990850</xdr:colOff>
                    <xdr:row>16</xdr:row>
                    <xdr:rowOff>371475</xdr:rowOff>
                  </to>
                </anchor>
              </controlPr>
            </control>
          </mc:Choice>
        </mc:AlternateContent>
        <mc:AlternateContent xmlns:mc="http://schemas.openxmlformats.org/markup-compatibility/2006">
          <mc:Choice Requires="x14">
            <control shapeId="1253" r:id="rId13" name="Button 229">
              <controlPr defaultSize="0" print="0" autoFill="0" autoPict="0" macro="[0]!ColorearRiesgos">
                <anchor moveWithCells="1" sizeWithCells="1">
                  <from>
                    <xdr:col>2</xdr:col>
                    <xdr:colOff>19050</xdr:colOff>
                    <xdr:row>17</xdr:row>
                    <xdr:rowOff>0</xdr:rowOff>
                  </from>
                  <to>
                    <xdr:col>3</xdr:col>
                    <xdr:colOff>2990850</xdr:colOff>
                    <xdr:row>17</xdr:row>
                    <xdr:rowOff>361950</xdr:rowOff>
                  </to>
                </anchor>
              </controlPr>
            </control>
          </mc:Choice>
        </mc:AlternateContent>
        <mc:AlternateContent xmlns:mc="http://schemas.openxmlformats.org/markup-compatibility/2006">
          <mc:Choice Requires="x14">
            <control shapeId="1254" r:id="rId14" name="Button 230">
              <controlPr defaultSize="0" print="0" autoFill="0" autoPict="0" macro="[0]!GenerarMapaCalor">
                <anchor moveWithCells="1" sizeWithCells="1">
                  <from>
                    <xdr:col>2</xdr:col>
                    <xdr:colOff>28575</xdr:colOff>
                    <xdr:row>18</xdr:row>
                    <xdr:rowOff>0</xdr:rowOff>
                  </from>
                  <to>
                    <xdr:col>3</xdr:col>
                    <xdr:colOff>2990850</xdr:colOff>
                    <xdr:row>18</xdr:row>
                    <xdr:rowOff>361950</xdr:rowOff>
                  </to>
                </anchor>
              </controlPr>
            </control>
          </mc:Choice>
        </mc:AlternateContent>
        <mc:AlternateContent xmlns:mc="http://schemas.openxmlformats.org/markup-compatibility/2006">
          <mc:Choice Requires="x14">
            <control shapeId="1255" r:id="rId15" name="Button 231">
              <controlPr defaultSize="0" print="0" autoFill="0" autoPict="0" macro="[0]!IngresarNuevoTratamiento">
                <anchor moveWithCells="1" sizeWithCells="1">
                  <from>
                    <xdr:col>2</xdr:col>
                    <xdr:colOff>19050</xdr:colOff>
                    <xdr:row>21</xdr:row>
                    <xdr:rowOff>9525</xdr:rowOff>
                  </from>
                  <to>
                    <xdr:col>3</xdr:col>
                    <xdr:colOff>2990850</xdr:colOff>
                    <xdr:row>21</xdr:row>
                    <xdr:rowOff>371475</xdr:rowOff>
                  </to>
                </anchor>
              </controlPr>
            </control>
          </mc:Choice>
        </mc:AlternateContent>
        <mc:AlternateContent xmlns:mc="http://schemas.openxmlformats.org/markup-compatibility/2006">
          <mc:Choice Requires="x14">
            <control shapeId="1256" r:id="rId16" name="Button 232">
              <controlPr defaultSize="0" print="0" autoFill="0" autoPict="0" macro="[0]!ActualizarEstadoTratamiento">
                <anchor moveWithCells="1" sizeWithCells="1">
                  <from>
                    <xdr:col>2</xdr:col>
                    <xdr:colOff>19050</xdr:colOff>
                    <xdr:row>22</xdr:row>
                    <xdr:rowOff>19050</xdr:rowOff>
                  </from>
                  <to>
                    <xdr:col>4</xdr:col>
                    <xdr:colOff>0</xdr:colOff>
                    <xdr:row>22</xdr:row>
                    <xdr:rowOff>371475</xdr:rowOff>
                  </to>
                </anchor>
              </controlPr>
            </control>
          </mc:Choice>
        </mc:AlternateContent>
        <mc:AlternateContent xmlns:mc="http://schemas.openxmlformats.org/markup-compatibility/2006">
          <mc:Choice Requires="x14">
            <control shapeId="1257" r:id="rId17" name="Button 233">
              <controlPr defaultSize="0" print="0" autoFill="0" autoPict="0" macro="[0]!GenerarInformeTratamiento">
                <anchor moveWithCells="1" sizeWithCells="1">
                  <from>
                    <xdr:col>2</xdr:col>
                    <xdr:colOff>9525</xdr:colOff>
                    <xdr:row>23</xdr:row>
                    <xdr:rowOff>19050</xdr:rowOff>
                  </from>
                  <to>
                    <xdr:col>4</xdr:col>
                    <xdr:colOff>0</xdr:colOff>
                    <xdr:row>24</xdr:row>
                    <xdr:rowOff>0</xdr:rowOff>
                  </to>
                </anchor>
              </controlPr>
            </control>
          </mc:Choice>
        </mc:AlternateContent>
        <mc:AlternateContent xmlns:mc="http://schemas.openxmlformats.org/markup-compatibility/2006">
          <mc:Choice Requires="x14">
            <control shapeId="1258" r:id="rId18" name="Button 234">
              <controlPr defaultSize="0" print="0" autoFill="0" autoPict="0" macro="[0]!ActualizarDashboard">
                <anchor moveWithCells="1" sizeWithCells="1">
                  <from>
                    <xdr:col>2</xdr:col>
                    <xdr:colOff>9525</xdr:colOff>
                    <xdr:row>26</xdr:row>
                    <xdr:rowOff>19050</xdr:rowOff>
                  </from>
                  <to>
                    <xdr:col>4</xdr:col>
                    <xdr:colOff>0</xdr:colOff>
                    <xdr:row>27</xdr:row>
                    <xdr:rowOff>0</xdr:rowOff>
                  </to>
                </anchor>
              </controlPr>
            </control>
          </mc:Choice>
        </mc:AlternateContent>
        <mc:AlternateContent xmlns:mc="http://schemas.openxmlformats.org/markup-compatibility/2006">
          <mc:Choice Requires="x14">
            <control shapeId="1259" r:id="rId19" name="Button 235">
              <controlPr defaultSize="0" print="0" autoFill="0" autoPict="0" macro="[0]!ExportarReporteCompleto">
                <anchor moveWithCells="1" sizeWithCells="1">
                  <from>
                    <xdr:col>2</xdr:col>
                    <xdr:colOff>0</xdr:colOff>
                    <xdr:row>27</xdr:row>
                    <xdr:rowOff>9525</xdr:rowOff>
                  </from>
                  <to>
                    <xdr:col>4</xdr:col>
                    <xdr:colOff>0</xdr:colOff>
                    <xdr:row>27</xdr:row>
                    <xdr:rowOff>371475</xdr:rowOff>
                  </to>
                </anchor>
              </controlPr>
            </control>
          </mc:Choice>
        </mc:AlternateContent>
        <mc:AlternateContent xmlns:mc="http://schemas.openxmlformats.org/markup-compatibility/2006">
          <mc:Choice Requires="x14">
            <control shapeId="1260" r:id="rId20" name="Button 236">
              <controlPr defaultSize="0" print="0" autoFill="0" autoPict="0" macro="[0]!ExportarActivosPDF">
                <anchor moveWithCells="1" sizeWithCells="1">
                  <from>
                    <xdr:col>2</xdr:col>
                    <xdr:colOff>19050</xdr:colOff>
                    <xdr:row>28</xdr:row>
                    <xdr:rowOff>9525</xdr:rowOff>
                  </from>
                  <to>
                    <xdr:col>3</xdr:col>
                    <xdr:colOff>2990850</xdr:colOff>
                    <xdr:row>29</xdr:row>
                    <xdr:rowOff>0</xdr:rowOff>
                  </to>
                </anchor>
              </controlPr>
            </control>
          </mc:Choice>
        </mc:AlternateContent>
        <mc:AlternateContent xmlns:mc="http://schemas.openxmlformats.org/markup-compatibility/2006">
          <mc:Choice Requires="x14">
            <control shapeId="1261" r:id="rId21" name="Button 237">
              <controlPr defaultSize="0" print="0" autoFill="0" autoPict="0" macro="[0]!ValidarCumplimientoISO">
                <anchor moveWithCells="1" sizeWithCells="1">
                  <from>
                    <xdr:col>2</xdr:col>
                    <xdr:colOff>9525</xdr:colOff>
                    <xdr:row>29</xdr:row>
                    <xdr:rowOff>19050</xdr:rowOff>
                  </from>
                  <to>
                    <xdr:col>3</xdr:col>
                    <xdr:colOff>2990850</xdr:colOff>
                    <xdr:row>29</xdr:row>
                    <xdr:rowOff>371475</xdr:rowOff>
                  </to>
                </anchor>
              </controlPr>
            </control>
          </mc:Choice>
        </mc:AlternateContent>
        <mc:AlternateContent xmlns:mc="http://schemas.openxmlformats.org/markup-compatibility/2006">
          <mc:Choice Requires="x14">
            <control shapeId="1262" r:id="rId22" name="Button 238">
              <controlPr defaultSize="0" print="0" autoFill="0" autoPict="0" macro="[0]!MostrarInfoSistema">
                <anchor moveWithCells="1" sizeWithCells="1">
                  <from>
                    <xdr:col>2</xdr:col>
                    <xdr:colOff>19050</xdr:colOff>
                    <xdr:row>32</xdr:row>
                    <xdr:rowOff>28575</xdr:rowOff>
                  </from>
                  <to>
                    <xdr:col>3</xdr:col>
                    <xdr:colOff>2990850</xdr:colOff>
                    <xdr:row>33</xdr:row>
                    <xdr:rowOff>0</xdr:rowOff>
                  </to>
                </anchor>
              </controlPr>
            </control>
          </mc:Choice>
        </mc:AlternateContent>
        <mc:AlternateContent xmlns:mc="http://schemas.openxmlformats.org/markup-compatibility/2006">
          <mc:Choice Requires="x14">
            <control shapeId="1263" r:id="rId23" name="Button 239">
              <controlPr defaultSize="0" print="0" autoFill="0" autoPict="0" macro="[0]!ValidarEstructuraExcel">
                <anchor moveWithCells="1" sizeWithCells="1">
                  <from>
                    <xdr:col>2</xdr:col>
                    <xdr:colOff>9525</xdr:colOff>
                    <xdr:row>33</xdr:row>
                    <xdr:rowOff>0</xdr:rowOff>
                  </from>
                  <to>
                    <xdr:col>3</xdr:col>
                    <xdr:colOff>2990850</xdr:colOff>
                    <xdr:row>34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B1:K27"/>
  <sheetViews>
    <sheetView workbookViewId="0">
      <selection activeCell="H7" sqref="H7"/>
    </sheetView>
  </sheetViews>
  <sheetFormatPr baseColWidth="10" defaultColWidth="9.140625" defaultRowHeight="15"/>
  <cols>
    <col min="1" max="1" width="3" customWidth="1"/>
    <col min="2" max="2" width="17.7109375" bestFit="1" customWidth="1"/>
    <col min="3" max="3" width="20" bestFit="1" customWidth="1"/>
    <col min="4" max="4" width="11.5703125" bestFit="1" customWidth="1"/>
    <col min="5" max="5" width="46.5703125" customWidth="1"/>
    <col min="6" max="6" width="12" bestFit="1" customWidth="1"/>
    <col min="7" max="7" width="9.85546875" bestFit="1" customWidth="1"/>
    <col min="8" max="8" width="9.42578125" bestFit="1" customWidth="1"/>
    <col min="9" max="9" width="7.140625" bestFit="1" customWidth="1"/>
    <col min="10" max="10" width="12" bestFit="1" customWidth="1"/>
    <col min="11" max="11" width="21.5703125" bestFit="1" customWidth="1"/>
  </cols>
  <sheetData>
    <row r="1" spans="2:5" ht="30" customHeight="1">
      <c r="B1" s="92" t="s">
        <v>44</v>
      </c>
      <c r="C1" s="93"/>
      <c r="D1" s="93"/>
      <c r="E1" s="94"/>
    </row>
    <row r="2" spans="2:5" ht="24.95" customHeight="1">
      <c r="B2" s="97" t="s">
        <v>45</v>
      </c>
      <c r="C2" s="98"/>
      <c r="D2" s="98"/>
      <c r="E2" s="99"/>
    </row>
    <row r="3" spans="2:5" ht="9.9499999999999993" customHeight="1"/>
    <row r="4" spans="2:5" ht="20.100000000000001" customHeight="1">
      <c r="B4" s="1" t="s">
        <v>46</v>
      </c>
      <c r="C4" s="95" t="s">
        <v>47</v>
      </c>
      <c r="D4" s="93"/>
      <c r="E4" s="93"/>
    </row>
    <row r="5" spans="2:5" ht="20.100000000000001" customHeight="1">
      <c r="B5" s="1" t="s">
        <v>48</v>
      </c>
      <c r="C5" s="95" t="s">
        <v>49</v>
      </c>
      <c r="D5" s="93"/>
      <c r="E5" s="93"/>
    </row>
    <row r="6" spans="2:5" ht="20.100000000000001" customHeight="1">
      <c r="B6" s="1" t="s">
        <v>50</v>
      </c>
      <c r="C6" s="95" t="s">
        <v>51</v>
      </c>
      <c r="D6" s="93"/>
      <c r="E6" s="93"/>
    </row>
    <row r="7" spans="2:5" ht="20.100000000000001" customHeight="1">
      <c r="B7" s="1" t="s">
        <v>52</v>
      </c>
      <c r="C7" s="95" t="s">
        <v>53</v>
      </c>
      <c r="D7" s="93"/>
      <c r="E7" s="93"/>
    </row>
    <row r="8" spans="2:5" ht="20.100000000000001" customHeight="1">
      <c r="B8" s="1" t="s">
        <v>54</v>
      </c>
      <c r="C8" s="95" t="s">
        <v>55</v>
      </c>
      <c r="D8" s="93"/>
      <c r="E8" s="93"/>
    </row>
    <row r="9" spans="2:5" ht="20.100000000000001" customHeight="1">
      <c r="B9" s="1" t="s">
        <v>56</v>
      </c>
      <c r="C9" s="95" t="s">
        <v>57</v>
      </c>
      <c r="D9" s="93"/>
      <c r="E9" s="93"/>
    </row>
    <row r="10" spans="2:5" ht="20.100000000000001" customHeight="1">
      <c r="B10" s="1" t="s">
        <v>58</v>
      </c>
      <c r="C10" s="95" t="s">
        <v>59</v>
      </c>
      <c r="D10" s="93"/>
      <c r="E10" s="93"/>
    </row>
    <row r="11" spans="2:5" ht="20.100000000000001" customHeight="1">
      <c r="B11" s="1" t="s">
        <v>60</v>
      </c>
      <c r="C11" s="95" t="s">
        <v>61</v>
      </c>
      <c r="D11" s="93"/>
      <c r="E11" s="93"/>
    </row>
    <row r="12" spans="2:5" ht="20.100000000000001" customHeight="1">
      <c r="B12" s="1" t="s">
        <v>62</v>
      </c>
      <c r="C12" s="95" t="s">
        <v>63</v>
      </c>
      <c r="D12" s="93"/>
      <c r="E12" s="93"/>
    </row>
    <row r="14" spans="2:5">
      <c r="B14" s="101" t="s">
        <v>64</v>
      </c>
      <c r="C14" s="93"/>
      <c r="D14" s="93"/>
      <c r="E14" s="93"/>
    </row>
    <row r="15" spans="2:5" ht="18" customHeight="1">
      <c r="B15" s="19" t="s">
        <v>65</v>
      </c>
      <c r="C15" s="96" t="s">
        <v>66</v>
      </c>
      <c r="D15" s="93"/>
      <c r="E15" s="93"/>
    </row>
    <row r="16" spans="2:5" ht="18" customHeight="1">
      <c r="B16" s="19" t="s">
        <v>67</v>
      </c>
      <c r="C16" s="96" t="s">
        <v>68</v>
      </c>
      <c r="D16" s="93"/>
      <c r="E16" s="93"/>
    </row>
    <row r="17" spans="2:11" ht="18" customHeight="1">
      <c r="B17" s="19" t="s">
        <v>69</v>
      </c>
      <c r="C17" s="96" t="s">
        <v>70</v>
      </c>
      <c r="D17" s="93"/>
      <c r="E17" s="93"/>
    </row>
    <row r="18" spans="2:11" ht="18" customHeight="1">
      <c r="B18" s="19" t="s">
        <v>71</v>
      </c>
      <c r="C18" s="96" t="s">
        <v>72</v>
      </c>
      <c r="D18" s="93"/>
      <c r="E18" s="93"/>
    </row>
    <row r="20" spans="2:11">
      <c r="B20" s="100" t="s">
        <v>73</v>
      </c>
      <c r="C20" s="81"/>
      <c r="D20" s="81"/>
      <c r="E20" s="81"/>
    </row>
    <row r="22" spans="2:11" ht="35.1" customHeight="1">
      <c r="B22" s="2" t="s">
        <v>74</v>
      </c>
      <c r="C22" s="2" t="s">
        <v>75</v>
      </c>
      <c r="D22" s="2" t="s">
        <v>76</v>
      </c>
      <c r="E22" s="2" t="s">
        <v>77</v>
      </c>
      <c r="F22" s="2" t="s">
        <v>78</v>
      </c>
      <c r="G22" s="2" t="s">
        <v>79</v>
      </c>
      <c r="H22" s="2" t="s">
        <v>80</v>
      </c>
      <c r="I22" s="2" t="s">
        <v>81</v>
      </c>
      <c r="J22" s="2" t="s">
        <v>82</v>
      </c>
      <c r="K22" s="2" t="s">
        <v>83</v>
      </c>
    </row>
    <row r="23" spans="2:11">
      <c r="B23" s="3" t="s">
        <v>84</v>
      </c>
      <c r="C23" s="3" t="s">
        <v>85</v>
      </c>
      <c r="D23" s="3" t="s">
        <v>86</v>
      </c>
      <c r="E23" s="3" t="s">
        <v>49</v>
      </c>
      <c r="F23" s="3" t="s">
        <v>51</v>
      </c>
      <c r="G23" s="3" t="s">
        <v>57</v>
      </c>
      <c r="H23" s="3" t="s">
        <v>87</v>
      </c>
      <c r="I23" s="3" t="s">
        <v>61</v>
      </c>
      <c r="J23" s="3" t="s">
        <v>88</v>
      </c>
      <c r="K23" s="3" t="s">
        <v>89</v>
      </c>
    </row>
    <row r="24" spans="2:11">
      <c r="B24" s="3" t="s">
        <v>90</v>
      </c>
      <c r="C24" s="3" t="s">
        <v>91</v>
      </c>
      <c r="D24" s="3" t="s">
        <v>92</v>
      </c>
      <c r="E24" s="3" t="s">
        <v>49</v>
      </c>
      <c r="F24" s="3" t="s">
        <v>51</v>
      </c>
      <c r="G24" s="3" t="s">
        <v>57</v>
      </c>
      <c r="H24" s="3" t="s">
        <v>93</v>
      </c>
      <c r="I24" s="3" t="s">
        <v>61</v>
      </c>
      <c r="J24" s="3" t="s">
        <v>59</v>
      </c>
      <c r="K24" s="3" t="s">
        <v>94</v>
      </c>
    </row>
    <row r="25" spans="2:11">
      <c r="B25" s="3" t="s">
        <v>95</v>
      </c>
      <c r="C25" s="3" t="s">
        <v>96</v>
      </c>
      <c r="D25" s="3" t="s">
        <v>53</v>
      </c>
      <c r="E25" s="3" t="s">
        <v>49</v>
      </c>
      <c r="F25" s="3" t="s">
        <v>51</v>
      </c>
      <c r="G25" s="3" t="s">
        <v>57</v>
      </c>
      <c r="H25" s="3" t="s">
        <v>93</v>
      </c>
      <c r="I25" s="3" t="s">
        <v>61</v>
      </c>
      <c r="J25" s="3" t="s">
        <v>97</v>
      </c>
      <c r="K25" s="3" t="s">
        <v>98</v>
      </c>
    </row>
    <row r="26" spans="2:11">
      <c r="B26" s="3" t="s">
        <v>99</v>
      </c>
      <c r="C26" s="3" t="s">
        <v>100</v>
      </c>
      <c r="D26" s="3" t="s">
        <v>101</v>
      </c>
      <c r="E26" s="3" t="s">
        <v>49</v>
      </c>
      <c r="F26" s="3" t="s">
        <v>51</v>
      </c>
      <c r="G26" s="3" t="s">
        <v>102</v>
      </c>
      <c r="H26" s="3" t="s">
        <v>57</v>
      </c>
      <c r="I26" s="3" t="s">
        <v>61</v>
      </c>
      <c r="J26" s="3" t="s">
        <v>97</v>
      </c>
      <c r="K26" s="3" t="s">
        <v>103</v>
      </c>
    </row>
    <row r="27" spans="2:11">
      <c r="B27" s="3" t="s">
        <v>104</v>
      </c>
      <c r="C27" s="3" t="s">
        <v>105</v>
      </c>
      <c r="D27" s="3" t="s">
        <v>106</v>
      </c>
      <c r="E27" s="3" t="s">
        <v>49</v>
      </c>
      <c r="F27" s="3" t="s">
        <v>51</v>
      </c>
      <c r="G27" s="3" t="s">
        <v>57</v>
      </c>
      <c r="H27" s="3" t="s">
        <v>87</v>
      </c>
      <c r="I27" s="3" t="s">
        <v>61</v>
      </c>
      <c r="J27" s="3" t="s">
        <v>59</v>
      </c>
      <c r="K27" s="3" t="s">
        <v>107</v>
      </c>
    </row>
  </sheetData>
  <mergeCells count="17">
    <mergeCell ref="C17:E17"/>
    <mergeCell ref="B2:E2"/>
    <mergeCell ref="C6:E6"/>
    <mergeCell ref="C16:E16"/>
    <mergeCell ref="B20:E20"/>
    <mergeCell ref="C7:E7"/>
    <mergeCell ref="B14:E14"/>
    <mergeCell ref="C15:E15"/>
    <mergeCell ref="C12:E12"/>
    <mergeCell ref="C10:E10"/>
    <mergeCell ref="C18:E18"/>
    <mergeCell ref="C9:E9"/>
    <mergeCell ref="B1:E1"/>
    <mergeCell ref="C11:E11"/>
    <mergeCell ref="C5:E5"/>
    <mergeCell ref="C8:E8"/>
    <mergeCell ref="C4:E4"/>
  </mergeCells>
  <pageMargins left="0.75" right="0.75" top="1" bottom="1" header="0.5" footer="0.5"/>
  <pageSetup paperSize="0" orientation="portrait" horizontalDpi="0" verticalDpi="0" copie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B1:E42"/>
  <sheetViews>
    <sheetView topLeftCell="A7" workbookViewId="0">
      <selection activeCell="J14" sqref="J14"/>
    </sheetView>
  </sheetViews>
  <sheetFormatPr baseColWidth="10" defaultColWidth="9.140625" defaultRowHeight="15"/>
  <cols>
    <col min="1" max="1" width="3" customWidth="1"/>
    <col min="2" max="2" width="17.7109375" bestFit="1" customWidth="1"/>
    <col min="3" max="3" width="30" customWidth="1"/>
    <col min="4" max="4" width="20" customWidth="1"/>
    <col min="5" max="5" width="30" customWidth="1"/>
    <col min="6" max="6" width="3" customWidth="1"/>
  </cols>
  <sheetData>
    <row r="1" spans="2:5" ht="30" customHeight="1">
      <c r="B1" s="92" t="s">
        <v>44</v>
      </c>
      <c r="C1" s="93"/>
      <c r="D1" s="93"/>
      <c r="E1" s="94"/>
    </row>
    <row r="2" spans="2:5" ht="24.95" customHeight="1">
      <c r="B2" s="97" t="s">
        <v>108</v>
      </c>
      <c r="C2" s="98"/>
      <c r="D2" s="98"/>
      <c r="E2" s="99"/>
    </row>
    <row r="3" spans="2:5" ht="9.9499999999999993" customHeight="1"/>
    <row r="4" spans="2:5" ht="20.100000000000001" customHeight="1">
      <c r="B4" s="1" t="s">
        <v>46</v>
      </c>
      <c r="C4" s="95" t="s">
        <v>84</v>
      </c>
      <c r="D4" s="93"/>
      <c r="E4" s="93"/>
    </row>
    <row r="5" spans="2:5" ht="20.100000000000001" customHeight="1">
      <c r="B5" s="1" t="s">
        <v>48</v>
      </c>
      <c r="C5" s="95" t="s">
        <v>49</v>
      </c>
      <c r="D5" s="93"/>
      <c r="E5" s="93"/>
    </row>
    <row r="6" spans="2:5" ht="20.100000000000001" customHeight="1">
      <c r="B6" s="1" t="s">
        <v>50</v>
      </c>
      <c r="C6" s="95" t="s">
        <v>51</v>
      </c>
      <c r="D6" s="93"/>
      <c r="E6" s="93"/>
    </row>
    <row r="7" spans="2:5" ht="20.100000000000001" customHeight="1">
      <c r="B7" s="1" t="s">
        <v>52</v>
      </c>
      <c r="C7" s="95" t="s">
        <v>109</v>
      </c>
      <c r="D7" s="93"/>
      <c r="E7" s="93"/>
    </row>
    <row r="8" spans="2:5" ht="20.100000000000001" customHeight="1">
      <c r="B8" s="1" t="s">
        <v>54</v>
      </c>
      <c r="C8" s="95" t="s">
        <v>55</v>
      </c>
      <c r="D8" s="93"/>
      <c r="E8" s="93"/>
    </row>
    <row r="9" spans="2:5" ht="20.100000000000001" customHeight="1">
      <c r="B9" s="1" t="s">
        <v>56</v>
      </c>
      <c r="C9" s="95" t="s">
        <v>57</v>
      </c>
      <c r="D9" s="93"/>
      <c r="E9" s="93"/>
    </row>
    <row r="10" spans="2:5" ht="20.100000000000001" customHeight="1">
      <c r="B10" s="1" t="s">
        <v>58</v>
      </c>
      <c r="C10" s="95" t="s">
        <v>59</v>
      </c>
      <c r="D10" s="93"/>
      <c r="E10" s="93"/>
    </row>
    <row r="11" spans="2:5" ht="20.100000000000001" customHeight="1">
      <c r="B11" s="1" t="s">
        <v>60</v>
      </c>
      <c r="C11" s="95" t="s">
        <v>61</v>
      </c>
      <c r="D11" s="93"/>
      <c r="E11" s="93"/>
    </row>
    <row r="12" spans="2:5" ht="20.100000000000001" customHeight="1">
      <c r="B12" s="1" t="s">
        <v>62</v>
      </c>
      <c r="C12" s="95" t="s">
        <v>63</v>
      </c>
      <c r="D12" s="93"/>
      <c r="E12" s="93"/>
    </row>
    <row r="14" spans="2:5">
      <c r="B14" s="101" t="s">
        <v>64</v>
      </c>
      <c r="C14" s="93"/>
      <c r="D14" s="93"/>
      <c r="E14" s="93"/>
    </row>
    <row r="15" spans="2:5" ht="18" customHeight="1">
      <c r="B15" s="19" t="s">
        <v>65</v>
      </c>
      <c r="C15" s="96" t="s">
        <v>66</v>
      </c>
      <c r="D15" s="93"/>
      <c r="E15" s="93"/>
    </row>
    <row r="16" spans="2:5" ht="18" customHeight="1">
      <c r="B16" s="19" t="s">
        <v>67</v>
      </c>
      <c r="C16" s="96" t="s">
        <v>68</v>
      </c>
      <c r="D16" s="93"/>
      <c r="E16" s="93"/>
    </row>
    <row r="17" spans="2:5" ht="18" customHeight="1">
      <c r="B17" s="19" t="s">
        <v>69</v>
      </c>
      <c r="C17" s="96" t="s">
        <v>70</v>
      </c>
      <c r="D17" s="93"/>
      <c r="E17" s="93"/>
    </row>
    <row r="18" spans="2:5" ht="18" customHeight="1">
      <c r="B18" s="19" t="s">
        <v>71</v>
      </c>
      <c r="C18" s="96" t="s">
        <v>72</v>
      </c>
      <c r="D18" s="93"/>
      <c r="E18" s="93"/>
    </row>
    <row r="20" spans="2:5">
      <c r="B20" s="100" t="s">
        <v>73</v>
      </c>
      <c r="C20" s="81"/>
      <c r="D20" s="81"/>
      <c r="E20" s="81"/>
    </row>
    <row r="22" spans="2:5" ht="16.5" customHeight="1">
      <c r="B22" s="104" t="s">
        <v>110</v>
      </c>
      <c r="C22" s="93"/>
      <c r="D22" s="93"/>
      <c r="E22" s="93"/>
    </row>
    <row r="23" spans="2:5" ht="20.100000000000001" customHeight="1">
      <c r="B23" s="102" t="s">
        <v>111</v>
      </c>
      <c r="C23" s="93"/>
      <c r="D23" s="93"/>
      <c r="E23" s="93"/>
    </row>
    <row r="24" spans="2:5" ht="50.1" customHeight="1">
      <c r="B24" s="103" t="s">
        <v>112</v>
      </c>
      <c r="C24" s="93"/>
      <c r="D24" s="93"/>
      <c r="E24" s="93"/>
    </row>
    <row r="25" spans="2:5" ht="20.100000000000001" customHeight="1">
      <c r="B25" s="102" t="s">
        <v>113</v>
      </c>
      <c r="C25" s="93"/>
      <c r="D25" s="93"/>
      <c r="E25" s="93"/>
    </row>
    <row r="26" spans="2:5" ht="50.1" customHeight="1">
      <c r="B26" s="103" t="s">
        <v>114</v>
      </c>
      <c r="C26" s="93"/>
      <c r="D26" s="93"/>
      <c r="E26" s="93"/>
    </row>
    <row r="27" spans="2:5" ht="20.100000000000001" customHeight="1">
      <c r="B27" s="102" t="s">
        <v>115</v>
      </c>
      <c r="C27" s="93"/>
      <c r="D27" s="93"/>
      <c r="E27" s="93"/>
    </row>
    <row r="28" spans="2:5" ht="50.1" customHeight="1">
      <c r="B28" s="103" t="s">
        <v>116</v>
      </c>
      <c r="C28" s="93"/>
      <c r="D28" s="93"/>
      <c r="E28" s="93"/>
    </row>
    <row r="29" spans="2:5" ht="20.100000000000001" customHeight="1">
      <c r="B29" s="102" t="s">
        <v>117</v>
      </c>
      <c r="C29" s="93"/>
      <c r="D29" s="93"/>
      <c r="E29" s="93"/>
    </row>
    <row r="30" spans="2:5" ht="50.1" customHeight="1">
      <c r="B30" s="103" t="s">
        <v>118</v>
      </c>
      <c r="C30" s="93"/>
      <c r="D30" s="93"/>
      <c r="E30" s="93"/>
    </row>
    <row r="31" spans="2:5" ht="20.100000000000001" customHeight="1">
      <c r="B31" s="102" t="s">
        <v>119</v>
      </c>
      <c r="C31" s="93"/>
      <c r="D31" s="93"/>
      <c r="E31" s="93"/>
    </row>
    <row r="32" spans="2:5" ht="50.1" customHeight="1">
      <c r="B32" s="103" t="s">
        <v>120</v>
      </c>
      <c r="C32" s="93"/>
      <c r="D32" s="93"/>
      <c r="E32" s="93"/>
    </row>
    <row r="33" spans="2:5" ht="20.100000000000001" customHeight="1">
      <c r="B33" s="102" t="s">
        <v>121</v>
      </c>
      <c r="C33" s="93"/>
      <c r="D33" s="93"/>
      <c r="E33" s="93"/>
    </row>
    <row r="34" spans="2:5" ht="50.1" customHeight="1">
      <c r="B34" s="103" t="s">
        <v>122</v>
      </c>
      <c r="C34" s="93"/>
      <c r="D34" s="93"/>
      <c r="E34" s="93"/>
    </row>
    <row r="35" spans="2:5" ht="20.100000000000001" customHeight="1">
      <c r="B35" s="102" t="s">
        <v>123</v>
      </c>
      <c r="C35" s="93"/>
      <c r="D35" s="93"/>
      <c r="E35" s="93"/>
    </row>
    <row r="36" spans="2:5" ht="50.1" customHeight="1">
      <c r="B36" s="103" t="s">
        <v>124</v>
      </c>
      <c r="C36" s="93"/>
      <c r="D36" s="93"/>
      <c r="E36" s="93"/>
    </row>
    <row r="37" spans="2:5" ht="20.100000000000001" customHeight="1">
      <c r="B37" s="102" t="s">
        <v>125</v>
      </c>
      <c r="C37" s="93"/>
      <c r="D37" s="93"/>
      <c r="E37" s="93"/>
    </row>
    <row r="38" spans="2:5" ht="50.1" customHeight="1">
      <c r="B38" s="103" t="s">
        <v>126</v>
      </c>
      <c r="C38" s="93"/>
      <c r="D38" s="93"/>
      <c r="E38" s="93"/>
    </row>
    <row r="39" spans="2:5" ht="20.100000000000001" customHeight="1">
      <c r="B39" s="102" t="s">
        <v>127</v>
      </c>
      <c r="C39" s="93"/>
      <c r="D39" s="93"/>
      <c r="E39" s="93"/>
    </row>
    <row r="40" spans="2:5" ht="50.1" customHeight="1">
      <c r="B40" s="103" t="s">
        <v>128</v>
      </c>
      <c r="C40" s="93"/>
      <c r="D40" s="93"/>
      <c r="E40" s="93"/>
    </row>
    <row r="41" spans="2:5" ht="20.100000000000001" customHeight="1">
      <c r="B41" s="102" t="s">
        <v>129</v>
      </c>
      <c r="C41" s="93"/>
      <c r="D41" s="93"/>
      <c r="E41" s="93"/>
    </row>
    <row r="42" spans="2:5" ht="50.1" customHeight="1">
      <c r="B42" s="103" t="s">
        <v>130</v>
      </c>
      <c r="C42" s="93"/>
      <c r="D42" s="93"/>
      <c r="E42" s="93"/>
    </row>
  </sheetData>
  <mergeCells count="38">
    <mergeCell ref="B1:E1"/>
    <mergeCell ref="C5:E5"/>
    <mergeCell ref="B38:E38"/>
    <mergeCell ref="C4:E4"/>
    <mergeCell ref="B29:E29"/>
    <mergeCell ref="B34:E34"/>
    <mergeCell ref="B28:E28"/>
    <mergeCell ref="C10:E10"/>
    <mergeCell ref="B2:E2"/>
    <mergeCell ref="C9:E9"/>
    <mergeCell ref="C12:E12"/>
    <mergeCell ref="B42:E42"/>
    <mergeCell ref="C15:E15"/>
    <mergeCell ref="C6:E6"/>
    <mergeCell ref="B14:E14"/>
    <mergeCell ref="B23:E23"/>
    <mergeCell ref="C7:E7"/>
    <mergeCell ref="B22:E22"/>
    <mergeCell ref="B31:E31"/>
    <mergeCell ref="B27:E27"/>
    <mergeCell ref="C18:E18"/>
    <mergeCell ref="B41:E41"/>
    <mergeCell ref="C11:E11"/>
    <mergeCell ref="B35:E35"/>
    <mergeCell ref="C8:E8"/>
    <mergeCell ref="C17:E17"/>
    <mergeCell ref="B25:E25"/>
    <mergeCell ref="B39:E39"/>
    <mergeCell ref="C16:E16"/>
    <mergeCell ref="B40:E40"/>
    <mergeCell ref="B37:E37"/>
    <mergeCell ref="B30:E30"/>
    <mergeCell ref="B33:E33"/>
    <mergeCell ref="B24:E24"/>
    <mergeCell ref="B20:E20"/>
    <mergeCell ref="B36:E36"/>
    <mergeCell ref="B32:E32"/>
    <mergeCell ref="B26:E26"/>
  </mergeCells>
  <pageMargins left="0.75" right="0.75" top="1" bottom="1" header="0.5" footer="0.5"/>
  <pageSetup paperSize="0" orientation="portrait" horizontalDpi="0" verticalDpi="0" copie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B1:F54"/>
  <sheetViews>
    <sheetView topLeftCell="A26" workbookViewId="0">
      <selection activeCell="B50" sqref="B50:E54"/>
    </sheetView>
  </sheetViews>
  <sheetFormatPr baseColWidth="10" defaultColWidth="9.140625" defaultRowHeight="15"/>
  <cols>
    <col min="1" max="1" width="3" customWidth="1"/>
    <col min="2" max="2" width="17.7109375" bestFit="1" customWidth="1"/>
    <col min="3" max="3" width="13.85546875" bestFit="1" customWidth="1"/>
    <col min="4" max="4" width="15" bestFit="1" customWidth="1"/>
    <col min="5" max="5" width="35.85546875" customWidth="1"/>
    <col min="6" max="6" width="7" customWidth="1"/>
  </cols>
  <sheetData>
    <row r="1" spans="2:5" ht="30" customHeight="1">
      <c r="B1" s="92" t="s">
        <v>44</v>
      </c>
      <c r="C1" s="93"/>
      <c r="D1" s="93"/>
      <c r="E1" s="94"/>
    </row>
    <row r="2" spans="2:5" ht="24.95" customHeight="1">
      <c r="B2" s="97" t="s">
        <v>131</v>
      </c>
      <c r="C2" s="98"/>
      <c r="D2" s="98"/>
      <c r="E2" s="99"/>
    </row>
    <row r="3" spans="2:5" ht="9.9499999999999993" customHeight="1"/>
    <row r="4" spans="2:5" ht="20.100000000000001" customHeight="1">
      <c r="B4" s="1" t="s">
        <v>46</v>
      </c>
      <c r="C4" s="95" t="s">
        <v>95</v>
      </c>
      <c r="D4" s="93"/>
      <c r="E4" s="93"/>
    </row>
    <row r="5" spans="2:5" ht="20.100000000000001" customHeight="1">
      <c r="B5" s="1" t="s">
        <v>48</v>
      </c>
      <c r="C5" s="95" t="s">
        <v>49</v>
      </c>
      <c r="D5" s="93"/>
      <c r="E5" s="93"/>
    </row>
    <row r="6" spans="2:5" ht="20.100000000000001" customHeight="1">
      <c r="B6" s="1" t="s">
        <v>50</v>
      </c>
      <c r="C6" s="95" t="s">
        <v>51</v>
      </c>
      <c r="D6" s="93"/>
      <c r="E6" s="93"/>
    </row>
    <row r="7" spans="2:5" ht="20.100000000000001" customHeight="1">
      <c r="B7" s="1" t="s">
        <v>52</v>
      </c>
      <c r="C7" s="95" t="s">
        <v>53</v>
      </c>
      <c r="D7" s="93"/>
      <c r="E7" s="93"/>
    </row>
    <row r="8" spans="2:5" ht="20.100000000000001" customHeight="1">
      <c r="B8" s="1" t="s">
        <v>54</v>
      </c>
      <c r="C8" s="95" t="s">
        <v>55</v>
      </c>
      <c r="D8" s="93"/>
      <c r="E8" s="93"/>
    </row>
    <row r="9" spans="2:5" ht="20.100000000000001" customHeight="1">
      <c r="B9" s="1" t="s">
        <v>56</v>
      </c>
      <c r="C9" s="95" t="s">
        <v>57</v>
      </c>
      <c r="D9" s="93"/>
      <c r="E9" s="93"/>
    </row>
    <row r="10" spans="2:5" ht="20.100000000000001" customHeight="1">
      <c r="B10" s="1" t="s">
        <v>58</v>
      </c>
      <c r="C10" s="95" t="s">
        <v>59</v>
      </c>
      <c r="D10" s="93"/>
      <c r="E10" s="93"/>
    </row>
    <row r="11" spans="2:5" ht="20.100000000000001" customHeight="1">
      <c r="B11" s="1" t="s">
        <v>60</v>
      </c>
      <c r="C11" s="95" t="s">
        <v>61</v>
      </c>
      <c r="D11" s="93"/>
      <c r="E11" s="93"/>
    </row>
    <row r="12" spans="2:5" ht="20.100000000000001" customHeight="1">
      <c r="B12" s="1" t="s">
        <v>62</v>
      </c>
      <c r="C12" s="95" t="s">
        <v>63</v>
      </c>
      <c r="D12" s="93"/>
      <c r="E12" s="93"/>
    </row>
    <row r="14" spans="2:5">
      <c r="B14" s="101" t="s">
        <v>64</v>
      </c>
      <c r="C14" s="93"/>
      <c r="D14" s="93"/>
      <c r="E14" s="93"/>
    </row>
    <row r="15" spans="2:5" ht="18" customHeight="1">
      <c r="B15" s="19" t="s">
        <v>65</v>
      </c>
      <c r="C15" s="96" t="s">
        <v>66</v>
      </c>
      <c r="D15" s="93"/>
      <c r="E15" s="93"/>
    </row>
    <row r="16" spans="2:5" ht="18" customHeight="1">
      <c r="B16" s="19" t="s">
        <v>67</v>
      </c>
      <c r="C16" s="96" t="s">
        <v>68</v>
      </c>
      <c r="D16" s="93"/>
      <c r="E16" s="93"/>
    </row>
    <row r="17" spans="2:6" ht="18" customHeight="1">
      <c r="B17" s="19" t="s">
        <v>69</v>
      </c>
      <c r="C17" s="96" t="s">
        <v>70</v>
      </c>
      <c r="D17" s="93"/>
      <c r="E17" s="93"/>
    </row>
    <row r="18" spans="2:6" ht="18" customHeight="1">
      <c r="B18" s="19" t="s">
        <v>71</v>
      </c>
      <c r="C18" s="96" t="s">
        <v>72</v>
      </c>
      <c r="D18" s="93"/>
      <c r="E18" s="93"/>
    </row>
    <row r="20" spans="2:6">
      <c r="B20" s="100" t="s">
        <v>73</v>
      </c>
      <c r="C20" s="81"/>
      <c r="D20" s="81"/>
      <c r="E20" s="81"/>
    </row>
    <row r="22" spans="2:6" ht="16.5" customHeight="1">
      <c r="B22" s="105" t="s">
        <v>132</v>
      </c>
      <c r="C22" s="106"/>
      <c r="D22" s="106"/>
      <c r="E22" s="107"/>
    </row>
    <row r="24" spans="2:6">
      <c r="B24" s="109" t="s">
        <v>133</v>
      </c>
      <c r="C24" s="93"/>
      <c r="D24" s="93"/>
      <c r="E24" s="93"/>
    </row>
    <row r="25" spans="2:6">
      <c r="B25" s="20" t="s">
        <v>134</v>
      </c>
      <c r="C25" s="20" t="s">
        <v>135</v>
      </c>
      <c r="D25" s="20" t="s">
        <v>136</v>
      </c>
      <c r="E25" s="20" t="s">
        <v>137</v>
      </c>
    </row>
    <row r="26" spans="2:6">
      <c r="B26" s="21" t="s">
        <v>138</v>
      </c>
      <c r="C26" s="21" t="s">
        <v>139</v>
      </c>
      <c r="D26" s="21" t="s">
        <v>140</v>
      </c>
      <c r="E26" s="21" t="s">
        <v>141</v>
      </c>
    </row>
    <row r="27" spans="2:6">
      <c r="B27" s="21" t="s">
        <v>142</v>
      </c>
      <c r="C27" s="21" t="s">
        <v>143</v>
      </c>
      <c r="D27" s="21" t="s">
        <v>144</v>
      </c>
      <c r="E27" s="21" t="s">
        <v>145</v>
      </c>
    </row>
    <row r="28" spans="2:6">
      <c r="B28" s="21" t="s">
        <v>146</v>
      </c>
      <c r="C28" s="21" t="s">
        <v>147</v>
      </c>
      <c r="D28" s="21" t="s">
        <v>148</v>
      </c>
      <c r="E28" s="21" t="s">
        <v>149</v>
      </c>
    </row>
    <row r="29" spans="2:6">
      <c r="B29" s="21" t="s">
        <v>150</v>
      </c>
      <c r="C29" s="21" t="s">
        <v>151</v>
      </c>
      <c r="D29" s="21" t="s">
        <v>152</v>
      </c>
      <c r="E29" s="21" t="s">
        <v>153</v>
      </c>
    </row>
    <row r="30" spans="2:6">
      <c r="B30" s="21" t="s">
        <v>154</v>
      </c>
      <c r="C30" s="21" t="s">
        <v>155</v>
      </c>
      <c r="D30" s="21" t="s">
        <v>156</v>
      </c>
      <c r="E30" s="21" t="s">
        <v>157</v>
      </c>
    </row>
    <row r="32" spans="2:6">
      <c r="B32" s="109" t="s">
        <v>158</v>
      </c>
      <c r="C32" s="93"/>
      <c r="D32" s="93"/>
      <c r="E32" s="93"/>
      <c r="F32" s="8"/>
    </row>
    <row r="33" spans="2:6" ht="24" customHeight="1">
      <c r="B33" s="22" t="s">
        <v>134</v>
      </c>
      <c r="C33" s="22" t="s">
        <v>159</v>
      </c>
      <c r="D33" s="22" t="s">
        <v>160</v>
      </c>
      <c r="E33" s="22" t="s">
        <v>161</v>
      </c>
      <c r="F33" s="22" t="s">
        <v>137</v>
      </c>
    </row>
    <row r="34" spans="2:6">
      <c r="B34" s="21" t="s">
        <v>162</v>
      </c>
      <c r="C34" s="21" t="s">
        <v>163</v>
      </c>
      <c r="D34" s="21" t="s">
        <v>164</v>
      </c>
      <c r="E34" s="21" t="s">
        <v>165</v>
      </c>
      <c r="F34" s="21" t="s">
        <v>141</v>
      </c>
    </row>
    <row r="35" spans="2:6">
      <c r="B35" s="21" t="s">
        <v>166</v>
      </c>
      <c r="C35" s="21" t="s">
        <v>167</v>
      </c>
      <c r="D35" s="21" t="s">
        <v>168</v>
      </c>
      <c r="E35" s="21" t="s">
        <v>169</v>
      </c>
      <c r="F35" s="21" t="s">
        <v>145</v>
      </c>
    </row>
    <row r="36" spans="2:6">
      <c r="B36" s="21" t="s">
        <v>170</v>
      </c>
      <c r="C36" s="21" t="s">
        <v>171</v>
      </c>
      <c r="D36" s="21" t="s">
        <v>172</v>
      </c>
      <c r="E36" s="21" t="s">
        <v>173</v>
      </c>
      <c r="F36" s="21" t="s">
        <v>149</v>
      </c>
    </row>
    <row r="37" spans="2:6">
      <c r="B37" s="21" t="s">
        <v>174</v>
      </c>
      <c r="C37" s="21" t="s">
        <v>175</v>
      </c>
      <c r="D37" s="21" t="s">
        <v>176</v>
      </c>
      <c r="E37" s="21" t="s">
        <v>177</v>
      </c>
      <c r="F37" s="21" t="s">
        <v>153</v>
      </c>
    </row>
    <row r="38" spans="2:6">
      <c r="B38" s="21" t="s">
        <v>178</v>
      </c>
      <c r="C38" s="21" t="s">
        <v>179</v>
      </c>
      <c r="D38" s="21" t="s">
        <v>180</v>
      </c>
      <c r="E38" s="21" t="s">
        <v>181</v>
      </c>
      <c r="F38" s="21" t="s">
        <v>157</v>
      </c>
    </row>
    <row r="41" spans="2:6">
      <c r="B41" s="109" t="s">
        <v>182</v>
      </c>
      <c r="C41" s="93"/>
      <c r="D41" s="93"/>
      <c r="E41" s="93"/>
    </row>
    <row r="42" spans="2:6">
      <c r="B42" s="23" t="s">
        <v>183</v>
      </c>
      <c r="C42" s="23" t="s">
        <v>134</v>
      </c>
      <c r="D42" s="23" t="s">
        <v>184</v>
      </c>
      <c r="E42" s="23" t="s">
        <v>185</v>
      </c>
    </row>
    <row r="43" spans="2:6">
      <c r="B43" s="24" t="s">
        <v>186</v>
      </c>
      <c r="C43" s="24" t="s">
        <v>187</v>
      </c>
      <c r="D43" s="24" t="s">
        <v>188</v>
      </c>
      <c r="E43" s="24" t="s">
        <v>189</v>
      </c>
    </row>
    <row r="44" spans="2:6">
      <c r="B44" s="24" t="s">
        <v>190</v>
      </c>
      <c r="C44" s="24" t="s">
        <v>191</v>
      </c>
      <c r="D44" s="24" t="s">
        <v>192</v>
      </c>
      <c r="E44" s="24" t="s">
        <v>193</v>
      </c>
    </row>
    <row r="45" spans="2:6">
      <c r="B45" s="24" t="s">
        <v>194</v>
      </c>
      <c r="C45" s="24" t="s">
        <v>195</v>
      </c>
      <c r="D45" s="24" t="s">
        <v>196</v>
      </c>
      <c r="E45" s="24" t="s">
        <v>197</v>
      </c>
    </row>
    <row r="46" spans="2:6">
      <c r="B46" s="24" t="s">
        <v>198</v>
      </c>
      <c r="C46" s="24" t="s">
        <v>199</v>
      </c>
      <c r="D46" s="24" t="s">
        <v>200</v>
      </c>
      <c r="E46" s="24" t="s">
        <v>201</v>
      </c>
    </row>
    <row r="47" spans="2:6">
      <c r="B47" s="24" t="s">
        <v>202</v>
      </c>
      <c r="C47" s="24" t="s">
        <v>203</v>
      </c>
      <c r="D47" s="24" t="s">
        <v>204</v>
      </c>
      <c r="E47" s="24" t="s">
        <v>205</v>
      </c>
    </row>
    <row r="50" spans="2:5">
      <c r="B50" s="109" t="s">
        <v>206</v>
      </c>
      <c r="C50" s="93"/>
      <c r="D50" s="93"/>
      <c r="E50" s="93"/>
    </row>
    <row r="51" spans="2:5">
      <c r="B51" s="25" t="s">
        <v>207</v>
      </c>
      <c r="C51" s="108" t="s">
        <v>208</v>
      </c>
      <c r="D51" s="93"/>
      <c r="E51" s="93"/>
    </row>
    <row r="52" spans="2:5">
      <c r="B52" s="25" t="s">
        <v>209</v>
      </c>
      <c r="C52" s="108" t="s">
        <v>210</v>
      </c>
      <c r="D52" s="93"/>
      <c r="E52" s="93"/>
    </row>
    <row r="53" spans="2:5">
      <c r="B53" s="25" t="s">
        <v>211</v>
      </c>
      <c r="C53" s="108" t="s">
        <v>212</v>
      </c>
      <c r="D53" s="93"/>
      <c r="E53" s="93"/>
    </row>
    <row r="54" spans="2:5">
      <c r="B54" s="25" t="s">
        <v>213</v>
      </c>
      <c r="C54" s="108" t="s">
        <v>214</v>
      </c>
      <c r="D54" s="93"/>
      <c r="E54" s="93"/>
    </row>
  </sheetData>
  <mergeCells count="26">
    <mergeCell ref="B2:E2"/>
    <mergeCell ref="C15:E15"/>
    <mergeCell ref="C6:E6"/>
    <mergeCell ref="B14:E14"/>
    <mergeCell ref="B1:E1"/>
    <mergeCell ref="C5:E5"/>
    <mergeCell ref="C4:E4"/>
    <mergeCell ref="C10:E10"/>
    <mergeCell ref="C8:E8"/>
    <mergeCell ref="C7:E7"/>
    <mergeCell ref="C9:E9"/>
    <mergeCell ref="C12:E12"/>
    <mergeCell ref="C11:E11"/>
    <mergeCell ref="B22:E22"/>
    <mergeCell ref="C53:E53"/>
    <mergeCell ref="C18:E18"/>
    <mergeCell ref="C16:E16"/>
    <mergeCell ref="C54:E54"/>
    <mergeCell ref="B24:E24"/>
    <mergeCell ref="B20:E20"/>
    <mergeCell ref="C51:E51"/>
    <mergeCell ref="B32:E32"/>
    <mergeCell ref="B41:E41"/>
    <mergeCell ref="B50:E50"/>
    <mergeCell ref="C52:E52"/>
    <mergeCell ref="C17:E17"/>
  </mergeCells>
  <pageMargins left="0.75" right="0.75" top="1" bottom="1" header="0.5" footer="0.5"/>
  <pageSetup paperSize="0" orientation="portrait" horizontalDpi="0" verticalDpi="0" copie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B1:H53"/>
  <sheetViews>
    <sheetView topLeftCell="A40" workbookViewId="0">
      <selection activeCell="I9" sqref="I9"/>
    </sheetView>
  </sheetViews>
  <sheetFormatPr baseColWidth="10" defaultColWidth="9.140625" defaultRowHeight="15"/>
  <cols>
    <col min="1" max="1" width="3" customWidth="1"/>
    <col min="2" max="2" width="17.7109375" bestFit="1" customWidth="1"/>
    <col min="3" max="3" width="15" customWidth="1"/>
    <col min="4" max="4" width="7.42578125" bestFit="1" customWidth="1"/>
    <col min="5" max="5" width="50.140625" customWidth="1"/>
    <col min="6" max="6" width="11.28515625" bestFit="1" customWidth="1"/>
    <col min="7" max="7" width="11.85546875" bestFit="1" customWidth="1"/>
    <col min="8" max="8" width="14.85546875" bestFit="1" customWidth="1"/>
  </cols>
  <sheetData>
    <row r="1" spans="2:5" ht="30" customHeight="1">
      <c r="B1" s="92" t="s">
        <v>44</v>
      </c>
      <c r="C1" s="93"/>
      <c r="D1" s="93"/>
      <c r="E1" s="94"/>
    </row>
    <row r="2" spans="2:5" ht="24.95" customHeight="1">
      <c r="B2" s="97" t="s">
        <v>215</v>
      </c>
      <c r="C2" s="98"/>
      <c r="D2" s="98"/>
      <c r="E2" s="99"/>
    </row>
    <row r="3" spans="2:5" ht="9.9499999999999993" customHeight="1">
      <c r="B3" s="141"/>
      <c r="C3" s="141"/>
      <c r="D3" s="141"/>
      <c r="E3" s="141"/>
    </row>
    <row r="4" spans="2:5" ht="20.100000000000001" customHeight="1">
      <c r="B4" s="1" t="s">
        <v>46</v>
      </c>
      <c r="C4" s="95" t="s">
        <v>90</v>
      </c>
      <c r="D4" s="93"/>
      <c r="E4" s="93"/>
    </row>
    <row r="5" spans="2:5" ht="20.100000000000001" customHeight="1">
      <c r="B5" s="1" t="s">
        <v>48</v>
      </c>
      <c r="C5" s="95" t="s">
        <v>49</v>
      </c>
      <c r="D5" s="93"/>
      <c r="E5" s="93"/>
    </row>
    <row r="6" spans="2:5" ht="20.100000000000001" customHeight="1">
      <c r="B6" s="1" t="s">
        <v>50</v>
      </c>
      <c r="C6" s="95" t="s">
        <v>51</v>
      </c>
      <c r="D6" s="93"/>
      <c r="E6" s="93"/>
    </row>
    <row r="7" spans="2:5" ht="20.100000000000001" customHeight="1">
      <c r="B7" s="1" t="s">
        <v>52</v>
      </c>
      <c r="C7" s="95" t="s">
        <v>92</v>
      </c>
      <c r="D7" s="93"/>
      <c r="E7" s="93"/>
    </row>
    <row r="8" spans="2:5" ht="20.100000000000001" customHeight="1">
      <c r="B8" s="1" t="s">
        <v>54</v>
      </c>
      <c r="C8" s="95" t="s">
        <v>55</v>
      </c>
      <c r="D8" s="93"/>
      <c r="E8" s="93"/>
    </row>
    <row r="9" spans="2:5" ht="20.100000000000001" customHeight="1">
      <c r="B9" s="1" t="s">
        <v>56</v>
      </c>
      <c r="C9" s="95" t="s">
        <v>57</v>
      </c>
      <c r="D9" s="93"/>
      <c r="E9" s="93"/>
    </row>
    <row r="10" spans="2:5" ht="20.100000000000001" customHeight="1">
      <c r="B10" s="1" t="s">
        <v>58</v>
      </c>
      <c r="C10" s="95" t="s">
        <v>59</v>
      </c>
      <c r="D10" s="93"/>
      <c r="E10" s="93"/>
    </row>
    <row r="11" spans="2:5" ht="20.100000000000001" customHeight="1">
      <c r="B11" s="1" t="s">
        <v>60</v>
      </c>
      <c r="C11" s="95" t="s">
        <v>61</v>
      </c>
      <c r="D11" s="93"/>
      <c r="E11" s="93"/>
    </row>
    <row r="12" spans="2:5" ht="20.100000000000001" customHeight="1">
      <c r="B12" s="1" t="s">
        <v>62</v>
      </c>
      <c r="C12" s="95" t="s">
        <v>63</v>
      </c>
      <c r="D12" s="93"/>
      <c r="E12" s="93"/>
    </row>
    <row r="13" spans="2:5">
      <c r="B13" s="141"/>
      <c r="C13" s="141"/>
      <c r="D13" s="141"/>
      <c r="E13" s="141"/>
    </row>
    <row r="14" spans="2:5">
      <c r="B14" s="140" t="s">
        <v>64</v>
      </c>
      <c r="C14" s="139"/>
      <c r="D14" s="139"/>
      <c r="E14" s="139"/>
    </row>
    <row r="15" spans="2:5" ht="18" customHeight="1">
      <c r="B15" s="19" t="s">
        <v>65</v>
      </c>
      <c r="C15" s="96" t="s">
        <v>66</v>
      </c>
      <c r="D15" s="93"/>
      <c r="E15" s="93"/>
    </row>
    <row r="16" spans="2:5" ht="18" customHeight="1">
      <c r="B16" s="19" t="s">
        <v>67</v>
      </c>
      <c r="C16" s="96" t="s">
        <v>68</v>
      </c>
      <c r="D16" s="93"/>
      <c r="E16" s="93"/>
    </row>
    <row r="17" spans="2:8" ht="18" customHeight="1">
      <c r="B17" s="19" t="s">
        <v>69</v>
      </c>
      <c r="C17" s="96" t="s">
        <v>70</v>
      </c>
      <c r="D17" s="93"/>
      <c r="E17" s="93"/>
    </row>
    <row r="18" spans="2:8" ht="18" customHeight="1">
      <c r="B18" s="19" t="s">
        <v>71</v>
      </c>
      <c r="C18" s="96" t="s">
        <v>72</v>
      </c>
      <c r="D18" s="93"/>
      <c r="E18" s="93"/>
    </row>
    <row r="20" spans="2:8">
      <c r="B20" s="100" t="s">
        <v>73</v>
      </c>
      <c r="C20" s="81"/>
      <c r="D20" s="81"/>
      <c r="E20" s="81"/>
    </row>
    <row r="22" spans="2:8" ht="35.1" customHeight="1">
      <c r="B22" s="77" t="s">
        <v>216</v>
      </c>
      <c r="C22" s="75" t="s">
        <v>217</v>
      </c>
      <c r="D22" s="75" t="s">
        <v>218</v>
      </c>
      <c r="E22" s="75" t="s">
        <v>219</v>
      </c>
      <c r="F22" s="75" t="s">
        <v>220</v>
      </c>
      <c r="G22" s="75" t="s">
        <v>221</v>
      </c>
      <c r="H22" s="76" t="s">
        <v>222</v>
      </c>
    </row>
    <row r="23" spans="2:8" ht="24.95" customHeight="1">
      <c r="B23" s="78" t="s">
        <v>223</v>
      </c>
      <c r="C23" s="4" t="s">
        <v>224</v>
      </c>
      <c r="D23" s="5" t="s">
        <v>225</v>
      </c>
      <c r="E23" s="4" t="s">
        <v>226</v>
      </c>
      <c r="F23" s="4" t="s">
        <v>225</v>
      </c>
      <c r="G23" s="4" t="s">
        <v>57</v>
      </c>
      <c r="H23" s="73" t="s">
        <v>84</v>
      </c>
    </row>
    <row r="24" spans="2:8" ht="24.95" customHeight="1">
      <c r="B24" s="78" t="s">
        <v>227</v>
      </c>
      <c r="C24" s="4" t="s">
        <v>228</v>
      </c>
      <c r="D24" s="5" t="s">
        <v>225</v>
      </c>
      <c r="E24" s="4" t="s">
        <v>229</v>
      </c>
      <c r="F24" s="4" t="s">
        <v>230</v>
      </c>
      <c r="G24" s="4" t="s">
        <v>231</v>
      </c>
      <c r="H24" s="73" t="s">
        <v>232</v>
      </c>
    </row>
    <row r="25" spans="2:8" ht="24.95" customHeight="1">
      <c r="B25" s="78" t="s">
        <v>233</v>
      </c>
      <c r="C25" s="4" t="s">
        <v>234</v>
      </c>
      <c r="D25" s="5" t="s">
        <v>225</v>
      </c>
      <c r="E25" s="4" t="s">
        <v>235</v>
      </c>
      <c r="F25" s="4" t="s">
        <v>225</v>
      </c>
      <c r="G25" s="4" t="s">
        <v>57</v>
      </c>
      <c r="H25" s="73" t="s">
        <v>236</v>
      </c>
    </row>
    <row r="26" spans="2:8" ht="24.95" customHeight="1">
      <c r="B26" s="78" t="s">
        <v>237</v>
      </c>
      <c r="C26" s="4" t="s">
        <v>238</v>
      </c>
      <c r="D26" s="5" t="s">
        <v>225</v>
      </c>
      <c r="E26" s="4" t="s">
        <v>239</v>
      </c>
      <c r="F26" s="4" t="s">
        <v>225</v>
      </c>
      <c r="G26" s="4" t="s">
        <v>240</v>
      </c>
      <c r="H26" s="73" t="s">
        <v>241</v>
      </c>
    </row>
    <row r="27" spans="2:8" ht="24.95" customHeight="1">
      <c r="B27" s="78" t="s">
        <v>242</v>
      </c>
      <c r="C27" s="4" t="s">
        <v>243</v>
      </c>
      <c r="D27" s="5" t="s">
        <v>225</v>
      </c>
      <c r="E27" s="4" t="s">
        <v>244</v>
      </c>
      <c r="F27" s="4" t="s">
        <v>230</v>
      </c>
      <c r="G27" s="4" t="s">
        <v>245</v>
      </c>
      <c r="H27" s="73" t="s">
        <v>246</v>
      </c>
    </row>
    <row r="28" spans="2:8" ht="24.95" customHeight="1">
      <c r="B28" s="78" t="s">
        <v>247</v>
      </c>
      <c r="C28" s="4" t="s">
        <v>248</v>
      </c>
      <c r="D28" s="5" t="s">
        <v>225</v>
      </c>
      <c r="E28" s="4" t="s">
        <v>249</v>
      </c>
      <c r="F28" s="4" t="s">
        <v>225</v>
      </c>
      <c r="G28" s="4" t="s">
        <v>57</v>
      </c>
      <c r="H28" s="73" t="s">
        <v>250</v>
      </c>
    </row>
    <row r="29" spans="2:8" ht="24.95" customHeight="1">
      <c r="B29" s="78" t="s">
        <v>251</v>
      </c>
      <c r="C29" s="4" t="s">
        <v>252</v>
      </c>
      <c r="D29" s="5" t="s">
        <v>225</v>
      </c>
      <c r="E29" s="4" t="s">
        <v>253</v>
      </c>
      <c r="F29" s="4" t="s">
        <v>225</v>
      </c>
      <c r="G29" s="4" t="s">
        <v>254</v>
      </c>
      <c r="H29" s="73" t="s">
        <v>255</v>
      </c>
    </row>
    <row r="30" spans="2:8" ht="24.95" customHeight="1">
      <c r="B30" s="78" t="s">
        <v>256</v>
      </c>
      <c r="C30" s="4" t="s">
        <v>257</v>
      </c>
      <c r="D30" s="5" t="s">
        <v>225</v>
      </c>
      <c r="E30" s="4" t="s">
        <v>258</v>
      </c>
      <c r="F30" s="4" t="s">
        <v>225</v>
      </c>
      <c r="G30" s="4" t="s">
        <v>254</v>
      </c>
      <c r="H30" s="73" t="s">
        <v>259</v>
      </c>
    </row>
    <row r="31" spans="2:8" ht="24.95" customHeight="1">
      <c r="B31" s="78" t="s">
        <v>260</v>
      </c>
      <c r="C31" s="4" t="s">
        <v>261</v>
      </c>
      <c r="D31" s="5" t="s">
        <v>225</v>
      </c>
      <c r="E31" s="4" t="s">
        <v>262</v>
      </c>
      <c r="F31" s="4" t="s">
        <v>225</v>
      </c>
      <c r="G31" s="4" t="s">
        <v>254</v>
      </c>
      <c r="H31" s="73" t="s">
        <v>263</v>
      </c>
    </row>
    <row r="32" spans="2:8" ht="24.95" customHeight="1">
      <c r="B32" s="78" t="s">
        <v>264</v>
      </c>
      <c r="C32" s="4" t="s">
        <v>265</v>
      </c>
      <c r="D32" s="5" t="s">
        <v>225</v>
      </c>
      <c r="E32" s="4" t="s">
        <v>266</v>
      </c>
      <c r="F32" s="4" t="s">
        <v>225</v>
      </c>
      <c r="G32" s="4" t="s">
        <v>254</v>
      </c>
      <c r="H32" s="73" t="s">
        <v>267</v>
      </c>
    </row>
    <row r="33" spans="2:8" ht="24.95" customHeight="1">
      <c r="B33" s="78" t="s">
        <v>268</v>
      </c>
      <c r="C33" s="4" t="s">
        <v>269</v>
      </c>
      <c r="D33" s="5" t="s">
        <v>225</v>
      </c>
      <c r="E33" s="4" t="s">
        <v>270</v>
      </c>
      <c r="F33" s="4" t="s">
        <v>230</v>
      </c>
      <c r="G33" s="4" t="s">
        <v>254</v>
      </c>
      <c r="H33" s="73" t="s">
        <v>271</v>
      </c>
    </row>
    <row r="34" spans="2:8" ht="24.95" customHeight="1">
      <c r="B34" s="78" t="s">
        <v>272</v>
      </c>
      <c r="C34" s="4" t="s">
        <v>273</v>
      </c>
      <c r="D34" s="5" t="s">
        <v>225</v>
      </c>
      <c r="E34" s="4" t="s">
        <v>274</v>
      </c>
      <c r="F34" s="4" t="s">
        <v>225</v>
      </c>
      <c r="G34" s="4" t="s">
        <v>231</v>
      </c>
      <c r="H34" s="73" t="s">
        <v>275</v>
      </c>
    </row>
    <row r="35" spans="2:8" ht="24.95" customHeight="1">
      <c r="B35" s="78" t="s">
        <v>276</v>
      </c>
      <c r="C35" s="4" t="s">
        <v>277</v>
      </c>
      <c r="D35" s="5" t="s">
        <v>225</v>
      </c>
      <c r="E35" s="4" t="s">
        <v>278</v>
      </c>
      <c r="F35" s="4" t="s">
        <v>225</v>
      </c>
      <c r="G35" s="4" t="s">
        <v>279</v>
      </c>
      <c r="H35" s="73" t="s">
        <v>280</v>
      </c>
    </row>
    <row r="36" spans="2:8" ht="24.95" customHeight="1">
      <c r="B36" s="78" t="s">
        <v>281</v>
      </c>
      <c r="C36" s="4" t="s">
        <v>282</v>
      </c>
      <c r="D36" s="5" t="s">
        <v>225</v>
      </c>
      <c r="E36" s="4" t="s">
        <v>283</v>
      </c>
      <c r="F36" s="4" t="s">
        <v>230</v>
      </c>
      <c r="G36" s="4" t="s">
        <v>57</v>
      </c>
      <c r="H36" s="73" t="s">
        <v>284</v>
      </c>
    </row>
    <row r="37" spans="2:8" ht="24.95" customHeight="1">
      <c r="B37" s="78" t="s">
        <v>285</v>
      </c>
      <c r="C37" s="4" t="s">
        <v>286</v>
      </c>
      <c r="D37" s="5" t="s">
        <v>225</v>
      </c>
      <c r="E37" s="4" t="s">
        <v>287</v>
      </c>
      <c r="F37" s="4" t="s">
        <v>225</v>
      </c>
      <c r="G37" s="4" t="s">
        <v>231</v>
      </c>
      <c r="H37" s="73" t="s">
        <v>288</v>
      </c>
    </row>
    <row r="38" spans="2:8" ht="24.95" customHeight="1">
      <c r="B38" s="78" t="s">
        <v>289</v>
      </c>
      <c r="C38" s="4" t="s">
        <v>290</v>
      </c>
      <c r="D38" s="5" t="s">
        <v>225</v>
      </c>
      <c r="E38" s="4" t="s">
        <v>291</v>
      </c>
      <c r="F38" s="4" t="s">
        <v>225</v>
      </c>
      <c r="G38" s="4" t="s">
        <v>231</v>
      </c>
      <c r="H38" s="73" t="s">
        <v>292</v>
      </c>
    </row>
    <row r="39" spans="2:8" ht="24.95" customHeight="1">
      <c r="B39" s="78" t="s">
        <v>293</v>
      </c>
      <c r="C39" s="4" t="s">
        <v>294</v>
      </c>
      <c r="D39" s="5" t="s">
        <v>225</v>
      </c>
      <c r="E39" s="4" t="s">
        <v>295</v>
      </c>
      <c r="F39" s="4" t="s">
        <v>225</v>
      </c>
      <c r="G39" s="4" t="s">
        <v>296</v>
      </c>
      <c r="H39" s="73" t="s">
        <v>297</v>
      </c>
    </row>
    <row r="40" spans="2:8" ht="24.95" customHeight="1">
      <c r="B40" s="78" t="s">
        <v>298</v>
      </c>
      <c r="C40" s="4" t="s">
        <v>299</v>
      </c>
      <c r="D40" s="5" t="s">
        <v>225</v>
      </c>
      <c r="E40" s="4" t="s">
        <v>300</v>
      </c>
      <c r="F40" s="4" t="s">
        <v>225</v>
      </c>
      <c r="G40" s="4" t="s">
        <v>296</v>
      </c>
      <c r="H40" s="73" t="s">
        <v>301</v>
      </c>
    </row>
    <row r="41" spans="2:8" ht="24.95" customHeight="1">
      <c r="B41" s="78" t="s">
        <v>302</v>
      </c>
      <c r="C41" s="4" t="s">
        <v>303</v>
      </c>
      <c r="D41" s="5" t="s">
        <v>225</v>
      </c>
      <c r="E41" s="4" t="s">
        <v>304</v>
      </c>
      <c r="F41" s="4" t="s">
        <v>225</v>
      </c>
      <c r="G41" s="4" t="s">
        <v>296</v>
      </c>
      <c r="H41" s="73" t="s">
        <v>305</v>
      </c>
    </row>
    <row r="42" spans="2:8" ht="24.95" customHeight="1">
      <c r="B42" s="78" t="s">
        <v>306</v>
      </c>
      <c r="C42" s="4" t="s">
        <v>307</v>
      </c>
      <c r="D42" s="5" t="s">
        <v>225</v>
      </c>
      <c r="E42" s="4" t="s">
        <v>308</v>
      </c>
      <c r="F42" s="4" t="s">
        <v>225</v>
      </c>
      <c r="G42" s="4" t="s">
        <v>254</v>
      </c>
      <c r="H42" s="73" t="s">
        <v>309</v>
      </c>
    </row>
    <row r="43" spans="2:8" ht="24.95" customHeight="1">
      <c r="B43" s="78" t="s">
        <v>310</v>
      </c>
      <c r="C43" s="4" t="s">
        <v>311</v>
      </c>
      <c r="D43" s="5" t="s">
        <v>225</v>
      </c>
      <c r="E43" s="4" t="s">
        <v>312</v>
      </c>
      <c r="F43" s="4" t="s">
        <v>225</v>
      </c>
      <c r="G43" s="4" t="s">
        <v>254</v>
      </c>
      <c r="H43" s="73" t="s">
        <v>313</v>
      </c>
    </row>
    <row r="44" spans="2:8" ht="24.95" customHeight="1">
      <c r="B44" s="78" t="s">
        <v>314</v>
      </c>
      <c r="C44" s="4" t="s">
        <v>315</v>
      </c>
      <c r="D44" s="5" t="s">
        <v>225</v>
      </c>
      <c r="E44" s="4" t="s">
        <v>316</v>
      </c>
      <c r="F44" s="4" t="s">
        <v>230</v>
      </c>
      <c r="G44" s="4" t="s">
        <v>254</v>
      </c>
      <c r="H44" s="73" t="s">
        <v>317</v>
      </c>
    </row>
    <row r="45" spans="2:8" ht="24.95" customHeight="1">
      <c r="B45" s="78" t="s">
        <v>318</v>
      </c>
      <c r="C45" s="4" t="s">
        <v>319</v>
      </c>
      <c r="D45" s="5" t="s">
        <v>225</v>
      </c>
      <c r="E45" s="4" t="s">
        <v>320</v>
      </c>
      <c r="F45" s="4" t="s">
        <v>230</v>
      </c>
      <c r="G45" s="4" t="s">
        <v>254</v>
      </c>
      <c r="H45" s="73" t="s">
        <v>321</v>
      </c>
    </row>
    <row r="46" spans="2:8" ht="24.95" customHeight="1">
      <c r="B46" s="78" t="s">
        <v>322</v>
      </c>
      <c r="C46" s="4" t="s">
        <v>323</v>
      </c>
      <c r="D46" s="5" t="s">
        <v>225</v>
      </c>
      <c r="E46" s="4" t="s">
        <v>324</v>
      </c>
      <c r="F46" s="4" t="s">
        <v>225</v>
      </c>
      <c r="G46" s="4" t="s">
        <v>254</v>
      </c>
      <c r="H46" s="73" t="s">
        <v>325</v>
      </c>
    </row>
    <row r="47" spans="2:8" ht="24.95" customHeight="1">
      <c r="B47" s="78" t="s">
        <v>326</v>
      </c>
      <c r="C47" s="4" t="s">
        <v>327</v>
      </c>
      <c r="D47" s="5" t="s">
        <v>225</v>
      </c>
      <c r="E47" s="4" t="s">
        <v>328</v>
      </c>
      <c r="F47" s="4" t="s">
        <v>329</v>
      </c>
      <c r="G47" s="4" t="s">
        <v>254</v>
      </c>
      <c r="H47" s="73" t="s">
        <v>330</v>
      </c>
    </row>
    <row r="48" spans="2:8" ht="24.95" customHeight="1">
      <c r="B48" s="78" t="s">
        <v>331</v>
      </c>
      <c r="C48" s="4" t="s">
        <v>332</v>
      </c>
      <c r="D48" s="5" t="s">
        <v>225</v>
      </c>
      <c r="E48" s="4" t="s">
        <v>333</v>
      </c>
      <c r="F48" s="4" t="s">
        <v>225</v>
      </c>
      <c r="G48" s="4" t="s">
        <v>254</v>
      </c>
      <c r="H48" s="73" t="s">
        <v>53</v>
      </c>
    </row>
    <row r="49" spans="2:8" ht="24.95" customHeight="1">
      <c r="B49" s="78" t="s">
        <v>334</v>
      </c>
      <c r="C49" s="4" t="s">
        <v>335</v>
      </c>
      <c r="D49" s="5" t="s">
        <v>225</v>
      </c>
      <c r="E49" s="4" t="s">
        <v>336</v>
      </c>
      <c r="F49" s="4" t="s">
        <v>230</v>
      </c>
      <c r="G49" s="4" t="s">
        <v>337</v>
      </c>
      <c r="H49" s="73" t="s">
        <v>338</v>
      </c>
    </row>
    <row r="50" spans="2:8" ht="24.95" customHeight="1">
      <c r="B50" s="78" t="s">
        <v>339</v>
      </c>
      <c r="C50" s="4" t="s">
        <v>340</v>
      </c>
      <c r="D50" s="5" t="s">
        <v>225</v>
      </c>
      <c r="E50" s="4" t="s">
        <v>341</v>
      </c>
      <c r="F50" s="4" t="s">
        <v>230</v>
      </c>
      <c r="G50" s="4" t="s">
        <v>254</v>
      </c>
      <c r="H50" s="73" t="s">
        <v>342</v>
      </c>
    </row>
    <row r="51" spans="2:8" ht="24.95" customHeight="1">
      <c r="B51" s="78" t="s">
        <v>343</v>
      </c>
      <c r="C51" s="4" t="s">
        <v>344</v>
      </c>
      <c r="D51" s="5" t="s">
        <v>225</v>
      </c>
      <c r="E51" s="4" t="s">
        <v>345</v>
      </c>
      <c r="F51" s="4" t="s">
        <v>225</v>
      </c>
      <c r="G51" s="4" t="s">
        <v>240</v>
      </c>
      <c r="H51" s="73" t="s">
        <v>346</v>
      </c>
    </row>
    <row r="52" spans="2:8" ht="24.95" customHeight="1">
      <c r="B52" s="78" t="s">
        <v>347</v>
      </c>
      <c r="C52" s="4" t="s">
        <v>348</v>
      </c>
      <c r="D52" s="5" t="s">
        <v>225</v>
      </c>
      <c r="E52" s="4" t="s">
        <v>349</v>
      </c>
      <c r="F52" s="4" t="s">
        <v>225</v>
      </c>
      <c r="G52" s="4" t="s">
        <v>254</v>
      </c>
      <c r="H52" s="73" t="s">
        <v>350</v>
      </c>
    </row>
    <row r="53" spans="2:8" ht="24.95" customHeight="1">
      <c r="B53" s="79" t="s">
        <v>351</v>
      </c>
      <c r="C53" s="71" t="s">
        <v>352</v>
      </c>
      <c r="D53" s="72" t="s">
        <v>225</v>
      </c>
      <c r="E53" s="71" t="s">
        <v>353</v>
      </c>
      <c r="F53" s="71" t="s">
        <v>225</v>
      </c>
      <c r="G53" s="71" t="s">
        <v>254</v>
      </c>
      <c r="H53" s="74" t="s">
        <v>354</v>
      </c>
    </row>
  </sheetData>
  <mergeCells count="17">
    <mergeCell ref="C17:E17"/>
    <mergeCell ref="B2:E2"/>
    <mergeCell ref="C6:E6"/>
    <mergeCell ref="C16:E16"/>
    <mergeCell ref="B20:E20"/>
    <mergeCell ref="C7:E7"/>
    <mergeCell ref="B14:E14"/>
    <mergeCell ref="C15:E15"/>
    <mergeCell ref="C12:E12"/>
    <mergeCell ref="C10:E10"/>
    <mergeCell ref="C18:E18"/>
    <mergeCell ref="C9:E9"/>
    <mergeCell ref="B1:E1"/>
    <mergeCell ref="C11:E11"/>
    <mergeCell ref="C5:E5"/>
    <mergeCell ref="C8:E8"/>
    <mergeCell ref="C4:E4"/>
  </mergeCells>
  <pageMargins left="0.75" right="0.75" top="1" bottom="1" header="0.5" footer="0.5"/>
  <pageSetup paperSize="0" orientation="portrait" horizontalDpi="0" verticalDpi="0" copie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A1:J100"/>
  <sheetViews>
    <sheetView topLeftCell="A20" workbookViewId="0">
      <selection activeCell="B37" sqref="B37:E41"/>
    </sheetView>
  </sheetViews>
  <sheetFormatPr baseColWidth="10" defaultColWidth="9.140625" defaultRowHeight="15"/>
  <cols>
    <col min="1" max="1" width="3" customWidth="1"/>
    <col min="2" max="2" width="23.85546875" bestFit="1" customWidth="1"/>
    <col min="3" max="3" width="17.140625" bestFit="1" customWidth="1"/>
    <col min="4" max="4" width="13.28515625" bestFit="1" customWidth="1"/>
    <col min="5" max="5" width="31.85546875" customWidth="1"/>
    <col min="6" max="6" width="8.5703125" bestFit="1" customWidth="1"/>
    <col min="7" max="7" width="6.5703125" bestFit="1" customWidth="1"/>
  </cols>
  <sheetData>
    <row r="1" spans="1:10" ht="30" customHeight="1">
      <c r="A1" s="141"/>
      <c r="B1" s="142" t="s">
        <v>44</v>
      </c>
      <c r="C1" s="143"/>
      <c r="D1" s="143"/>
      <c r="E1" s="143"/>
      <c r="F1" s="141"/>
      <c r="G1" s="141"/>
      <c r="H1" s="141"/>
      <c r="I1" s="141"/>
      <c r="J1" s="141"/>
    </row>
    <row r="2" spans="1:10" ht="24.95" customHeight="1">
      <c r="A2" s="141"/>
      <c r="B2" s="144" t="s">
        <v>355</v>
      </c>
      <c r="C2" s="143"/>
      <c r="D2" s="143"/>
      <c r="E2" s="143"/>
      <c r="F2" s="141"/>
      <c r="G2" s="141"/>
      <c r="H2" s="141"/>
      <c r="I2" s="141"/>
      <c r="J2" s="141"/>
    </row>
    <row r="3" spans="1:10" ht="9.9499999999999993" customHeight="1">
      <c r="A3" s="141"/>
      <c r="B3" s="141"/>
      <c r="C3" s="141"/>
      <c r="D3" s="141"/>
      <c r="E3" s="141"/>
      <c r="F3" s="141"/>
      <c r="G3" s="141"/>
      <c r="H3" s="141"/>
      <c r="I3" s="141"/>
      <c r="J3" s="141"/>
    </row>
    <row r="4" spans="1:10" ht="20.100000000000001" customHeight="1">
      <c r="A4" s="141"/>
      <c r="B4" s="1" t="s">
        <v>46</v>
      </c>
      <c r="C4" s="95" t="s">
        <v>99</v>
      </c>
      <c r="D4" s="93"/>
      <c r="E4" s="93"/>
      <c r="F4" s="141"/>
      <c r="G4" s="141"/>
      <c r="H4" s="141"/>
      <c r="I4" s="141"/>
      <c r="J4" s="141"/>
    </row>
    <row r="5" spans="1:10" ht="20.100000000000001" customHeight="1">
      <c r="A5" s="141"/>
      <c r="B5" s="1" t="s">
        <v>48</v>
      </c>
      <c r="C5" s="95" t="s">
        <v>49</v>
      </c>
      <c r="D5" s="93"/>
      <c r="E5" s="93"/>
      <c r="F5" s="141"/>
      <c r="G5" s="141"/>
      <c r="H5" s="141"/>
      <c r="I5" s="141"/>
      <c r="J5" s="141"/>
    </row>
    <row r="6" spans="1:10" ht="20.100000000000001" customHeight="1">
      <c r="A6" s="141"/>
      <c r="B6" s="1" t="s">
        <v>50</v>
      </c>
      <c r="C6" s="95" t="s">
        <v>51</v>
      </c>
      <c r="D6" s="93"/>
      <c r="E6" s="93"/>
      <c r="F6" s="141"/>
      <c r="G6" s="141"/>
      <c r="H6" s="141"/>
      <c r="I6" s="141"/>
      <c r="J6" s="141"/>
    </row>
    <row r="7" spans="1:10" ht="20.100000000000001" customHeight="1">
      <c r="A7" s="141"/>
      <c r="B7" s="1" t="s">
        <v>52</v>
      </c>
      <c r="C7" s="95" t="s">
        <v>101</v>
      </c>
      <c r="D7" s="93"/>
      <c r="E7" s="93"/>
      <c r="F7" s="141"/>
      <c r="G7" s="141"/>
      <c r="H7" s="141"/>
      <c r="I7" s="141"/>
      <c r="J7" s="141"/>
    </row>
    <row r="8" spans="1:10" ht="20.100000000000001" customHeight="1">
      <c r="A8" s="141"/>
      <c r="B8" s="1" t="s">
        <v>54</v>
      </c>
      <c r="C8" s="95" t="s">
        <v>55</v>
      </c>
      <c r="D8" s="93"/>
      <c r="E8" s="93"/>
      <c r="F8" s="141"/>
      <c r="G8" s="141"/>
      <c r="H8" s="141"/>
      <c r="I8" s="141"/>
      <c r="J8" s="141"/>
    </row>
    <row r="9" spans="1:10" ht="20.100000000000001" customHeight="1">
      <c r="A9" s="141"/>
      <c r="B9" s="1" t="s">
        <v>56</v>
      </c>
      <c r="C9" s="95" t="s">
        <v>57</v>
      </c>
      <c r="D9" s="93"/>
      <c r="E9" s="93"/>
      <c r="F9" s="141"/>
      <c r="G9" s="141"/>
      <c r="H9" s="141"/>
      <c r="I9" s="141"/>
      <c r="J9" s="141"/>
    </row>
    <row r="10" spans="1:10" ht="20.100000000000001" customHeight="1">
      <c r="A10" s="141"/>
      <c r="B10" s="1" t="s">
        <v>58</v>
      </c>
      <c r="C10" s="95" t="s">
        <v>59</v>
      </c>
      <c r="D10" s="93"/>
      <c r="E10" s="93"/>
      <c r="F10" s="141"/>
      <c r="G10" s="141"/>
      <c r="H10" s="141"/>
      <c r="I10" s="141"/>
      <c r="J10" s="141"/>
    </row>
    <row r="11" spans="1:10" ht="20.100000000000001" customHeight="1">
      <c r="A11" s="141"/>
      <c r="B11" s="1" t="s">
        <v>60</v>
      </c>
      <c r="C11" s="95" t="s">
        <v>61</v>
      </c>
      <c r="D11" s="93"/>
      <c r="E11" s="93"/>
      <c r="F11" s="141"/>
      <c r="G11" s="141"/>
      <c r="H11" s="141"/>
      <c r="I11" s="141"/>
      <c r="J11" s="141"/>
    </row>
    <row r="12" spans="1:10" ht="20.100000000000001" customHeight="1">
      <c r="A12" s="141"/>
      <c r="B12" s="1" t="s">
        <v>62</v>
      </c>
      <c r="C12" s="95" t="s">
        <v>63</v>
      </c>
      <c r="D12" s="93"/>
      <c r="E12" s="93"/>
      <c r="F12" s="141"/>
      <c r="G12" s="141"/>
      <c r="H12" s="141"/>
      <c r="I12" s="141"/>
      <c r="J12" s="141"/>
    </row>
    <row r="13" spans="1:10">
      <c r="A13" s="141"/>
      <c r="B13" s="141"/>
      <c r="C13" s="141"/>
      <c r="D13" s="141"/>
      <c r="E13" s="141"/>
      <c r="F13" s="141"/>
      <c r="G13" s="141"/>
      <c r="H13" s="141"/>
      <c r="I13" s="141"/>
      <c r="J13" s="141"/>
    </row>
    <row r="14" spans="1:10">
      <c r="A14" s="141"/>
      <c r="B14" s="101" t="s">
        <v>64</v>
      </c>
      <c r="C14" s="93"/>
      <c r="D14" s="93"/>
      <c r="E14" s="93"/>
      <c r="F14" s="141"/>
      <c r="G14" s="141"/>
      <c r="H14" s="141"/>
      <c r="I14" s="141"/>
      <c r="J14" s="141"/>
    </row>
    <row r="15" spans="1:10" ht="18" customHeight="1">
      <c r="A15" s="141"/>
      <c r="B15" s="19" t="s">
        <v>65</v>
      </c>
      <c r="C15" s="96" t="s">
        <v>66</v>
      </c>
      <c r="D15" s="93"/>
      <c r="E15" s="93"/>
      <c r="F15" s="141"/>
      <c r="G15" s="141"/>
      <c r="H15" s="141"/>
      <c r="I15" s="141"/>
      <c r="J15" s="141"/>
    </row>
    <row r="16" spans="1:10" ht="18" customHeight="1">
      <c r="A16" s="141"/>
      <c r="B16" s="19" t="s">
        <v>67</v>
      </c>
      <c r="C16" s="96" t="s">
        <v>68</v>
      </c>
      <c r="D16" s="93"/>
      <c r="E16" s="93"/>
      <c r="F16" s="141"/>
      <c r="G16" s="141"/>
      <c r="H16" s="141"/>
      <c r="I16" s="141"/>
      <c r="J16" s="141"/>
    </row>
    <row r="17" spans="1:10" ht="18" customHeight="1">
      <c r="A17" s="141"/>
      <c r="B17" s="19" t="s">
        <v>69</v>
      </c>
      <c r="C17" s="96" t="s">
        <v>70</v>
      </c>
      <c r="D17" s="93"/>
      <c r="E17" s="93"/>
      <c r="F17" s="141"/>
      <c r="G17" s="141"/>
      <c r="H17" s="141"/>
      <c r="I17" s="141"/>
      <c r="J17" s="141"/>
    </row>
    <row r="18" spans="1:10" ht="18" customHeight="1">
      <c r="A18" s="141"/>
      <c r="B18" s="19" t="s">
        <v>71</v>
      </c>
      <c r="C18" s="96" t="s">
        <v>72</v>
      </c>
      <c r="D18" s="93"/>
      <c r="E18" s="93"/>
      <c r="F18" s="141"/>
      <c r="G18" s="141"/>
      <c r="H18" s="141"/>
      <c r="I18" s="141"/>
      <c r="J18" s="141"/>
    </row>
    <row r="19" spans="1:10">
      <c r="A19" s="141"/>
      <c r="B19" s="141"/>
      <c r="C19" s="141"/>
      <c r="D19" s="141"/>
      <c r="E19" s="141"/>
      <c r="F19" s="141"/>
      <c r="G19" s="141"/>
      <c r="H19" s="141"/>
      <c r="I19" s="141"/>
      <c r="J19" s="141"/>
    </row>
    <row r="20" spans="1:10">
      <c r="A20" s="141"/>
      <c r="B20" s="145" t="s">
        <v>73</v>
      </c>
      <c r="C20" s="143"/>
      <c r="D20" s="143"/>
      <c r="E20" s="143"/>
      <c r="F20" s="141"/>
      <c r="G20" s="141"/>
      <c r="H20" s="141"/>
      <c r="I20" s="141"/>
      <c r="J20" s="141"/>
    </row>
    <row r="21" spans="1:10">
      <c r="A21" s="141"/>
      <c r="B21" s="141"/>
      <c r="C21" s="141"/>
      <c r="D21" s="141"/>
      <c r="E21" s="141"/>
      <c r="F21" s="141"/>
      <c r="G21" s="141"/>
      <c r="H21" s="141"/>
      <c r="I21" s="141"/>
      <c r="J21" s="141"/>
    </row>
    <row r="22" spans="1:10">
      <c r="A22" s="141"/>
      <c r="B22" s="112" t="s">
        <v>356</v>
      </c>
      <c r="C22" s="93"/>
      <c r="D22" s="93"/>
      <c r="E22" s="93"/>
      <c r="F22" s="141"/>
      <c r="G22" s="141"/>
      <c r="H22" s="141"/>
      <c r="I22" s="141"/>
      <c r="J22" s="141"/>
    </row>
    <row r="23" spans="1:10">
      <c r="A23" s="141"/>
      <c r="B23" s="25" t="s">
        <v>357</v>
      </c>
      <c r="C23" s="110" t="s">
        <v>358</v>
      </c>
      <c r="D23" s="93"/>
      <c r="E23" s="93"/>
      <c r="F23" s="141"/>
      <c r="G23" s="141"/>
      <c r="H23" s="141"/>
      <c r="I23" s="141"/>
      <c r="J23" s="141"/>
    </row>
    <row r="24" spans="1:10">
      <c r="A24" s="141"/>
      <c r="B24" s="25" t="s">
        <v>359</v>
      </c>
      <c r="C24" s="110" t="s">
        <v>360</v>
      </c>
      <c r="D24" s="93"/>
      <c r="E24" s="93"/>
      <c r="F24" s="141"/>
      <c r="G24" s="141"/>
      <c r="H24" s="141"/>
      <c r="I24" s="141"/>
      <c r="J24" s="141"/>
    </row>
    <row r="25" spans="1:10">
      <c r="A25" s="141"/>
      <c r="B25" s="25" t="s">
        <v>361</v>
      </c>
      <c r="C25" s="110" t="s">
        <v>362</v>
      </c>
      <c r="D25" s="93"/>
      <c r="E25" s="93"/>
      <c r="F25" s="141"/>
      <c r="G25" s="141"/>
      <c r="H25" s="141"/>
      <c r="I25" s="141"/>
      <c r="J25" s="141"/>
    </row>
    <row r="26" spans="1:10">
      <c r="A26" s="141"/>
      <c r="B26" s="25" t="s">
        <v>363</v>
      </c>
      <c r="C26" s="110" t="s">
        <v>362</v>
      </c>
      <c r="D26" s="93"/>
      <c r="E26" s="93"/>
      <c r="F26" s="141"/>
      <c r="G26" s="141"/>
      <c r="H26" s="141"/>
      <c r="I26" s="141"/>
      <c r="J26" s="141"/>
    </row>
    <row r="27" spans="1:10">
      <c r="A27" s="141"/>
      <c r="B27" s="25" t="s">
        <v>364</v>
      </c>
      <c r="C27" s="110" t="s">
        <v>365</v>
      </c>
      <c r="D27" s="93"/>
      <c r="E27" s="93"/>
      <c r="F27" s="141"/>
      <c r="G27" s="141"/>
      <c r="H27" s="141"/>
      <c r="I27" s="141"/>
      <c r="J27" s="141"/>
    </row>
    <row r="28" spans="1:10">
      <c r="A28" s="141"/>
      <c r="B28" s="141"/>
      <c r="C28" s="141"/>
      <c r="D28" s="141"/>
      <c r="E28" s="141"/>
      <c r="F28" s="141"/>
      <c r="G28" s="141"/>
      <c r="H28" s="141"/>
      <c r="I28" s="141"/>
      <c r="J28" s="141"/>
    </row>
    <row r="29" spans="1:10">
      <c r="A29" s="141"/>
      <c r="B29" s="112" t="s">
        <v>366</v>
      </c>
      <c r="C29" s="93"/>
      <c r="D29" s="93"/>
      <c r="E29" s="93"/>
      <c r="F29" s="141"/>
      <c r="G29" s="141"/>
      <c r="H29" s="141"/>
      <c r="I29" s="141"/>
      <c r="J29" s="141"/>
    </row>
    <row r="30" spans="1:10">
      <c r="A30" s="141"/>
      <c r="B30" s="26" t="s">
        <v>367</v>
      </c>
      <c r="C30" s="26" t="s">
        <v>368</v>
      </c>
      <c r="D30" s="26" t="s">
        <v>369</v>
      </c>
      <c r="E30" s="26" t="s">
        <v>370</v>
      </c>
      <c r="F30" s="26" t="s">
        <v>81</v>
      </c>
      <c r="G30" s="26" t="s">
        <v>371</v>
      </c>
      <c r="H30" s="141"/>
      <c r="I30" s="141"/>
      <c r="J30" s="141"/>
    </row>
    <row r="31" spans="1:10">
      <c r="A31" s="141"/>
      <c r="B31" s="21" t="s">
        <v>372</v>
      </c>
      <c r="C31" s="21" t="s">
        <v>373</v>
      </c>
      <c r="D31" s="21" t="s">
        <v>374</v>
      </c>
      <c r="E31" s="21" t="s">
        <v>375</v>
      </c>
      <c r="F31" s="21" t="s">
        <v>376</v>
      </c>
      <c r="G31" s="21" t="s">
        <v>377</v>
      </c>
      <c r="H31" s="141"/>
      <c r="I31" s="141"/>
      <c r="J31" s="141"/>
    </row>
    <row r="32" spans="1:10">
      <c r="A32" s="141"/>
      <c r="B32" s="21" t="s">
        <v>378</v>
      </c>
      <c r="C32" s="21" t="s">
        <v>379</v>
      </c>
      <c r="D32" s="21" t="s">
        <v>380</v>
      </c>
      <c r="E32" s="21" t="s">
        <v>381</v>
      </c>
      <c r="F32" s="21" t="s">
        <v>376</v>
      </c>
      <c r="G32" s="21" t="s">
        <v>377</v>
      </c>
      <c r="H32" s="141"/>
      <c r="I32" s="141"/>
      <c r="J32" s="141"/>
    </row>
    <row r="33" spans="1:10">
      <c r="A33" s="141"/>
      <c r="B33" s="21" t="s">
        <v>382</v>
      </c>
      <c r="C33" s="21" t="s">
        <v>383</v>
      </c>
      <c r="D33" s="21" t="s">
        <v>384</v>
      </c>
      <c r="E33" s="21" t="s">
        <v>381</v>
      </c>
      <c r="F33" s="21" t="s">
        <v>376</v>
      </c>
      <c r="G33" s="21" t="s">
        <v>377</v>
      </c>
      <c r="H33" s="141"/>
      <c r="I33" s="141"/>
      <c r="J33" s="141"/>
    </row>
    <row r="34" spans="1:10">
      <c r="A34" s="141"/>
      <c r="B34" s="21" t="s">
        <v>385</v>
      </c>
      <c r="C34" s="21" t="s">
        <v>386</v>
      </c>
      <c r="D34" s="21" t="s">
        <v>387</v>
      </c>
      <c r="E34" s="21" t="s">
        <v>375</v>
      </c>
      <c r="F34" s="21" t="s">
        <v>376</v>
      </c>
      <c r="G34" s="21" t="s">
        <v>377</v>
      </c>
      <c r="H34" s="141"/>
      <c r="I34" s="141"/>
      <c r="J34" s="141"/>
    </row>
    <row r="35" spans="1:10">
      <c r="A35" s="141"/>
      <c r="B35" s="141"/>
      <c r="C35" s="141"/>
      <c r="D35" s="141"/>
      <c r="E35" s="141"/>
      <c r="F35" s="141"/>
      <c r="G35" s="141"/>
      <c r="H35" s="141"/>
      <c r="I35" s="141"/>
      <c r="J35" s="141"/>
    </row>
    <row r="36" spans="1:10">
      <c r="A36" s="141"/>
      <c r="B36" s="141"/>
      <c r="C36" s="141"/>
      <c r="D36" s="141"/>
      <c r="E36" s="141"/>
      <c r="F36" s="141"/>
      <c r="G36" s="141"/>
      <c r="H36" s="141"/>
      <c r="I36" s="141"/>
      <c r="J36" s="141"/>
    </row>
    <row r="37" spans="1:10">
      <c r="A37" s="141"/>
      <c r="B37" s="112" t="s">
        <v>388</v>
      </c>
      <c r="C37" s="93"/>
      <c r="D37" s="93"/>
      <c r="E37" s="93"/>
      <c r="F37" s="141"/>
      <c r="G37" s="141"/>
      <c r="H37" s="141"/>
      <c r="I37" s="141"/>
      <c r="J37" s="141"/>
    </row>
    <row r="38" spans="1:10" ht="24.95" customHeight="1">
      <c r="A38" s="141"/>
      <c r="B38" s="25" t="s">
        <v>389</v>
      </c>
      <c r="C38" s="111" t="s">
        <v>390</v>
      </c>
      <c r="D38" s="93"/>
      <c r="E38" s="93"/>
      <c r="F38" s="141"/>
      <c r="G38" s="141"/>
      <c r="H38" s="141"/>
      <c r="I38" s="141"/>
      <c r="J38" s="141"/>
    </row>
    <row r="39" spans="1:10" ht="24.95" customHeight="1">
      <c r="A39" s="141"/>
      <c r="B39" s="25" t="s">
        <v>391</v>
      </c>
      <c r="C39" s="111" t="s">
        <v>392</v>
      </c>
      <c r="D39" s="93"/>
      <c r="E39" s="93"/>
      <c r="F39" s="141"/>
      <c r="G39" s="141"/>
      <c r="H39" s="141"/>
      <c r="I39" s="141"/>
      <c r="J39" s="141"/>
    </row>
    <row r="40" spans="1:10" ht="24.95" customHeight="1">
      <c r="A40" s="141"/>
      <c r="B40" s="25" t="s">
        <v>393</v>
      </c>
      <c r="C40" s="111" t="s">
        <v>394</v>
      </c>
      <c r="D40" s="93"/>
      <c r="E40" s="93"/>
      <c r="F40" s="141"/>
      <c r="G40" s="141"/>
      <c r="H40" s="141"/>
      <c r="I40" s="141"/>
      <c r="J40" s="141"/>
    </row>
    <row r="41" spans="1:10" ht="24.95" customHeight="1">
      <c r="A41" s="141"/>
      <c r="B41" s="25" t="s">
        <v>395</v>
      </c>
      <c r="C41" s="111" t="s">
        <v>396</v>
      </c>
      <c r="D41" s="93"/>
      <c r="E41" s="93"/>
      <c r="F41" s="141"/>
      <c r="G41" s="141"/>
      <c r="H41" s="141"/>
      <c r="I41" s="141"/>
      <c r="J41" s="141"/>
    </row>
    <row r="42" spans="1:10">
      <c r="A42" s="141"/>
      <c r="B42" s="141"/>
      <c r="C42" s="141"/>
      <c r="D42" s="141"/>
      <c r="E42" s="141"/>
      <c r="F42" s="141"/>
      <c r="G42" s="141"/>
      <c r="H42" s="141"/>
      <c r="I42" s="141"/>
      <c r="J42" s="141"/>
    </row>
    <row r="43" spans="1:10">
      <c r="A43" s="141"/>
      <c r="B43" s="141"/>
      <c r="C43" s="141"/>
      <c r="D43" s="141"/>
      <c r="E43" s="141"/>
      <c r="F43" s="141"/>
      <c r="G43" s="141"/>
      <c r="H43" s="141"/>
      <c r="I43" s="141"/>
      <c r="J43" s="141"/>
    </row>
    <row r="44" spans="1:10">
      <c r="A44" s="141"/>
      <c r="B44" s="141"/>
      <c r="C44" s="141"/>
      <c r="D44" s="141"/>
      <c r="E44" s="141"/>
      <c r="F44" s="141"/>
      <c r="G44" s="141"/>
      <c r="H44" s="141"/>
      <c r="I44" s="141"/>
      <c r="J44" s="141"/>
    </row>
    <row r="45" spans="1:10">
      <c r="A45" s="141"/>
      <c r="B45" s="141"/>
      <c r="C45" s="141"/>
      <c r="D45" s="141"/>
      <c r="E45" s="141"/>
      <c r="F45" s="141"/>
      <c r="G45" s="141"/>
      <c r="H45" s="141"/>
      <c r="I45" s="141"/>
      <c r="J45" s="141"/>
    </row>
    <row r="46" spans="1:10">
      <c r="A46" s="141"/>
      <c r="B46" s="141"/>
      <c r="C46" s="141"/>
      <c r="D46" s="141"/>
      <c r="E46" s="141"/>
      <c r="F46" s="141"/>
      <c r="G46" s="141"/>
      <c r="H46" s="141"/>
      <c r="I46" s="141"/>
      <c r="J46" s="141"/>
    </row>
    <row r="47" spans="1:10">
      <c r="A47" s="141"/>
      <c r="B47" s="141"/>
      <c r="C47" s="141"/>
      <c r="D47" s="141"/>
      <c r="E47" s="141"/>
      <c r="F47" s="141"/>
      <c r="G47" s="141"/>
      <c r="H47" s="141"/>
      <c r="I47" s="141"/>
      <c r="J47" s="141"/>
    </row>
    <row r="48" spans="1:10">
      <c r="A48" s="141"/>
      <c r="B48" s="141"/>
      <c r="C48" s="141"/>
      <c r="D48" s="141"/>
      <c r="E48" s="141"/>
      <c r="F48" s="141"/>
      <c r="G48" s="141"/>
      <c r="H48" s="141"/>
      <c r="I48" s="141"/>
      <c r="J48" s="141"/>
    </row>
    <row r="49" spans="1:10">
      <c r="A49" s="141"/>
      <c r="B49" s="141"/>
      <c r="C49" s="141"/>
      <c r="D49" s="141"/>
      <c r="E49" s="141"/>
      <c r="F49" s="141"/>
      <c r="G49" s="141"/>
      <c r="H49" s="141"/>
      <c r="I49" s="141"/>
      <c r="J49" s="141"/>
    </row>
    <row r="50" spans="1:10">
      <c r="A50" s="141"/>
      <c r="B50" s="141"/>
      <c r="C50" s="141"/>
      <c r="D50" s="141"/>
      <c r="E50" s="141"/>
      <c r="F50" s="141"/>
      <c r="G50" s="141"/>
      <c r="H50" s="141"/>
      <c r="I50" s="141"/>
      <c r="J50" s="141"/>
    </row>
    <row r="51" spans="1:10">
      <c r="A51" s="141"/>
      <c r="B51" s="141"/>
      <c r="C51" s="141"/>
      <c r="D51" s="141"/>
      <c r="E51" s="141"/>
      <c r="F51" s="141"/>
      <c r="G51" s="141"/>
      <c r="H51" s="141"/>
      <c r="I51" s="141"/>
      <c r="J51" s="141"/>
    </row>
    <row r="52" spans="1:10">
      <c r="A52" s="141"/>
      <c r="B52" s="141"/>
      <c r="C52" s="141"/>
      <c r="D52" s="141"/>
      <c r="E52" s="141"/>
      <c r="F52" s="141"/>
      <c r="G52" s="141"/>
      <c r="H52" s="141"/>
      <c r="I52" s="141"/>
      <c r="J52" s="141"/>
    </row>
    <row r="53" spans="1:10">
      <c r="A53" s="141"/>
      <c r="B53" s="141"/>
      <c r="C53" s="141"/>
      <c r="D53" s="141"/>
      <c r="E53" s="141"/>
      <c r="F53" s="141"/>
      <c r="G53" s="141"/>
      <c r="H53" s="141"/>
      <c r="I53" s="141"/>
      <c r="J53" s="141"/>
    </row>
    <row r="54" spans="1:10">
      <c r="A54" s="141"/>
      <c r="B54" s="141"/>
      <c r="C54" s="141"/>
      <c r="D54" s="141"/>
      <c r="E54" s="141"/>
      <c r="F54" s="141"/>
      <c r="G54" s="141"/>
      <c r="H54" s="141"/>
      <c r="I54" s="141"/>
      <c r="J54" s="141"/>
    </row>
    <row r="55" spans="1:10">
      <c r="A55" s="141"/>
      <c r="B55" s="141"/>
      <c r="C55" s="141"/>
      <c r="D55" s="141"/>
      <c r="E55" s="141"/>
      <c r="F55" s="141"/>
      <c r="G55" s="141"/>
      <c r="H55" s="141"/>
      <c r="I55" s="141"/>
      <c r="J55" s="141"/>
    </row>
    <row r="56" spans="1:10">
      <c r="A56" s="141"/>
      <c r="B56" s="141"/>
      <c r="C56" s="141"/>
      <c r="D56" s="141"/>
      <c r="E56" s="141"/>
      <c r="F56" s="141"/>
      <c r="G56" s="141"/>
      <c r="H56" s="141"/>
      <c r="I56" s="141"/>
      <c r="J56" s="141"/>
    </row>
    <row r="57" spans="1:10">
      <c r="A57" s="141"/>
      <c r="B57" s="141"/>
      <c r="C57" s="141"/>
      <c r="D57" s="141"/>
      <c r="E57" s="141"/>
      <c r="F57" s="141"/>
      <c r="G57" s="141"/>
      <c r="H57" s="141"/>
      <c r="I57" s="141"/>
      <c r="J57" s="141"/>
    </row>
    <row r="58" spans="1:10">
      <c r="A58" s="141"/>
      <c r="B58" s="141"/>
      <c r="C58" s="141"/>
      <c r="D58" s="141"/>
      <c r="E58" s="141"/>
      <c r="F58" s="141"/>
      <c r="G58" s="141"/>
      <c r="H58" s="141"/>
      <c r="I58" s="141"/>
      <c r="J58" s="141"/>
    </row>
    <row r="59" spans="1:10">
      <c r="A59" s="141"/>
      <c r="B59" s="141"/>
      <c r="C59" s="141"/>
      <c r="D59" s="141"/>
      <c r="E59" s="141"/>
      <c r="F59" s="141"/>
      <c r="G59" s="141"/>
      <c r="H59" s="141"/>
      <c r="I59" s="141"/>
      <c r="J59" s="141"/>
    </row>
    <row r="60" spans="1:10">
      <c r="A60" s="141"/>
      <c r="B60" s="141"/>
      <c r="C60" s="141"/>
      <c r="D60" s="141"/>
      <c r="E60" s="141"/>
      <c r="F60" s="141"/>
      <c r="G60" s="141"/>
      <c r="H60" s="141"/>
      <c r="I60" s="141"/>
      <c r="J60" s="141"/>
    </row>
    <row r="61" spans="1:10">
      <c r="A61" s="141"/>
      <c r="B61" s="141"/>
      <c r="C61" s="141"/>
      <c r="D61" s="141"/>
      <c r="E61" s="141"/>
      <c r="F61" s="141"/>
      <c r="G61" s="141"/>
      <c r="H61" s="141"/>
      <c r="I61" s="141"/>
      <c r="J61" s="141"/>
    </row>
    <row r="62" spans="1:10">
      <c r="A62" s="141"/>
      <c r="B62" s="141"/>
      <c r="C62" s="141"/>
      <c r="D62" s="141"/>
      <c r="E62" s="141"/>
      <c r="F62" s="141"/>
      <c r="G62" s="141"/>
      <c r="H62" s="141"/>
      <c r="I62" s="141"/>
      <c r="J62" s="141"/>
    </row>
    <row r="63" spans="1:10">
      <c r="A63" s="141"/>
      <c r="B63" s="141"/>
      <c r="C63" s="141"/>
      <c r="D63" s="141"/>
      <c r="E63" s="141"/>
      <c r="F63" s="141"/>
      <c r="G63" s="141"/>
      <c r="H63" s="141"/>
      <c r="I63" s="141"/>
      <c r="J63" s="141"/>
    </row>
    <row r="64" spans="1:10">
      <c r="A64" s="141"/>
      <c r="B64" s="141"/>
      <c r="C64" s="141"/>
      <c r="D64" s="141"/>
      <c r="E64" s="141"/>
      <c r="F64" s="141"/>
      <c r="G64" s="141"/>
      <c r="H64" s="141"/>
      <c r="I64" s="141"/>
      <c r="J64" s="141"/>
    </row>
    <row r="65" spans="1:10">
      <c r="A65" s="141"/>
      <c r="B65" s="141"/>
      <c r="C65" s="141"/>
      <c r="D65" s="141"/>
      <c r="E65" s="141"/>
      <c r="F65" s="141"/>
      <c r="G65" s="141"/>
      <c r="H65" s="141"/>
      <c r="I65" s="141"/>
      <c r="J65" s="141"/>
    </row>
    <row r="66" spans="1:10">
      <c r="A66" s="141"/>
      <c r="B66" s="141"/>
      <c r="C66" s="141"/>
      <c r="D66" s="141"/>
      <c r="E66" s="141"/>
      <c r="F66" s="141"/>
      <c r="G66" s="141"/>
      <c r="H66" s="141"/>
      <c r="I66" s="141"/>
      <c r="J66" s="141"/>
    </row>
    <row r="67" spans="1:10">
      <c r="A67" s="141"/>
      <c r="B67" s="141"/>
      <c r="C67" s="141"/>
      <c r="D67" s="141"/>
      <c r="E67" s="141"/>
      <c r="F67" s="141"/>
      <c r="G67" s="141"/>
      <c r="H67" s="141"/>
      <c r="I67" s="141"/>
      <c r="J67" s="141"/>
    </row>
    <row r="68" spans="1:10">
      <c r="A68" s="141"/>
      <c r="B68" s="141"/>
      <c r="C68" s="141"/>
      <c r="D68" s="141"/>
      <c r="E68" s="141"/>
      <c r="F68" s="141"/>
      <c r="G68" s="141"/>
      <c r="H68" s="141"/>
      <c r="I68" s="141"/>
      <c r="J68" s="141"/>
    </row>
    <row r="69" spans="1:10">
      <c r="A69" s="141"/>
      <c r="B69" s="141"/>
      <c r="C69" s="141"/>
      <c r="D69" s="141"/>
      <c r="E69" s="141"/>
      <c r="F69" s="141"/>
      <c r="G69" s="141"/>
      <c r="H69" s="141"/>
      <c r="I69" s="141"/>
      <c r="J69" s="141"/>
    </row>
    <row r="70" spans="1:10">
      <c r="A70" s="141"/>
      <c r="B70" s="141"/>
      <c r="C70" s="141"/>
      <c r="D70" s="141"/>
      <c r="E70" s="141"/>
      <c r="F70" s="141"/>
      <c r="G70" s="141"/>
      <c r="H70" s="141"/>
      <c r="I70" s="141"/>
      <c r="J70" s="141"/>
    </row>
    <row r="71" spans="1:10">
      <c r="A71" s="141"/>
      <c r="B71" s="141"/>
      <c r="C71" s="141"/>
      <c r="D71" s="141"/>
      <c r="E71" s="141"/>
      <c r="F71" s="141"/>
      <c r="G71" s="141"/>
      <c r="H71" s="141"/>
      <c r="I71" s="141"/>
      <c r="J71" s="141"/>
    </row>
    <row r="72" spans="1:10">
      <c r="A72" s="141"/>
      <c r="B72" s="141"/>
      <c r="C72" s="141"/>
      <c r="D72" s="141"/>
      <c r="E72" s="141"/>
      <c r="F72" s="141"/>
      <c r="G72" s="141"/>
      <c r="H72" s="141"/>
      <c r="I72" s="141"/>
      <c r="J72" s="141"/>
    </row>
    <row r="73" spans="1:10">
      <c r="A73" s="141"/>
      <c r="B73" s="141"/>
      <c r="C73" s="141"/>
      <c r="D73" s="141"/>
      <c r="E73" s="141"/>
      <c r="F73" s="141"/>
      <c r="G73" s="141"/>
      <c r="H73" s="141"/>
      <c r="I73" s="141"/>
      <c r="J73" s="141"/>
    </row>
    <row r="74" spans="1:10">
      <c r="A74" s="141"/>
      <c r="B74" s="141"/>
      <c r="C74" s="141"/>
      <c r="D74" s="141"/>
      <c r="E74" s="141"/>
      <c r="F74" s="141"/>
      <c r="G74" s="141"/>
      <c r="H74" s="141"/>
      <c r="I74" s="141"/>
      <c r="J74" s="141"/>
    </row>
    <row r="75" spans="1:10">
      <c r="A75" s="141"/>
      <c r="B75" s="141"/>
      <c r="C75" s="141"/>
      <c r="D75" s="141"/>
      <c r="E75" s="141"/>
      <c r="F75" s="141"/>
      <c r="G75" s="141"/>
      <c r="H75" s="141"/>
      <c r="I75" s="141"/>
      <c r="J75" s="141"/>
    </row>
    <row r="76" spans="1:10">
      <c r="A76" s="141"/>
      <c r="B76" s="141"/>
      <c r="C76" s="141"/>
      <c r="D76" s="141"/>
      <c r="E76" s="141"/>
      <c r="F76" s="141"/>
      <c r="G76" s="141"/>
      <c r="H76" s="141"/>
      <c r="I76" s="141"/>
      <c r="J76" s="141"/>
    </row>
    <row r="77" spans="1:10">
      <c r="A77" s="141"/>
      <c r="B77" s="141"/>
      <c r="C77" s="141"/>
      <c r="D77" s="141"/>
      <c r="E77" s="141"/>
      <c r="F77" s="141"/>
      <c r="G77" s="141"/>
      <c r="H77" s="141"/>
      <c r="I77" s="141"/>
      <c r="J77" s="141"/>
    </row>
    <row r="78" spans="1:10">
      <c r="A78" s="141"/>
      <c r="B78" s="141"/>
      <c r="C78" s="141"/>
      <c r="D78" s="141"/>
      <c r="E78" s="141"/>
      <c r="F78" s="141"/>
      <c r="G78" s="141"/>
      <c r="H78" s="141"/>
      <c r="I78" s="141"/>
      <c r="J78" s="141"/>
    </row>
    <row r="79" spans="1:10">
      <c r="A79" s="141"/>
      <c r="B79" s="141"/>
      <c r="C79" s="141"/>
      <c r="D79" s="141"/>
      <c r="E79" s="141"/>
      <c r="F79" s="141"/>
      <c r="G79" s="141"/>
      <c r="H79" s="141"/>
      <c r="I79" s="141"/>
      <c r="J79" s="141"/>
    </row>
    <row r="80" spans="1:10">
      <c r="A80" s="141"/>
      <c r="B80" s="141"/>
      <c r="C80" s="141"/>
      <c r="D80" s="141"/>
      <c r="E80" s="141"/>
      <c r="F80" s="141"/>
      <c r="G80" s="141"/>
      <c r="H80" s="141"/>
      <c r="I80" s="141"/>
      <c r="J80" s="141"/>
    </row>
    <row r="81" spans="1:10">
      <c r="A81" s="141"/>
      <c r="B81" s="141"/>
      <c r="C81" s="141"/>
      <c r="D81" s="141"/>
      <c r="E81" s="141"/>
      <c r="F81" s="141"/>
      <c r="G81" s="141"/>
      <c r="H81" s="141"/>
      <c r="I81" s="141"/>
      <c r="J81" s="141"/>
    </row>
    <row r="82" spans="1:10">
      <c r="A82" s="141"/>
      <c r="B82" s="141"/>
      <c r="C82" s="141"/>
      <c r="D82" s="141"/>
      <c r="E82" s="141"/>
      <c r="F82" s="141"/>
      <c r="G82" s="141"/>
      <c r="H82" s="141"/>
      <c r="I82" s="141"/>
      <c r="J82" s="141"/>
    </row>
    <row r="83" spans="1:10">
      <c r="A83" s="141"/>
      <c r="B83" s="141"/>
      <c r="C83" s="141"/>
      <c r="D83" s="141"/>
      <c r="E83" s="141"/>
      <c r="F83" s="141"/>
      <c r="G83" s="141"/>
      <c r="H83" s="141"/>
      <c r="I83" s="141"/>
      <c r="J83" s="141"/>
    </row>
    <row r="84" spans="1:10">
      <c r="A84" s="141"/>
      <c r="B84" s="141"/>
      <c r="C84" s="141"/>
      <c r="D84" s="141"/>
      <c r="E84" s="141"/>
      <c r="F84" s="141"/>
      <c r="G84" s="141"/>
      <c r="H84" s="141"/>
      <c r="I84" s="141"/>
      <c r="J84" s="141"/>
    </row>
    <row r="85" spans="1:10">
      <c r="A85" s="141"/>
      <c r="B85" s="141"/>
      <c r="C85" s="141"/>
      <c r="D85" s="141"/>
      <c r="E85" s="141"/>
      <c r="F85" s="141"/>
      <c r="G85" s="141"/>
      <c r="H85" s="141"/>
      <c r="I85" s="141"/>
      <c r="J85" s="141"/>
    </row>
    <row r="86" spans="1:10">
      <c r="A86" s="141"/>
      <c r="B86" s="141"/>
      <c r="C86" s="141"/>
      <c r="D86" s="141"/>
      <c r="E86" s="141"/>
      <c r="F86" s="141"/>
      <c r="G86" s="141"/>
      <c r="H86" s="141"/>
      <c r="I86" s="141"/>
      <c r="J86" s="141"/>
    </row>
    <row r="87" spans="1:10">
      <c r="A87" s="141"/>
      <c r="B87" s="141"/>
      <c r="C87" s="141"/>
      <c r="D87" s="141"/>
      <c r="E87" s="141"/>
      <c r="F87" s="141"/>
      <c r="G87" s="141"/>
      <c r="H87" s="141"/>
      <c r="I87" s="141"/>
      <c r="J87" s="141"/>
    </row>
    <row r="88" spans="1:10">
      <c r="A88" s="141"/>
      <c r="B88" s="141"/>
      <c r="C88" s="141"/>
      <c r="D88" s="141"/>
      <c r="E88" s="141"/>
      <c r="F88" s="141"/>
      <c r="G88" s="141"/>
      <c r="H88" s="141"/>
      <c r="I88" s="141"/>
      <c r="J88" s="141"/>
    </row>
    <row r="89" spans="1:10">
      <c r="A89" s="141"/>
      <c r="B89" s="141"/>
      <c r="C89" s="141"/>
      <c r="D89" s="141"/>
      <c r="E89" s="141"/>
      <c r="F89" s="141"/>
      <c r="G89" s="141"/>
      <c r="H89" s="141"/>
      <c r="I89" s="141"/>
      <c r="J89" s="141"/>
    </row>
    <row r="90" spans="1:10">
      <c r="A90" s="141"/>
      <c r="B90" s="141"/>
      <c r="C90" s="141"/>
      <c r="D90" s="141"/>
      <c r="E90" s="141"/>
      <c r="F90" s="141"/>
      <c r="G90" s="141"/>
      <c r="H90" s="141"/>
      <c r="I90" s="141"/>
      <c r="J90" s="141"/>
    </row>
    <row r="91" spans="1:10">
      <c r="A91" s="141"/>
      <c r="B91" s="141"/>
      <c r="C91" s="141"/>
      <c r="D91" s="141"/>
      <c r="E91" s="141"/>
      <c r="F91" s="141"/>
      <c r="G91" s="141"/>
      <c r="H91" s="141"/>
      <c r="I91" s="141"/>
      <c r="J91" s="141"/>
    </row>
    <row r="92" spans="1:10">
      <c r="A92" s="141"/>
      <c r="B92" s="141"/>
      <c r="C92" s="141"/>
      <c r="D92" s="141"/>
      <c r="E92" s="141"/>
      <c r="F92" s="141"/>
      <c r="G92" s="141"/>
      <c r="H92" s="141"/>
      <c r="I92" s="141"/>
      <c r="J92" s="141"/>
    </row>
    <row r="93" spans="1:10">
      <c r="A93" s="141"/>
      <c r="B93" s="141"/>
      <c r="C93" s="141"/>
      <c r="D93" s="141"/>
      <c r="E93" s="141"/>
      <c r="F93" s="141"/>
      <c r="G93" s="141"/>
      <c r="H93" s="141"/>
      <c r="I93" s="141"/>
      <c r="J93" s="141"/>
    </row>
    <row r="94" spans="1:10">
      <c r="A94" s="141"/>
      <c r="B94" s="141"/>
      <c r="C94" s="141"/>
      <c r="D94" s="141"/>
      <c r="E94" s="141"/>
      <c r="F94" s="141"/>
      <c r="G94" s="141"/>
      <c r="H94" s="141"/>
      <c r="I94" s="141"/>
      <c r="J94" s="141"/>
    </row>
    <row r="95" spans="1:10">
      <c r="A95" s="141"/>
      <c r="B95" s="141"/>
      <c r="C95" s="141"/>
      <c r="D95" s="141"/>
      <c r="E95" s="141"/>
      <c r="F95" s="141"/>
      <c r="G95" s="141"/>
      <c r="H95" s="141"/>
      <c r="I95" s="141"/>
      <c r="J95" s="141"/>
    </row>
    <row r="96" spans="1:10">
      <c r="A96" s="141"/>
      <c r="B96" s="141"/>
      <c r="C96" s="141"/>
      <c r="D96" s="141"/>
      <c r="E96" s="141"/>
      <c r="F96" s="141"/>
      <c r="G96" s="141"/>
      <c r="H96" s="141"/>
      <c r="I96" s="141"/>
      <c r="J96" s="141"/>
    </row>
    <row r="97" spans="1:10">
      <c r="A97" s="141"/>
      <c r="B97" s="141"/>
      <c r="C97" s="141"/>
      <c r="D97" s="141"/>
      <c r="E97" s="141"/>
      <c r="F97" s="141"/>
      <c r="G97" s="141"/>
      <c r="H97" s="141"/>
      <c r="I97" s="141"/>
      <c r="J97" s="141"/>
    </row>
    <row r="98" spans="1:10">
      <c r="A98" s="141"/>
      <c r="B98" s="141"/>
      <c r="C98" s="141"/>
      <c r="D98" s="141"/>
      <c r="E98" s="141"/>
      <c r="F98" s="141"/>
      <c r="G98" s="141"/>
      <c r="H98" s="141"/>
      <c r="I98" s="141"/>
      <c r="J98" s="141"/>
    </row>
    <row r="99" spans="1:10">
      <c r="A99" s="141"/>
      <c r="B99" s="141"/>
      <c r="C99" s="141"/>
      <c r="D99" s="141"/>
      <c r="E99" s="141"/>
      <c r="F99" s="141"/>
      <c r="G99" s="141"/>
      <c r="H99" s="141"/>
      <c r="I99" s="141"/>
      <c r="J99" s="141"/>
    </row>
    <row r="100" spans="1:10">
      <c r="A100" s="141"/>
      <c r="B100" s="141"/>
      <c r="C100" s="141"/>
      <c r="D100" s="141"/>
      <c r="E100" s="141"/>
      <c r="F100" s="141"/>
      <c r="G100" s="141"/>
      <c r="H100" s="141"/>
      <c r="I100" s="141"/>
      <c r="J100" s="141"/>
    </row>
  </sheetData>
  <mergeCells count="29">
    <mergeCell ref="B1:E1"/>
    <mergeCell ref="C5:E5"/>
    <mergeCell ref="C4:E4"/>
    <mergeCell ref="B29:E29"/>
    <mergeCell ref="C26:E26"/>
    <mergeCell ref="C25:E25"/>
    <mergeCell ref="C10:E10"/>
    <mergeCell ref="B2:E2"/>
    <mergeCell ref="C15:E15"/>
    <mergeCell ref="C6:E6"/>
    <mergeCell ref="C24:E24"/>
    <mergeCell ref="B14:E14"/>
    <mergeCell ref="C8:E8"/>
    <mergeCell ref="C17:E17"/>
    <mergeCell ref="C7:E7"/>
    <mergeCell ref="B22:E22"/>
    <mergeCell ref="C38:E38"/>
    <mergeCell ref="C18:E18"/>
    <mergeCell ref="B37:E37"/>
    <mergeCell ref="C16:E16"/>
    <mergeCell ref="C41:E41"/>
    <mergeCell ref="C40:E40"/>
    <mergeCell ref="C39:E39"/>
    <mergeCell ref="C9:E9"/>
    <mergeCell ref="B20:E20"/>
    <mergeCell ref="C12:E12"/>
    <mergeCell ref="C11:E11"/>
    <mergeCell ref="C27:E27"/>
    <mergeCell ref="C23:E23"/>
  </mergeCells>
  <pageMargins left="0.75" right="0.75" top="1" bottom="1" header="0.5" footer="0.5"/>
  <pageSetup paperSize="0" orientation="portrait" horizontalDpi="0" verticalDpi="0" copie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B1:G40"/>
  <sheetViews>
    <sheetView topLeftCell="A17" workbookViewId="0">
      <selection activeCell="H42" sqref="H42"/>
    </sheetView>
  </sheetViews>
  <sheetFormatPr baseColWidth="10" defaultColWidth="9.140625" defaultRowHeight="15"/>
  <cols>
    <col min="1" max="1" width="3" style="141" customWidth="1"/>
    <col min="2" max="2" width="17.7109375" style="141" bestFit="1" customWidth="1"/>
    <col min="3" max="3" width="5.140625" style="141" bestFit="1" customWidth="1"/>
    <col min="4" max="4" width="10.28515625" style="141" bestFit="1" customWidth="1"/>
    <col min="5" max="5" width="39.85546875" style="141" customWidth="1"/>
    <col min="6" max="6" width="18" style="141" customWidth="1"/>
    <col min="7" max="7" width="7.28515625" style="141" bestFit="1" customWidth="1"/>
    <col min="8" max="16384" width="9.140625" style="141"/>
  </cols>
  <sheetData>
    <row r="1" spans="2:5" ht="30" customHeight="1">
      <c r="B1" s="142" t="s">
        <v>44</v>
      </c>
      <c r="C1" s="143"/>
      <c r="D1" s="143"/>
      <c r="E1" s="143"/>
    </row>
    <row r="2" spans="2:5" ht="24.95" customHeight="1">
      <c r="B2" s="144" t="s">
        <v>397</v>
      </c>
      <c r="C2" s="143"/>
      <c r="D2" s="143"/>
      <c r="E2" s="143"/>
    </row>
    <row r="3" spans="2:5" ht="9.9499999999999993" customHeight="1"/>
    <row r="4" spans="2:5" ht="20.100000000000001" customHeight="1">
      <c r="B4" s="1" t="s">
        <v>46</v>
      </c>
      <c r="C4" s="95" t="s">
        <v>104</v>
      </c>
      <c r="D4" s="93"/>
      <c r="E4" s="93"/>
    </row>
    <row r="5" spans="2:5" ht="20.100000000000001" customHeight="1">
      <c r="B5" s="1" t="s">
        <v>48</v>
      </c>
      <c r="C5" s="95" t="s">
        <v>49</v>
      </c>
      <c r="D5" s="93"/>
      <c r="E5" s="93"/>
    </row>
    <row r="6" spans="2:5" ht="20.100000000000001" customHeight="1">
      <c r="B6" s="1" t="s">
        <v>50</v>
      </c>
      <c r="C6" s="95" t="s">
        <v>51</v>
      </c>
      <c r="D6" s="93"/>
      <c r="E6" s="93"/>
    </row>
    <row r="7" spans="2:5" ht="20.100000000000001" customHeight="1">
      <c r="B7" s="1" t="s">
        <v>52</v>
      </c>
      <c r="C7" s="95" t="s">
        <v>106</v>
      </c>
      <c r="D7" s="93"/>
      <c r="E7" s="93"/>
    </row>
    <row r="8" spans="2:5" ht="20.100000000000001" customHeight="1">
      <c r="B8" s="1" t="s">
        <v>54</v>
      </c>
      <c r="C8" s="95" t="s">
        <v>55</v>
      </c>
      <c r="D8" s="93"/>
      <c r="E8" s="93"/>
    </row>
    <row r="9" spans="2:5" ht="20.100000000000001" customHeight="1">
      <c r="B9" s="1" t="s">
        <v>56</v>
      </c>
      <c r="C9" s="95" t="s">
        <v>57</v>
      </c>
      <c r="D9" s="93"/>
      <c r="E9" s="93"/>
    </row>
    <row r="10" spans="2:5" ht="20.100000000000001" customHeight="1">
      <c r="B10" s="1" t="s">
        <v>58</v>
      </c>
      <c r="C10" s="95" t="s">
        <v>59</v>
      </c>
      <c r="D10" s="93"/>
      <c r="E10" s="93"/>
    </row>
    <row r="11" spans="2:5" ht="20.100000000000001" customHeight="1">
      <c r="B11" s="1" t="s">
        <v>60</v>
      </c>
      <c r="C11" s="95" t="s">
        <v>61</v>
      </c>
      <c r="D11" s="93"/>
      <c r="E11" s="93"/>
    </row>
    <row r="12" spans="2:5" ht="20.100000000000001" customHeight="1">
      <c r="B12" s="1" t="s">
        <v>62</v>
      </c>
      <c r="C12" s="95" t="s">
        <v>63</v>
      </c>
      <c r="D12" s="93"/>
      <c r="E12" s="93"/>
    </row>
    <row r="14" spans="2:5">
      <c r="B14" s="101" t="s">
        <v>64</v>
      </c>
      <c r="C14" s="93"/>
      <c r="D14" s="93"/>
      <c r="E14" s="93"/>
    </row>
    <row r="15" spans="2:5" ht="18" customHeight="1">
      <c r="B15" s="19" t="s">
        <v>65</v>
      </c>
      <c r="C15" s="96" t="s">
        <v>66</v>
      </c>
      <c r="D15" s="93"/>
      <c r="E15" s="93"/>
    </row>
    <row r="16" spans="2:5" ht="18" customHeight="1">
      <c r="B16" s="19" t="s">
        <v>67</v>
      </c>
      <c r="C16" s="96" t="s">
        <v>68</v>
      </c>
      <c r="D16" s="93"/>
      <c r="E16" s="93"/>
    </row>
    <row r="17" spans="2:7" ht="18" customHeight="1">
      <c r="B17" s="19" t="s">
        <v>69</v>
      </c>
      <c r="C17" s="96" t="s">
        <v>70</v>
      </c>
      <c r="D17" s="93"/>
      <c r="E17" s="93"/>
    </row>
    <row r="18" spans="2:7" ht="18" customHeight="1">
      <c r="B18" s="19" t="s">
        <v>71</v>
      </c>
      <c r="C18" s="96" t="s">
        <v>72</v>
      </c>
      <c r="D18" s="93"/>
      <c r="E18" s="93"/>
    </row>
    <row r="20" spans="2:7">
      <c r="B20" s="145" t="s">
        <v>73</v>
      </c>
      <c r="C20" s="143"/>
      <c r="D20" s="143"/>
      <c r="E20" s="143"/>
    </row>
    <row r="22" spans="2:7">
      <c r="B22" s="114" t="s">
        <v>398</v>
      </c>
      <c r="C22" s="93"/>
      <c r="D22" s="93"/>
      <c r="E22" s="93"/>
    </row>
    <row r="23" spans="2:7">
      <c r="B23" s="27" t="s">
        <v>399</v>
      </c>
      <c r="C23" s="27" t="s">
        <v>76</v>
      </c>
      <c r="D23" s="27" t="s">
        <v>400</v>
      </c>
      <c r="E23" s="27" t="s">
        <v>401</v>
      </c>
      <c r="F23" s="27" t="s">
        <v>402</v>
      </c>
      <c r="G23" s="27" t="s">
        <v>106</v>
      </c>
    </row>
    <row r="24" spans="2:7" ht="30" customHeight="1">
      <c r="B24" s="4" t="s">
        <v>51</v>
      </c>
      <c r="C24" s="4" t="s">
        <v>403</v>
      </c>
      <c r="D24" s="4" t="s">
        <v>404</v>
      </c>
      <c r="E24" s="4" t="s">
        <v>405</v>
      </c>
      <c r="F24" s="4" t="s">
        <v>406</v>
      </c>
      <c r="G24" s="4" t="s">
        <v>407</v>
      </c>
    </row>
    <row r="27" spans="2:7">
      <c r="B27" s="112" t="s">
        <v>408</v>
      </c>
      <c r="C27" s="93"/>
      <c r="D27" s="93"/>
      <c r="E27" s="93"/>
    </row>
    <row r="28" spans="2:7" ht="20.100000000000001" customHeight="1">
      <c r="B28" s="113" t="s">
        <v>409</v>
      </c>
      <c r="C28" s="93"/>
      <c r="D28" s="93"/>
      <c r="E28" s="93"/>
    </row>
    <row r="29" spans="2:7" ht="20.100000000000001" customHeight="1">
      <c r="B29" s="113" t="s">
        <v>410</v>
      </c>
      <c r="C29" s="93"/>
      <c r="D29" s="93"/>
      <c r="E29" s="93"/>
    </row>
    <row r="30" spans="2:7" ht="20.100000000000001" customHeight="1">
      <c r="B30" s="113" t="s">
        <v>411</v>
      </c>
      <c r="C30" s="93"/>
      <c r="D30" s="93"/>
      <c r="E30" s="93"/>
    </row>
    <row r="31" spans="2:7" ht="20.100000000000001" customHeight="1">
      <c r="B31" s="113" t="s">
        <v>412</v>
      </c>
      <c r="C31" s="93"/>
      <c r="D31" s="93"/>
      <c r="E31" s="93"/>
    </row>
    <row r="32" spans="2:7" ht="20.100000000000001" customHeight="1">
      <c r="B32" s="113" t="s">
        <v>413</v>
      </c>
      <c r="C32" s="93"/>
      <c r="D32" s="93"/>
      <c r="E32" s="93"/>
    </row>
    <row r="33" spans="2:5" ht="20.100000000000001" customHeight="1">
      <c r="B33" s="113" t="s">
        <v>414</v>
      </c>
      <c r="C33" s="93"/>
      <c r="D33" s="93"/>
      <c r="E33" s="93"/>
    </row>
    <row r="34" spans="2:5" ht="20.100000000000001" customHeight="1">
      <c r="B34" s="113" t="s">
        <v>415</v>
      </c>
      <c r="C34" s="93"/>
      <c r="D34" s="93"/>
      <c r="E34" s="93"/>
    </row>
    <row r="35" spans="2:5" ht="20.100000000000001" customHeight="1">
      <c r="B35" s="113" t="s">
        <v>416</v>
      </c>
      <c r="C35" s="93"/>
      <c r="D35" s="93"/>
      <c r="E35" s="93"/>
    </row>
    <row r="36" spans="2:5" ht="20.100000000000001" customHeight="1">
      <c r="B36" s="113" t="s">
        <v>417</v>
      </c>
      <c r="C36" s="93"/>
      <c r="D36" s="93"/>
      <c r="E36" s="93"/>
    </row>
    <row r="37" spans="2:5" ht="20.100000000000001" customHeight="1">
      <c r="B37" s="113" t="s">
        <v>418</v>
      </c>
      <c r="C37" s="93"/>
      <c r="D37" s="93"/>
      <c r="E37" s="93"/>
    </row>
    <row r="38" spans="2:5" ht="20.100000000000001" customHeight="1">
      <c r="B38" s="113" t="s">
        <v>419</v>
      </c>
      <c r="C38" s="93"/>
      <c r="D38" s="93"/>
      <c r="E38" s="93"/>
    </row>
    <row r="39" spans="2:5" ht="20.100000000000001" customHeight="1">
      <c r="B39" s="113" t="s">
        <v>420</v>
      </c>
      <c r="C39" s="93"/>
      <c r="D39" s="93"/>
      <c r="E39" s="93"/>
    </row>
    <row r="40" spans="2:5" ht="20.100000000000001" customHeight="1">
      <c r="B40" s="113" t="s">
        <v>421</v>
      </c>
      <c r="C40" s="93"/>
      <c r="D40" s="93"/>
      <c r="E40" s="93"/>
    </row>
  </sheetData>
  <mergeCells count="32">
    <mergeCell ref="B2:E2"/>
    <mergeCell ref="C15:E15"/>
    <mergeCell ref="C6:E6"/>
    <mergeCell ref="B14:E14"/>
    <mergeCell ref="B1:E1"/>
    <mergeCell ref="C5:E5"/>
    <mergeCell ref="C4:E4"/>
    <mergeCell ref="C10:E10"/>
    <mergeCell ref="C8:E8"/>
    <mergeCell ref="C7:E7"/>
    <mergeCell ref="B22:E22"/>
    <mergeCell ref="B31:E31"/>
    <mergeCell ref="B27:E27"/>
    <mergeCell ref="C18:E18"/>
    <mergeCell ref="B29:E29"/>
    <mergeCell ref="B28:E28"/>
    <mergeCell ref="C16:E16"/>
    <mergeCell ref="B40:E40"/>
    <mergeCell ref="B37:E37"/>
    <mergeCell ref="B30:E30"/>
    <mergeCell ref="C9:E9"/>
    <mergeCell ref="B33:E33"/>
    <mergeCell ref="B20:E20"/>
    <mergeCell ref="C12:E12"/>
    <mergeCell ref="B36:E36"/>
    <mergeCell ref="B32:E32"/>
    <mergeCell ref="C11:E11"/>
    <mergeCell ref="B35:E35"/>
    <mergeCell ref="B39:E39"/>
    <mergeCell ref="B38:E38"/>
    <mergeCell ref="B34:E34"/>
    <mergeCell ref="C17:E17"/>
  </mergeCells>
  <pageMargins left="0.75" right="0.75" top="1" bottom="1" header="0.5" footer="0.5"/>
  <pageSetup paperSize="0" orientation="portrait" horizontalDpi="0" verticalDpi="0" copie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8"/>
  <dimension ref="A1:H39"/>
  <sheetViews>
    <sheetView workbookViewId="0">
      <selection activeCell="L11" sqref="L11"/>
    </sheetView>
  </sheetViews>
  <sheetFormatPr baseColWidth="10" defaultColWidth="9.140625" defaultRowHeight="15"/>
  <cols>
    <col min="1" max="1" width="21" style="141" bestFit="1" customWidth="1"/>
    <col min="2" max="2" width="24" style="141" bestFit="1" customWidth="1"/>
    <col min="3" max="3" width="17.28515625" style="141" customWidth="1"/>
    <col min="4" max="4" width="14.42578125" style="141" bestFit="1" customWidth="1"/>
    <col min="5" max="5" width="24" style="141" bestFit="1" customWidth="1"/>
    <col min="6" max="6" width="24.28515625" style="141" bestFit="1" customWidth="1"/>
    <col min="7" max="16384" width="9.140625" style="141"/>
  </cols>
  <sheetData>
    <row r="1" spans="1:8" ht="30" customHeight="1">
      <c r="A1" s="120" t="s">
        <v>422</v>
      </c>
      <c r="B1" s="93"/>
      <c r="C1" s="93"/>
      <c r="D1" s="93"/>
      <c r="E1" s="93"/>
      <c r="F1" s="93"/>
      <c r="G1" s="93"/>
      <c r="H1" s="93"/>
    </row>
    <row r="2" spans="1:8">
      <c r="A2" s="28" t="s">
        <v>46</v>
      </c>
      <c r="B2" s="116" t="s">
        <v>423</v>
      </c>
      <c r="C2" s="93"/>
      <c r="D2" s="8"/>
      <c r="E2" s="28" t="s">
        <v>48</v>
      </c>
      <c r="F2" s="116" t="s">
        <v>49</v>
      </c>
      <c r="G2" s="93"/>
      <c r="H2" s="93"/>
    </row>
    <row r="3" spans="1:8">
      <c r="A3" s="28" t="s">
        <v>424</v>
      </c>
      <c r="B3" s="116" t="s">
        <v>425</v>
      </c>
      <c r="C3" s="93"/>
      <c r="D3" s="8"/>
      <c r="E3" s="28" t="s">
        <v>426</v>
      </c>
      <c r="F3" s="116" t="s">
        <v>51</v>
      </c>
      <c r="G3" s="93"/>
      <c r="H3" s="93"/>
    </row>
    <row r="4" spans="1:8">
      <c r="A4" s="28" t="s">
        <v>56</v>
      </c>
      <c r="B4" s="116" t="s">
        <v>57</v>
      </c>
      <c r="C4" s="93"/>
      <c r="D4" s="8"/>
      <c r="E4" s="28" t="s">
        <v>427</v>
      </c>
      <c r="F4" s="116" t="s">
        <v>428</v>
      </c>
      <c r="G4" s="93"/>
      <c r="H4" s="93"/>
    </row>
    <row r="5" spans="1:8">
      <c r="A5" s="28" t="s">
        <v>429</v>
      </c>
      <c r="B5" s="116" t="s">
        <v>430</v>
      </c>
      <c r="C5" s="93"/>
      <c r="D5" s="8"/>
      <c r="E5" s="28" t="s">
        <v>69</v>
      </c>
      <c r="F5" s="116" t="s">
        <v>431</v>
      </c>
      <c r="G5" s="93"/>
      <c r="H5" s="93"/>
    </row>
    <row r="6" spans="1:8">
      <c r="A6" s="28" t="s">
        <v>58</v>
      </c>
      <c r="B6" s="116" t="s">
        <v>97</v>
      </c>
      <c r="C6" s="93"/>
      <c r="D6" s="8"/>
      <c r="E6" s="28" t="s">
        <v>60</v>
      </c>
      <c r="F6" s="116" t="s">
        <v>61</v>
      </c>
      <c r="G6" s="93"/>
      <c r="H6" s="93"/>
    </row>
    <row r="7" spans="1:8">
      <c r="A7" s="28" t="s">
        <v>432</v>
      </c>
      <c r="B7" s="116" t="s">
        <v>433</v>
      </c>
      <c r="C7" s="93"/>
      <c r="D7" s="8"/>
      <c r="E7" s="8"/>
      <c r="F7" s="8"/>
      <c r="G7" s="8"/>
      <c r="H7" s="8"/>
    </row>
    <row r="9" spans="1:8" ht="15.75" customHeight="1">
      <c r="A9" s="115" t="s">
        <v>434</v>
      </c>
      <c r="B9" s="93"/>
      <c r="C9" s="93"/>
      <c r="D9" s="93"/>
      <c r="E9" s="93"/>
      <c r="F9" s="93"/>
      <c r="G9" s="93"/>
      <c r="H9" s="93"/>
    </row>
    <row r="10" spans="1:8" ht="30" customHeight="1">
      <c r="A10" s="119" t="s">
        <v>435</v>
      </c>
      <c r="B10" s="93"/>
      <c r="C10" s="93"/>
      <c r="D10" s="93"/>
      <c r="E10" s="93"/>
      <c r="F10" s="93"/>
      <c r="G10" s="93"/>
      <c r="H10" s="93"/>
    </row>
    <row r="11" spans="1:8" ht="30" customHeight="1">
      <c r="A11" s="119" t="s">
        <v>436</v>
      </c>
      <c r="B11" s="93"/>
      <c r="C11" s="93"/>
      <c r="D11" s="93"/>
      <c r="E11" s="93"/>
      <c r="F11" s="93"/>
      <c r="G11" s="93"/>
      <c r="H11" s="93"/>
    </row>
    <row r="12" spans="1:8" ht="30" customHeight="1">
      <c r="A12" s="119" t="s">
        <v>437</v>
      </c>
      <c r="B12" s="93"/>
      <c r="C12" s="93"/>
      <c r="D12" s="93"/>
      <c r="E12" s="93"/>
      <c r="F12" s="93"/>
      <c r="G12" s="93"/>
      <c r="H12" s="93"/>
    </row>
    <row r="13" spans="1:8" ht="30" customHeight="1">
      <c r="A13" s="119" t="s">
        <v>438</v>
      </c>
      <c r="B13" s="93"/>
      <c r="C13" s="93"/>
      <c r="D13" s="93"/>
      <c r="E13" s="93"/>
      <c r="F13" s="93"/>
      <c r="G13" s="93"/>
      <c r="H13" s="93"/>
    </row>
    <row r="14" spans="1:8" ht="30" customHeight="1">
      <c r="A14" s="119" t="s">
        <v>439</v>
      </c>
      <c r="B14" s="93"/>
      <c r="C14" s="93"/>
      <c r="D14" s="93"/>
      <c r="E14" s="93"/>
      <c r="F14" s="93"/>
      <c r="G14" s="93"/>
      <c r="H14" s="93"/>
    </row>
    <row r="16" spans="1:8" ht="15.75" customHeight="1">
      <c r="A16" s="123" t="s">
        <v>440</v>
      </c>
      <c r="B16" s="93"/>
      <c r="C16" s="93"/>
      <c r="D16" s="93"/>
      <c r="E16" s="93"/>
      <c r="F16" s="93"/>
      <c r="G16" s="93"/>
      <c r="H16" s="93"/>
    </row>
    <row r="17" spans="1:8" ht="24.95" customHeight="1">
      <c r="A17" s="30" t="s">
        <v>441</v>
      </c>
      <c r="B17" s="121" t="s">
        <v>442</v>
      </c>
      <c r="C17" s="93"/>
      <c r="D17" s="93"/>
      <c r="E17" s="93"/>
      <c r="F17" s="93"/>
      <c r="G17" s="93"/>
      <c r="H17" s="93"/>
    </row>
    <row r="18" spans="1:8" ht="24.95" customHeight="1">
      <c r="A18" s="30" t="s">
        <v>443</v>
      </c>
      <c r="B18" s="121" t="s">
        <v>444</v>
      </c>
      <c r="C18" s="93"/>
      <c r="D18" s="93"/>
      <c r="E18" s="93"/>
      <c r="F18" s="93"/>
      <c r="G18" s="93"/>
      <c r="H18" s="93"/>
    </row>
    <row r="19" spans="1:8" ht="24.95" customHeight="1">
      <c r="A19" s="30" t="s">
        <v>445</v>
      </c>
      <c r="B19" s="121" t="s">
        <v>446</v>
      </c>
      <c r="C19" s="93"/>
      <c r="D19" s="93"/>
      <c r="E19" s="93"/>
      <c r="F19" s="93"/>
      <c r="G19" s="93"/>
      <c r="H19" s="93"/>
    </row>
    <row r="20" spans="1:8" ht="24.95" customHeight="1">
      <c r="A20" s="30" t="s">
        <v>447</v>
      </c>
      <c r="B20" s="121" t="s">
        <v>448</v>
      </c>
      <c r="C20" s="93"/>
      <c r="D20" s="93"/>
      <c r="E20" s="93"/>
      <c r="F20" s="93"/>
      <c r="G20" s="93"/>
      <c r="H20" s="93"/>
    </row>
    <row r="21" spans="1:8" ht="24.95" customHeight="1">
      <c r="A21" s="30" t="s">
        <v>449</v>
      </c>
      <c r="B21" s="121" t="s">
        <v>450</v>
      </c>
      <c r="C21" s="93"/>
      <c r="D21" s="93"/>
      <c r="E21" s="93"/>
      <c r="F21" s="93"/>
      <c r="G21" s="93"/>
      <c r="H21" s="93"/>
    </row>
    <row r="23" spans="1:8" ht="15.75" customHeight="1">
      <c r="A23" s="123" t="s">
        <v>451</v>
      </c>
      <c r="B23" s="93"/>
      <c r="C23" s="93"/>
      <c r="D23" s="93"/>
      <c r="E23" s="93"/>
      <c r="F23" s="93"/>
      <c r="G23" s="93"/>
      <c r="H23" s="93"/>
    </row>
    <row r="24" spans="1:8">
      <c r="A24" s="31" t="s">
        <v>452</v>
      </c>
      <c r="B24" s="31" t="s">
        <v>453</v>
      </c>
      <c r="C24" s="31" t="s">
        <v>370</v>
      </c>
      <c r="D24" s="31" t="s">
        <v>221</v>
      </c>
      <c r="E24" s="31" t="s">
        <v>454</v>
      </c>
      <c r="F24" s="31" t="s">
        <v>455</v>
      </c>
      <c r="G24" s="8"/>
      <c r="H24" s="8"/>
    </row>
    <row r="25" spans="1:8" ht="80.099999999999994" customHeight="1">
      <c r="A25" s="6" t="s">
        <v>456</v>
      </c>
      <c r="B25" s="6" t="s">
        <v>457</v>
      </c>
      <c r="C25" s="6" t="s">
        <v>458</v>
      </c>
      <c r="D25" s="6" t="s">
        <v>57</v>
      </c>
      <c r="E25" s="6" t="s">
        <v>459</v>
      </c>
      <c r="F25" s="6" t="s">
        <v>460</v>
      </c>
      <c r="G25" s="8"/>
      <c r="H25" s="8"/>
    </row>
    <row r="26" spans="1:8" ht="80.099999999999994" customHeight="1">
      <c r="A26" s="6" t="s">
        <v>461</v>
      </c>
      <c r="B26" s="6" t="s">
        <v>462</v>
      </c>
      <c r="C26" s="6" t="s">
        <v>458</v>
      </c>
      <c r="D26" s="6" t="s">
        <v>463</v>
      </c>
      <c r="E26" s="6" t="s">
        <v>464</v>
      </c>
      <c r="F26" s="6" t="s">
        <v>465</v>
      </c>
      <c r="G26" s="8"/>
      <c r="H26" s="8"/>
    </row>
    <row r="27" spans="1:8" ht="80.099999999999994" customHeight="1">
      <c r="A27" s="6" t="s">
        <v>466</v>
      </c>
      <c r="B27" s="6" t="s">
        <v>467</v>
      </c>
      <c r="C27" s="6" t="s">
        <v>458</v>
      </c>
      <c r="D27" s="6" t="s">
        <v>468</v>
      </c>
      <c r="E27" s="6" t="s">
        <v>469</v>
      </c>
      <c r="F27" s="6" t="s">
        <v>470</v>
      </c>
      <c r="G27" s="8"/>
      <c r="H27" s="8"/>
    </row>
    <row r="28" spans="1:8" ht="80.099999999999994" customHeight="1">
      <c r="A28" s="6" t="s">
        <v>471</v>
      </c>
      <c r="B28" s="6" t="s">
        <v>472</v>
      </c>
      <c r="C28" s="6" t="s">
        <v>473</v>
      </c>
      <c r="D28" s="6" t="s">
        <v>474</v>
      </c>
      <c r="E28" s="6" t="s">
        <v>475</v>
      </c>
      <c r="F28" s="6" t="s">
        <v>476</v>
      </c>
      <c r="G28" s="8"/>
      <c r="H28" s="8"/>
    </row>
    <row r="29" spans="1:8" ht="80.099999999999994" customHeight="1">
      <c r="A29" s="6" t="s">
        <v>477</v>
      </c>
      <c r="B29" s="6" t="s">
        <v>478</v>
      </c>
      <c r="C29" s="6" t="s">
        <v>479</v>
      </c>
      <c r="D29" s="6" t="s">
        <v>480</v>
      </c>
      <c r="E29" s="6" t="s">
        <v>481</v>
      </c>
      <c r="F29" s="6" t="s">
        <v>482</v>
      </c>
      <c r="G29" s="8"/>
      <c r="H29" s="8"/>
    </row>
    <row r="30" spans="1:8" ht="80.099999999999994" customHeight="1">
      <c r="A30" s="6" t="s">
        <v>483</v>
      </c>
      <c r="B30" s="6" t="s">
        <v>484</v>
      </c>
      <c r="C30" s="6" t="s">
        <v>479</v>
      </c>
      <c r="D30" s="6" t="s">
        <v>57</v>
      </c>
      <c r="E30" s="6" t="s">
        <v>485</v>
      </c>
      <c r="F30" s="6" t="s">
        <v>486</v>
      </c>
      <c r="G30" s="8"/>
      <c r="H30" s="8"/>
    </row>
    <row r="32" spans="1:8" ht="15.75" customHeight="1">
      <c r="A32" s="123" t="s">
        <v>487</v>
      </c>
      <c r="B32" s="93"/>
      <c r="C32" s="93"/>
      <c r="D32" s="93"/>
      <c r="E32" s="93"/>
      <c r="F32" s="93"/>
      <c r="G32" s="93"/>
      <c r="H32" s="93"/>
    </row>
    <row r="33" spans="1:8">
      <c r="A33" s="32" t="s">
        <v>488</v>
      </c>
      <c r="B33" s="118" t="s">
        <v>489</v>
      </c>
      <c r="C33" s="93"/>
      <c r="D33" s="93"/>
      <c r="E33" s="93"/>
      <c r="F33" s="93"/>
      <c r="G33" s="117" t="s">
        <v>490</v>
      </c>
      <c r="H33" s="93"/>
    </row>
    <row r="34" spans="1:8">
      <c r="A34" s="32" t="s">
        <v>491</v>
      </c>
      <c r="B34" s="118" t="s">
        <v>492</v>
      </c>
      <c r="C34" s="93"/>
      <c r="D34" s="93"/>
      <c r="E34" s="93"/>
      <c r="F34" s="93"/>
      <c r="G34" s="117" t="s">
        <v>493</v>
      </c>
      <c r="H34" s="93"/>
    </row>
    <row r="35" spans="1:8">
      <c r="A35" s="32" t="s">
        <v>494</v>
      </c>
      <c r="B35" s="118" t="s">
        <v>495</v>
      </c>
      <c r="C35" s="93"/>
      <c r="D35" s="93"/>
      <c r="E35" s="93"/>
      <c r="F35" s="93"/>
      <c r="G35" s="117" t="s">
        <v>496</v>
      </c>
      <c r="H35" s="93"/>
    </row>
    <row r="36" spans="1:8">
      <c r="A36" s="32" t="s">
        <v>497</v>
      </c>
      <c r="B36" s="118" t="s">
        <v>498</v>
      </c>
      <c r="C36" s="93"/>
      <c r="D36" s="93"/>
      <c r="E36" s="93"/>
      <c r="F36" s="93"/>
      <c r="G36" s="117" t="s">
        <v>499</v>
      </c>
      <c r="H36" s="93"/>
    </row>
    <row r="37" spans="1:8">
      <c r="A37" s="32" t="s">
        <v>500</v>
      </c>
      <c r="B37" s="118" t="s">
        <v>501</v>
      </c>
      <c r="C37" s="93"/>
      <c r="D37" s="93"/>
      <c r="E37" s="93"/>
      <c r="F37" s="93"/>
      <c r="G37" s="117" t="s">
        <v>502</v>
      </c>
      <c r="H37" s="93"/>
    </row>
    <row r="38" spans="1:8">
      <c r="A38" s="32" t="s">
        <v>503</v>
      </c>
      <c r="B38" s="118" t="s">
        <v>504</v>
      </c>
      <c r="C38" s="93"/>
      <c r="D38" s="93"/>
      <c r="E38" s="93"/>
      <c r="F38" s="93"/>
      <c r="G38" s="117" t="s">
        <v>505</v>
      </c>
      <c r="H38" s="93"/>
    </row>
    <row r="39" spans="1:8">
      <c r="A39" s="33" t="s">
        <v>506</v>
      </c>
      <c r="B39" s="118"/>
      <c r="C39" s="93"/>
      <c r="D39" s="93"/>
      <c r="E39" s="93"/>
      <c r="F39" s="93"/>
      <c r="G39" s="122" t="s">
        <v>507</v>
      </c>
      <c r="H39" s="93"/>
    </row>
  </sheetData>
  <mergeCells count="40">
    <mergeCell ref="B37:F37"/>
    <mergeCell ref="F4:H4"/>
    <mergeCell ref="A14:H14"/>
    <mergeCell ref="A23:H23"/>
    <mergeCell ref="A32:H32"/>
    <mergeCell ref="G35:H35"/>
    <mergeCell ref="B6:C6"/>
    <mergeCell ref="F6:H6"/>
    <mergeCell ref="B17:H17"/>
    <mergeCell ref="B5:C5"/>
    <mergeCell ref="B33:F33"/>
    <mergeCell ref="A10:H10"/>
    <mergeCell ref="A13:H13"/>
    <mergeCell ref="B36:F36"/>
    <mergeCell ref="B19:H19"/>
    <mergeCell ref="B4:C4"/>
    <mergeCell ref="F2:H2"/>
    <mergeCell ref="A11:H11"/>
    <mergeCell ref="A1:H1"/>
    <mergeCell ref="B20:H20"/>
    <mergeCell ref="G39:H39"/>
    <mergeCell ref="B2:C2"/>
    <mergeCell ref="B39:F39"/>
    <mergeCell ref="G38:H38"/>
    <mergeCell ref="A16:H16"/>
    <mergeCell ref="G37:H37"/>
    <mergeCell ref="A12:H12"/>
    <mergeCell ref="G34:H34"/>
    <mergeCell ref="B18:H18"/>
    <mergeCell ref="B38:F38"/>
    <mergeCell ref="B34:F34"/>
    <mergeCell ref="B21:H21"/>
    <mergeCell ref="A9:H9"/>
    <mergeCell ref="F5:H5"/>
    <mergeCell ref="B7:C7"/>
    <mergeCell ref="B3:C3"/>
    <mergeCell ref="G36:H36"/>
    <mergeCell ref="G33:H33"/>
    <mergeCell ref="F3:H3"/>
    <mergeCell ref="B35:F35"/>
  </mergeCells>
  <pageMargins left="0.75" right="0.75" top="1" bottom="1" header="0.5" footer="0.5"/>
  <pageSetup paperSize="0" orientation="portrait" horizontalDpi="0" verticalDpi="0" copie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9"/>
  <dimension ref="A1:H29"/>
  <sheetViews>
    <sheetView tabSelected="1" topLeftCell="A14" workbookViewId="0">
      <selection activeCell="K19" sqref="K19"/>
    </sheetView>
  </sheetViews>
  <sheetFormatPr baseColWidth="10" defaultColWidth="9.140625" defaultRowHeight="15"/>
  <cols>
    <col min="1" max="1" width="26.7109375" style="141" bestFit="1" customWidth="1"/>
    <col min="2" max="2" width="24.7109375" style="141" bestFit="1" customWidth="1"/>
    <col min="3" max="3" width="17.85546875" style="141" bestFit="1" customWidth="1"/>
    <col min="4" max="4" width="11.7109375" style="141" bestFit="1" customWidth="1"/>
    <col min="5" max="5" width="33.28515625" style="141" bestFit="1" customWidth="1"/>
    <col min="6" max="6" width="12.5703125" style="141" bestFit="1" customWidth="1"/>
    <col min="7" max="7" width="11.28515625" style="141" bestFit="1" customWidth="1"/>
    <col min="8" max="8" width="12.7109375" style="141" bestFit="1" customWidth="1"/>
    <col min="9" max="16384" width="9.140625" style="141"/>
  </cols>
  <sheetData>
    <row r="1" spans="1:8" ht="30" customHeight="1">
      <c r="A1" s="146" t="s">
        <v>508</v>
      </c>
      <c r="B1" s="143"/>
      <c r="C1" s="143"/>
      <c r="D1" s="143"/>
      <c r="E1" s="143"/>
      <c r="F1" s="143"/>
      <c r="G1" s="143"/>
      <c r="H1" s="143"/>
    </row>
    <row r="2" spans="1:8">
      <c r="A2" s="147" t="s">
        <v>46</v>
      </c>
      <c r="B2" s="148" t="s">
        <v>509</v>
      </c>
      <c r="C2" s="143"/>
      <c r="E2" s="147" t="s">
        <v>48</v>
      </c>
      <c r="F2" s="148" t="s">
        <v>49</v>
      </c>
      <c r="G2" s="143"/>
      <c r="H2" s="143"/>
    </row>
    <row r="3" spans="1:8">
      <c r="A3" s="147" t="s">
        <v>424</v>
      </c>
      <c r="B3" s="148" t="s">
        <v>53</v>
      </c>
      <c r="C3" s="143"/>
      <c r="E3" s="147" t="s">
        <v>426</v>
      </c>
      <c r="F3" s="148" t="s">
        <v>51</v>
      </c>
      <c r="G3" s="143"/>
      <c r="H3" s="143"/>
    </row>
    <row r="4" spans="1:8">
      <c r="A4" s="147" t="s">
        <v>56</v>
      </c>
      <c r="B4" s="148" t="s">
        <v>57</v>
      </c>
      <c r="C4" s="143"/>
      <c r="E4" s="147" t="s">
        <v>427</v>
      </c>
      <c r="F4" s="148" t="s">
        <v>428</v>
      </c>
      <c r="G4" s="143"/>
      <c r="H4" s="143"/>
    </row>
    <row r="5" spans="1:8">
      <c r="A5" s="147" t="s">
        <v>429</v>
      </c>
      <c r="B5" s="148" t="s">
        <v>430</v>
      </c>
      <c r="C5" s="143"/>
      <c r="E5" s="147" t="s">
        <v>69</v>
      </c>
      <c r="F5" s="148" t="s">
        <v>431</v>
      </c>
      <c r="G5" s="143"/>
      <c r="H5" s="143"/>
    </row>
    <row r="6" spans="1:8">
      <c r="A6" s="147" t="s">
        <v>58</v>
      </c>
      <c r="B6" s="148" t="s">
        <v>59</v>
      </c>
      <c r="C6" s="143"/>
      <c r="E6" s="147" t="s">
        <v>60</v>
      </c>
      <c r="F6" s="148" t="s">
        <v>61</v>
      </c>
      <c r="G6" s="143"/>
      <c r="H6" s="143"/>
    </row>
    <row r="7" spans="1:8">
      <c r="A7" s="147" t="s">
        <v>432</v>
      </c>
      <c r="B7" s="148" t="s">
        <v>433</v>
      </c>
      <c r="C7" s="143"/>
    </row>
    <row r="9" spans="1:8" ht="15.75" customHeight="1">
      <c r="A9" s="149" t="s">
        <v>510</v>
      </c>
      <c r="B9" s="143"/>
      <c r="C9" s="143"/>
      <c r="D9" s="143"/>
      <c r="E9" s="143"/>
      <c r="F9" s="143"/>
      <c r="G9" s="143"/>
      <c r="H9" s="143"/>
    </row>
    <row r="10" spans="1:8" ht="60" customHeight="1">
      <c r="A10" s="152" t="s">
        <v>511</v>
      </c>
      <c r="B10" s="153" t="s">
        <v>512</v>
      </c>
      <c r="C10" s="143"/>
      <c r="D10" s="143"/>
      <c r="E10" s="143"/>
      <c r="F10" s="154" t="s">
        <v>513</v>
      </c>
      <c r="G10" s="143"/>
      <c r="H10" s="143"/>
    </row>
    <row r="11" spans="1:8" ht="60" customHeight="1">
      <c r="A11" s="152" t="s">
        <v>514</v>
      </c>
      <c r="B11" s="153" t="s">
        <v>515</v>
      </c>
      <c r="C11" s="143"/>
      <c r="D11" s="143"/>
      <c r="E11" s="143"/>
      <c r="F11" s="154" t="s">
        <v>516</v>
      </c>
      <c r="G11" s="143"/>
      <c r="H11" s="143"/>
    </row>
    <row r="12" spans="1:8" ht="60" customHeight="1">
      <c r="A12" s="152" t="s">
        <v>517</v>
      </c>
      <c r="B12" s="153" t="s">
        <v>518</v>
      </c>
      <c r="C12" s="143"/>
      <c r="D12" s="143"/>
      <c r="E12" s="143"/>
      <c r="F12" s="154" t="s">
        <v>519</v>
      </c>
      <c r="G12" s="143"/>
      <c r="H12" s="143"/>
    </row>
    <row r="13" spans="1:8" ht="60" customHeight="1">
      <c r="A13" s="152" t="s">
        <v>520</v>
      </c>
      <c r="B13" s="153" t="s">
        <v>521</v>
      </c>
      <c r="C13" s="143"/>
      <c r="D13" s="143"/>
      <c r="E13" s="143"/>
      <c r="F13" s="154" t="s">
        <v>522</v>
      </c>
      <c r="G13" s="143"/>
      <c r="H13" s="143"/>
    </row>
    <row r="14" spans="1:8" ht="60" customHeight="1">
      <c r="A14" s="152" t="s">
        <v>523</v>
      </c>
      <c r="B14" s="153" t="s">
        <v>524</v>
      </c>
      <c r="C14" s="143"/>
      <c r="D14" s="143"/>
      <c r="E14" s="143"/>
      <c r="F14" s="154" t="s">
        <v>525</v>
      </c>
      <c r="G14" s="143"/>
      <c r="H14" s="143"/>
    </row>
    <row r="15" spans="1:8" ht="60" customHeight="1">
      <c r="A15" s="152" t="s">
        <v>526</v>
      </c>
      <c r="B15" s="153" t="s">
        <v>527</v>
      </c>
      <c r="C15" s="143"/>
      <c r="D15" s="143"/>
      <c r="E15" s="143"/>
      <c r="F15" s="154" t="s">
        <v>528</v>
      </c>
      <c r="G15" s="143"/>
      <c r="H15" s="143"/>
    </row>
    <row r="16" spans="1:8" ht="60" customHeight="1">
      <c r="A16" s="152" t="s">
        <v>529</v>
      </c>
      <c r="B16" s="153" t="s">
        <v>530</v>
      </c>
      <c r="C16" s="143"/>
      <c r="D16" s="143"/>
      <c r="E16" s="143"/>
      <c r="F16" s="154" t="s">
        <v>531</v>
      </c>
      <c r="G16" s="143"/>
      <c r="H16" s="143"/>
    </row>
    <row r="18" spans="1:8" ht="15.75" customHeight="1">
      <c r="A18" s="149" t="s">
        <v>532</v>
      </c>
      <c r="B18" s="143"/>
      <c r="C18" s="143"/>
      <c r="D18" s="143"/>
      <c r="E18" s="143"/>
      <c r="F18" s="143"/>
      <c r="G18" s="143"/>
      <c r="H18" s="143"/>
    </row>
    <row r="19" spans="1:8" ht="25.5" customHeight="1">
      <c r="A19" s="150" t="s">
        <v>533</v>
      </c>
      <c r="B19" s="150" t="s">
        <v>534</v>
      </c>
      <c r="C19" s="150" t="s">
        <v>535</v>
      </c>
      <c r="D19" s="150" t="s">
        <v>536</v>
      </c>
      <c r="E19" s="150" t="s">
        <v>537</v>
      </c>
    </row>
    <row r="20" spans="1:8" ht="69.95" customHeight="1">
      <c r="A20" s="155" t="s">
        <v>203</v>
      </c>
      <c r="B20" s="151" t="s">
        <v>538</v>
      </c>
      <c r="C20" s="151" t="s">
        <v>539</v>
      </c>
      <c r="D20" s="151" t="s">
        <v>540</v>
      </c>
      <c r="E20" s="151" t="s">
        <v>541</v>
      </c>
    </row>
    <row r="21" spans="1:8" ht="69.95" customHeight="1">
      <c r="A21" s="156" t="s">
        <v>199</v>
      </c>
      <c r="B21" s="151" t="s">
        <v>542</v>
      </c>
      <c r="C21" s="151" t="s">
        <v>543</v>
      </c>
      <c r="D21" s="151" t="s">
        <v>544</v>
      </c>
      <c r="E21" s="151" t="s">
        <v>545</v>
      </c>
    </row>
    <row r="22" spans="1:8" ht="69.95" customHeight="1">
      <c r="A22" s="157" t="s">
        <v>195</v>
      </c>
      <c r="B22" s="151" t="s">
        <v>546</v>
      </c>
      <c r="C22" s="151" t="s">
        <v>547</v>
      </c>
      <c r="D22" s="151" t="s">
        <v>548</v>
      </c>
      <c r="E22" s="151" t="s">
        <v>549</v>
      </c>
    </row>
    <row r="23" spans="1:8" ht="69.95" customHeight="1">
      <c r="A23" s="158" t="s">
        <v>191</v>
      </c>
      <c r="B23" s="151" t="s">
        <v>550</v>
      </c>
      <c r="C23" s="151" t="s">
        <v>551</v>
      </c>
      <c r="D23" s="151" t="s">
        <v>552</v>
      </c>
      <c r="E23" s="151" t="s">
        <v>553</v>
      </c>
    </row>
    <row r="25" spans="1:8" ht="15.75" customHeight="1">
      <c r="A25" s="149" t="s">
        <v>554</v>
      </c>
      <c r="B25" s="143"/>
      <c r="C25" s="143"/>
      <c r="D25" s="143"/>
      <c r="E25" s="143"/>
      <c r="F25" s="143"/>
      <c r="G25" s="143"/>
      <c r="H25" s="143"/>
    </row>
    <row r="26" spans="1:8">
      <c r="A26" s="159" t="s">
        <v>555</v>
      </c>
      <c r="B26" s="159" t="s">
        <v>556</v>
      </c>
      <c r="C26" s="159" t="s">
        <v>557</v>
      </c>
      <c r="D26" s="159" t="s">
        <v>533</v>
      </c>
      <c r="E26" s="159" t="s">
        <v>135</v>
      </c>
      <c r="F26" s="159" t="s">
        <v>221</v>
      </c>
      <c r="G26" s="159" t="s">
        <v>81</v>
      </c>
      <c r="H26" s="159" t="s">
        <v>558</v>
      </c>
    </row>
    <row r="27" spans="1:8" ht="30" customHeight="1">
      <c r="A27" s="160" t="s">
        <v>559</v>
      </c>
      <c r="B27" s="160" t="s">
        <v>560</v>
      </c>
      <c r="C27" s="160" t="s">
        <v>561</v>
      </c>
      <c r="D27" s="160" t="s">
        <v>199</v>
      </c>
      <c r="E27" s="160" t="s">
        <v>562</v>
      </c>
      <c r="F27" s="160" t="s">
        <v>563</v>
      </c>
      <c r="G27" s="160" t="s">
        <v>564</v>
      </c>
      <c r="H27" s="160" t="s">
        <v>565</v>
      </c>
    </row>
    <row r="28" spans="1:8" ht="30" customHeight="1">
      <c r="A28" s="160" t="s">
        <v>566</v>
      </c>
      <c r="B28" s="160" t="s">
        <v>567</v>
      </c>
      <c r="C28" s="160" t="s">
        <v>568</v>
      </c>
      <c r="D28" s="160" t="s">
        <v>195</v>
      </c>
      <c r="E28" s="160" t="s">
        <v>569</v>
      </c>
      <c r="F28" s="160" t="s">
        <v>570</v>
      </c>
      <c r="G28" s="160" t="s">
        <v>571</v>
      </c>
      <c r="H28" s="160"/>
    </row>
    <row r="29" spans="1:8" ht="30" customHeight="1">
      <c r="A29" s="160" t="s">
        <v>572</v>
      </c>
      <c r="B29" s="160" t="s">
        <v>573</v>
      </c>
      <c r="C29" s="160" t="s">
        <v>574</v>
      </c>
      <c r="D29" s="160" t="s">
        <v>191</v>
      </c>
      <c r="E29" s="160" t="s">
        <v>575</v>
      </c>
      <c r="F29" s="160" t="s">
        <v>576</v>
      </c>
      <c r="G29" s="160" t="s">
        <v>577</v>
      </c>
      <c r="H29" s="160"/>
    </row>
  </sheetData>
  <mergeCells count="29">
    <mergeCell ref="F2:H2"/>
    <mergeCell ref="A1:H1"/>
    <mergeCell ref="B10:E10"/>
    <mergeCell ref="B2:C2"/>
    <mergeCell ref="A25:H25"/>
    <mergeCell ref="F13:H13"/>
    <mergeCell ref="B16:E16"/>
    <mergeCell ref="A18:H18"/>
    <mergeCell ref="F14:H14"/>
    <mergeCell ref="B12:E12"/>
    <mergeCell ref="F4:H4"/>
    <mergeCell ref="B11:E11"/>
    <mergeCell ref="F11:H11"/>
    <mergeCell ref="B14:E14"/>
    <mergeCell ref="F16:H16"/>
    <mergeCell ref="B6:C6"/>
    <mergeCell ref="A9:H9"/>
    <mergeCell ref="F5:H5"/>
    <mergeCell ref="B7:C7"/>
    <mergeCell ref="B3:C3"/>
    <mergeCell ref="B15:E15"/>
    <mergeCell ref="F10:H10"/>
    <mergeCell ref="F6:H6"/>
    <mergeCell ref="B13:E13"/>
    <mergeCell ref="B5:C5"/>
    <mergeCell ref="F12:H12"/>
    <mergeCell ref="F3:H3"/>
    <mergeCell ref="F15:H15"/>
    <mergeCell ref="B4:C4"/>
  </mergeCells>
  <pageMargins left="0.75" right="0.75" top="1" bottom="1" header="0.5" footer="0.5"/>
  <pageSetup paperSize="0" orientation="portrait" horizontalDpi="0" verticalDpi="0" copie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0"/>
  <dimension ref="A1:J30"/>
  <sheetViews>
    <sheetView workbookViewId="0">
      <selection sqref="A1:H1"/>
    </sheetView>
  </sheetViews>
  <sheetFormatPr baseColWidth="10" defaultColWidth="9.140625" defaultRowHeight="15"/>
  <cols>
    <col min="1" max="1" width="19.85546875" bestFit="1" customWidth="1"/>
    <col min="2" max="2" width="9.7109375" bestFit="1" customWidth="1"/>
    <col min="3" max="3" width="4.85546875" bestFit="1" customWidth="1"/>
    <col min="4" max="4" width="6" bestFit="1" customWidth="1"/>
    <col min="5" max="5" width="24.140625" bestFit="1" customWidth="1"/>
    <col min="6" max="6" width="23.5703125" bestFit="1" customWidth="1"/>
  </cols>
  <sheetData>
    <row r="1" spans="1:10" ht="30" customHeight="1">
      <c r="A1" s="120" t="s">
        <v>578</v>
      </c>
      <c r="B1" s="93"/>
      <c r="C1" s="93"/>
      <c r="D1" s="93"/>
      <c r="E1" s="93"/>
      <c r="F1" s="93"/>
      <c r="G1" s="93"/>
      <c r="H1" s="93"/>
      <c r="I1" s="8"/>
      <c r="J1" s="8"/>
    </row>
    <row r="2" spans="1:10">
      <c r="A2" s="28" t="s">
        <v>579</v>
      </c>
      <c r="B2" s="116" t="s">
        <v>580</v>
      </c>
      <c r="C2" s="93"/>
      <c r="D2" s="8"/>
      <c r="E2" s="28" t="s">
        <v>48</v>
      </c>
      <c r="F2" s="116" t="s">
        <v>49</v>
      </c>
      <c r="G2" s="93"/>
      <c r="H2" s="93"/>
      <c r="I2" s="8"/>
      <c r="J2" s="8"/>
    </row>
    <row r="3" spans="1:10">
      <c r="A3" s="28" t="s">
        <v>581</v>
      </c>
      <c r="B3" s="116" t="s">
        <v>582</v>
      </c>
      <c r="C3" s="93"/>
      <c r="D3" s="8"/>
      <c r="E3" s="28" t="s">
        <v>583</v>
      </c>
      <c r="F3" s="116" t="s">
        <v>51</v>
      </c>
      <c r="G3" s="93"/>
      <c r="H3" s="93"/>
      <c r="I3" s="8"/>
      <c r="J3" s="8"/>
    </row>
    <row r="4" spans="1:10">
      <c r="A4" s="28" t="s">
        <v>584</v>
      </c>
      <c r="B4" s="116" t="s">
        <v>57</v>
      </c>
      <c r="C4" s="93"/>
      <c r="D4" s="8"/>
      <c r="E4" s="28" t="s">
        <v>585</v>
      </c>
      <c r="F4" s="116" t="s">
        <v>428</v>
      </c>
      <c r="G4" s="93"/>
      <c r="H4" s="93"/>
      <c r="I4" s="8"/>
      <c r="J4" s="8"/>
    </row>
    <row r="5" spans="1:10">
      <c r="A5" s="28" t="s">
        <v>429</v>
      </c>
      <c r="B5" s="116" t="s">
        <v>430</v>
      </c>
      <c r="C5" s="93"/>
      <c r="D5" s="8"/>
      <c r="E5" s="28" t="s">
        <v>586</v>
      </c>
      <c r="F5" s="116" t="s">
        <v>431</v>
      </c>
      <c r="G5" s="93"/>
      <c r="H5" s="93"/>
      <c r="I5" s="8"/>
      <c r="J5" s="8"/>
    </row>
    <row r="6" spans="1:10">
      <c r="A6" s="28" t="s">
        <v>58</v>
      </c>
      <c r="B6" s="116" t="s">
        <v>59</v>
      </c>
      <c r="C6" s="93"/>
      <c r="D6" s="8"/>
      <c r="E6" s="28" t="s">
        <v>60</v>
      </c>
      <c r="F6" s="116" t="s">
        <v>61</v>
      </c>
      <c r="G6" s="93"/>
      <c r="H6" s="93"/>
      <c r="I6" s="8"/>
      <c r="J6" s="8"/>
    </row>
    <row r="7" spans="1:10">
      <c r="A7" s="28" t="s">
        <v>432</v>
      </c>
      <c r="B7" s="116" t="s">
        <v>433</v>
      </c>
      <c r="C7" s="93"/>
      <c r="D7" s="8"/>
      <c r="E7" s="8"/>
      <c r="F7" s="8"/>
      <c r="G7" s="8"/>
      <c r="H7" s="8"/>
      <c r="I7" s="8"/>
      <c r="J7" s="8"/>
    </row>
    <row r="8" spans="1:10">
      <c r="A8" s="8"/>
      <c r="B8" s="8"/>
      <c r="C8" s="8"/>
      <c r="D8" s="8"/>
      <c r="E8" s="8"/>
      <c r="F8" s="8"/>
      <c r="G8" s="8"/>
      <c r="H8" s="8"/>
      <c r="I8" s="8"/>
      <c r="J8" s="8"/>
    </row>
    <row r="9" spans="1:10" ht="15.75" customHeight="1">
      <c r="A9" s="123" t="s">
        <v>587</v>
      </c>
      <c r="B9" s="93"/>
      <c r="C9" s="93"/>
      <c r="D9" s="93"/>
      <c r="E9" s="93"/>
      <c r="F9" s="93"/>
      <c r="G9" s="93"/>
      <c r="H9" s="93"/>
      <c r="I9" s="8"/>
      <c r="J9" s="8"/>
    </row>
    <row r="10" spans="1:10" ht="24.95" customHeight="1">
      <c r="A10" s="126" t="s">
        <v>588</v>
      </c>
      <c r="B10" s="93"/>
      <c r="C10" s="93"/>
      <c r="D10" s="93"/>
      <c r="E10" s="93"/>
      <c r="F10" s="93"/>
      <c r="G10" s="93"/>
      <c r="H10" s="93"/>
      <c r="I10" s="8"/>
      <c r="J10" s="8"/>
    </row>
    <row r="11" spans="1:10" ht="24.95" customHeight="1">
      <c r="A11" s="126" t="s">
        <v>589</v>
      </c>
      <c r="B11" s="93"/>
      <c r="C11" s="93"/>
      <c r="D11" s="93"/>
      <c r="E11" s="93"/>
      <c r="F11" s="93"/>
      <c r="G11" s="93"/>
      <c r="H11" s="93"/>
      <c r="I11" s="8"/>
      <c r="J11" s="8"/>
    </row>
    <row r="12" spans="1:10" ht="24.95" customHeight="1">
      <c r="A12" s="126" t="s">
        <v>590</v>
      </c>
      <c r="B12" s="93"/>
      <c r="C12" s="93"/>
      <c r="D12" s="93"/>
      <c r="E12" s="93"/>
      <c r="F12" s="93"/>
      <c r="G12" s="93"/>
      <c r="H12" s="93"/>
      <c r="I12" s="8"/>
      <c r="J12" s="8"/>
    </row>
    <row r="13" spans="1:10" ht="24.95" customHeight="1">
      <c r="A13" s="126" t="s">
        <v>591</v>
      </c>
      <c r="B13" s="93"/>
      <c r="C13" s="93"/>
      <c r="D13" s="93"/>
      <c r="E13" s="93"/>
      <c r="F13" s="93"/>
      <c r="G13" s="93"/>
      <c r="H13" s="93"/>
      <c r="I13" s="8"/>
      <c r="J13" s="8"/>
    </row>
    <row r="14" spans="1:10" ht="24.95" customHeight="1">
      <c r="A14" s="126" t="s">
        <v>592</v>
      </c>
      <c r="B14" s="93"/>
      <c r="C14" s="93"/>
      <c r="D14" s="93"/>
      <c r="E14" s="93"/>
      <c r="F14" s="93"/>
      <c r="G14" s="93"/>
      <c r="H14" s="93"/>
      <c r="I14" s="8"/>
      <c r="J14" s="8"/>
    </row>
    <row r="15" spans="1:10">
      <c r="A15" s="8"/>
      <c r="B15" s="8"/>
      <c r="C15" s="8"/>
      <c r="D15" s="8"/>
      <c r="E15" s="8"/>
      <c r="F15" s="8"/>
      <c r="G15" s="8"/>
      <c r="H15" s="8"/>
      <c r="I15" s="8"/>
      <c r="J15" s="8"/>
    </row>
    <row r="16" spans="1:10" ht="15.75" customHeight="1">
      <c r="A16" s="123" t="s">
        <v>593</v>
      </c>
      <c r="B16" s="93"/>
      <c r="C16" s="93"/>
      <c r="D16" s="93"/>
      <c r="E16" s="93"/>
      <c r="F16" s="93"/>
      <c r="G16" s="93"/>
      <c r="H16" s="93"/>
      <c r="I16" s="8"/>
      <c r="J16" s="8"/>
    </row>
    <row r="17" spans="1:10">
      <c r="A17" s="31" t="s">
        <v>594</v>
      </c>
      <c r="B17" s="31" t="s">
        <v>595</v>
      </c>
      <c r="C17" s="31" t="s">
        <v>596</v>
      </c>
      <c r="D17" s="31" t="s">
        <v>597</v>
      </c>
      <c r="E17" s="31" t="s">
        <v>598</v>
      </c>
      <c r="F17" s="31" t="s">
        <v>599</v>
      </c>
      <c r="G17" s="8"/>
      <c r="H17" s="8"/>
      <c r="I17" s="8"/>
      <c r="J17" s="8"/>
    </row>
    <row r="18" spans="1:10" ht="35.1" customHeight="1">
      <c r="A18" s="37" t="s">
        <v>600</v>
      </c>
      <c r="B18" s="38" t="s">
        <v>203</v>
      </c>
      <c r="C18" s="37" t="s">
        <v>601</v>
      </c>
      <c r="D18" s="37" t="s">
        <v>602</v>
      </c>
      <c r="E18" s="37" t="s">
        <v>603</v>
      </c>
      <c r="F18" s="37" t="s">
        <v>604</v>
      </c>
      <c r="G18" s="8"/>
      <c r="H18" s="8"/>
      <c r="I18" s="8"/>
      <c r="J18" s="8"/>
    </row>
    <row r="19" spans="1:10" ht="35.1" customHeight="1">
      <c r="A19" s="37" t="s">
        <v>605</v>
      </c>
      <c r="B19" s="38" t="s">
        <v>203</v>
      </c>
      <c r="C19" s="37" t="s">
        <v>606</v>
      </c>
      <c r="D19" s="37" t="s">
        <v>607</v>
      </c>
      <c r="E19" s="37" t="s">
        <v>608</v>
      </c>
      <c r="F19" s="37" t="s">
        <v>609</v>
      </c>
      <c r="G19" s="8"/>
      <c r="H19" s="8"/>
      <c r="I19" s="8"/>
      <c r="J19" s="8"/>
    </row>
    <row r="20" spans="1:10" ht="35.1" customHeight="1">
      <c r="A20" s="37" t="s">
        <v>610</v>
      </c>
      <c r="B20" s="39" t="s">
        <v>199</v>
      </c>
      <c r="C20" s="37" t="s">
        <v>611</v>
      </c>
      <c r="D20" s="37" t="s">
        <v>612</v>
      </c>
      <c r="E20" s="37" t="s">
        <v>613</v>
      </c>
      <c r="F20" s="37" t="s">
        <v>614</v>
      </c>
      <c r="G20" s="8"/>
      <c r="H20" s="8"/>
      <c r="I20" s="8"/>
      <c r="J20" s="8"/>
    </row>
    <row r="21" spans="1:10" ht="35.1" customHeight="1">
      <c r="A21" s="37" t="s">
        <v>615</v>
      </c>
      <c r="B21" s="40" t="s">
        <v>195</v>
      </c>
      <c r="C21" s="37" t="s">
        <v>616</v>
      </c>
      <c r="D21" s="37" t="s">
        <v>606</v>
      </c>
      <c r="E21" s="37" t="s">
        <v>617</v>
      </c>
      <c r="F21" s="37" t="s">
        <v>618</v>
      </c>
      <c r="G21" s="8"/>
      <c r="H21" s="8"/>
      <c r="I21" s="8"/>
      <c r="J21" s="8"/>
    </row>
    <row r="22" spans="1:10" ht="35.1" customHeight="1">
      <c r="A22" s="37" t="s">
        <v>619</v>
      </c>
      <c r="B22" s="39" t="s">
        <v>199</v>
      </c>
      <c r="C22" s="37" t="s">
        <v>620</v>
      </c>
      <c r="D22" s="37" t="s">
        <v>621</v>
      </c>
      <c r="E22" s="37" t="s">
        <v>622</v>
      </c>
      <c r="F22" s="37" t="s">
        <v>623</v>
      </c>
      <c r="G22" s="8"/>
      <c r="H22" s="8"/>
      <c r="I22" s="8"/>
      <c r="J22" s="8"/>
    </row>
    <row r="23" spans="1:10" ht="35.1" customHeight="1">
      <c r="A23" s="37" t="s">
        <v>624</v>
      </c>
      <c r="B23" s="39" t="s">
        <v>199</v>
      </c>
      <c r="C23" s="37" t="s">
        <v>606</v>
      </c>
      <c r="D23" s="37" t="s">
        <v>612</v>
      </c>
      <c r="E23" s="37" t="s">
        <v>625</v>
      </c>
      <c r="F23" s="37" t="s">
        <v>626</v>
      </c>
      <c r="G23" s="8"/>
      <c r="H23" s="8"/>
      <c r="I23" s="8"/>
      <c r="J23" s="8"/>
    </row>
    <row r="24" spans="1:10">
      <c r="A24" s="8"/>
      <c r="B24" s="8"/>
      <c r="C24" s="8"/>
      <c r="D24" s="8"/>
      <c r="E24" s="8"/>
      <c r="F24" s="8"/>
      <c r="G24" s="8"/>
      <c r="H24" s="8"/>
      <c r="I24" s="8"/>
      <c r="J24" s="8"/>
    </row>
    <row r="25" spans="1:10" ht="15.75" customHeight="1">
      <c r="A25" s="123" t="s">
        <v>627</v>
      </c>
      <c r="B25" s="93"/>
      <c r="C25" s="93"/>
      <c r="D25" s="93"/>
      <c r="E25" s="93"/>
      <c r="F25" s="93"/>
      <c r="G25" s="93"/>
      <c r="H25" s="93"/>
      <c r="I25" s="8"/>
      <c r="J25" s="8"/>
    </row>
    <row r="26" spans="1:10" ht="60" customHeight="1">
      <c r="A26" s="34" t="s">
        <v>628</v>
      </c>
      <c r="B26" s="124" t="s">
        <v>629</v>
      </c>
      <c r="C26" s="93"/>
      <c r="D26" s="93"/>
      <c r="E26" s="93"/>
      <c r="F26" s="125" t="s">
        <v>630</v>
      </c>
      <c r="G26" s="93"/>
      <c r="H26" s="93"/>
      <c r="I26" s="8"/>
      <c r="J26" s="8"/>
    </row>
    <row r="27" spans="1:10" ht="60" customHeight="1">
      <c r="A27" s="34" t="s">
        <v>631</v>
      </c>
      <c r="B27" s="124" t="s">
        <v>632</v>
      </c>
      <c r="C27" s="93"/>
      <c r="D27" s="93"/>
      <c r="E27" s="93"/>
      <c r="F27" s="125" t="s">
        <v>633</v>
      </c>
      <c r="G27" s="93"/>
      <c r="H27" s="93"/>
      <c r="I27" s="8"/>
      <c r="J27" s="8"/>
    </row>
    <row r="28" spans="1:10" ht="60" customHeight="1">
      <c r="A28" s="34" t="s">
        <v>634</v>
      </c>
      <c r="B28" s="124" t="s">
        <v>635</v>
      </c>
      <c r="C28" s="93"/>
      <c r="D28" s="93"/>
      <c r="E28" s="93"/>
      <c r="F28" s="125" t="s">
        <v>636</v>
      </c>
      <c r="G28" s="93"/>
      <c r="H28" s="93"/>
      <c r="I28" s="8"/>
      <c r="J28" s="8"/>
    </row>
    <row r="29" spans="1:10" ht="60" customHeight="1">
      <c r="A29" s="34" t="s">
        <v>637</v>
      </c>
      <c r="B29" s="124" t="s">
        <v>638</v>
      </c>
      <c r="C29" s="93"/>
      <c r="D29" s="93"/>
      <c r="E29" s="93"/>
      <c r="F29" s="125" t="s">
        <v>639</v>
      </c>
      <c r="G29" s="93"/>
      <c r="H29" s="93"/>
      <c r="I29" s="8"/>
      <c r="J29" s="8"/>
    </row>
    <row r="30" spans="1:10" ht="60" customHeight="1">
      <c r="A30" s="34" t="s">
        <v>640</v>
      </c>
      <c r="B30" s="124" t="s">
        <v>641</v>
      </c>
      <c r="C30" s="93"/>
      <c r="D30" s="93"/>
      <c r="E30" s="93"/>
      <c r="F30" s="125" t="s">
        <v>642</v>
      </c>
      <c r="G30" s="93"/>
      <c r="H30" s="93"/>
      <c r="I30" s="8"/>
      <c r="J30" s="8"/>
    </row>
  </sheetData>
  <mergeCells count="30">
    <mergeCell ref="F2:H2"/>
    <mergeCell ref="A1:H1"/>
    <mergeCell ref="B26:E26"/>
    <mergeCell ref="B2:C2"/>
    <mergeCell ref="F28:H28"/>
    <mergeCell ref="A25:H25"/>
    <mergeCell ref="A16:H16"/>
    <mergeCell ref="F27:H27"/>
    <mergeCell ref="A12:H12"/>
    <mergeCell ref="B27:E27"/>
    <mergeCell ref="F4:H4"/>
    <mergeCell ref="A14:H14"/>
    <mergeCell ref="B6:C6"/>
    <mergeCell ref="F6:H6"/>
    <mergeCell ref="B5:C5"/>
    <mergeCell ref="A10:H10"/>
    <mergeCell ref="A9:H9"/>
    <mergeCell ref="F5:H5"/>
    <mergeCell ref="B7:C7"/>
    <mergeCell ref="B3:C3"/>
    <mergeCell ref="B30:E30"/>
    <mergeCell ref="F26:H26"/>
    <mergeCell ref="A11:H11"/>
    <mergeCell ref="F29:H29"/>
    <mergeCell ref="B29:E29"/>
    <mergeCell ref="A13:H13"/>
    <mergeCell ref="F30:H30"/>
    <mergeCell ref="F3:H3"/>
    <mergeCell ref="B28:E28"/>
    <mergeCell ref="B4:C4"/>
  </mergeCells>
  <pageMargins left="0.75" right="0.75" top="1" bottom="1" header="0.5" footer="0.5"/>
  <pageSetup paperSize="0" orientation="portrait" horizontalDpi="0" verticalDpi="0" copie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1"/>
  <dimension ref="A1:J34"/>
  <sheetViews>
    <sheetView workbookViewId="0">
      <selection sqref="A1:H1"/>
    </sheetView>
  </sheetViews>
  <sheetFormatPr baseColWidth="10" defaultColWidth="9.140625" defaultRowHeight="15"/>
  <cols>
    <col min="1" max="1" width="28.28515625" bestFit="1" customWidth="1"/>
    <col min="2" max="3" width="11" bestFit="1" customWidth="1"/>
    <col min="4" max="4" width="12.28515625" bestFit="1" customWidth="1"/>
    <col min="5" max="5" width="39.7109375" bestFit="1" customWidth="1"/>
    <col min="6" max="6" width="5" bestFit="1" customWidth="1"/>
    <col min="7" max="7" width="9.7109375" bestFit="1" customWidth="1"/>
  </cols>
  <sheetData>
    <row r="1" spans="1:10" ht="30" customHeight="1">
      <c r="A1" s="120" t="s">
        <v>643</v>
      </c>
      <c r="B1" s="93"/>
      <c r="C1" s="93"/>
      <c r="D1" s="93"/>
      <c r="E1" s="93"/>
      <c r="F1" s="93"/>
      <c r="G1" s="93"/>
      <c r="H1" s="93"/>
      <c r="I1" s="8"/>
      <c r="J1" s="8"/>
    </row>
    <row r="2" spans="1:10">
      <c r="A2" s="28" t="s">
        <v>579</v>
      </c>
      <c r="B2" s="116" t="s">
        <v>644</v>
      </c>
      <c r="C2" s="93"/>
      <c r="D2" s="8"/>
      <c r="E2" s="28" t="s">
        <v>48</v>
      </c>
      <c r="F2" s="116" t="s">
        <v>49</v>
      </c>
      <c r="G2" s="93"/>
      <c r="H2" s="93"/>
      <c r="I2" s="8"/>
      <c r="J2" s="8"/>
    </row>
    <row r="3" spans="1:10">
      <c r="A3" s="28" t="s">
        <v>581</v>
      </c>
      <c r="B3" s="116" t="s">
        <v>645</v>
      </c>
      <c r="C3" s="93"/>
      <c r="D3" s="8"/>
      <c r="E3" s="28" t="s">
        <v>583</v>
      </c>
      <c r="F3" s="116" t="s">
        <v>51</v>
      </c>
      <c r="G3" s="93"/>
      <c r="H3" s="93"/>
      <c r="I3" s="8"/>
      <c r="J3" s="8"/>
    </row>
    <row r="4" spans="1:10">
      <c r="A4" s="28" t="s">
        <v>584</v>
      </c>
      <c r="B4" s="116" t="s">
        <v>57</v>
      </c>
      <c r="C4" s="93"/>
      <c r="D4" s="8"/>
      <c r="E4" s="28" t="s">
        <v>585</v>
      </c>
      <c r="F4" s="116" t="s">
        <v>428</v>
      </c>
      <c r="G4" s="93"/>
      <c r="H4" s="93"/>
      <c r="I4" s="8"/>
      <c r="J4" s="8"/>
    </row>
    <row r="5" spans="1:10">
      <c r="A5" s="28" t="s">
        <v>429</v>
      </c>
      <c r="B5" s="116" t="s">
        <v>430</v>
      </c>
      <c r="C5" s="93"/>
      <c r="D5" s="8"/>
      <c r="E5" s="28" t="s">
        <v>586</v>
      </c>
      <c r="F5" s="116" t="s">
        <v>431</v>
      </c>
      <c r="G5" s="93"/>
      <c r="H5" s="93"/>
      <c r="I5" s="8"/>
      <c r="J5" s="8"/>
    </row>
    <row r="6" spans="1:10">
      <c r="A6" s="28" t="s">
        <v>58</v>
      </c>
      <c r="B6" s="116" t="s">
        <v>59</v>
      </c>
      <c r="C6" s="93"/>
      <c r="D6" s="8"/>
      <c r="E6" s="28" t="s">
        <v>60</v>
      </c>
      <c r="F6" s="116" t="s">
        <v>61</v>
      </c>
      <c r="G6" s="93"/>
      <c r="H6" s="93"/>
      <c r="I6" s="8"/>
      <c r="J6" s="8"/>
    </row>
    <row r="7" spans="1:10">
      <c r="A7" s="28" t="s">
        <v>432</v>
      </c>
      <c r="B7" s="116" t="s">
        <v>433</v>
      </c>
      <c r="C7" s="93"/>
      <c r="D7" s="8"/>
      <c r="E7" s="8"/>
      <c r="F7" s="8"/>
      <c r="G7" s="8"/>
      <c r="H7" s="8"/>
      <c r="I7" s="8"/>
      <c r="J7" s="8"/>
    </row>
    <row r="8" spans="1:10">
      <c r="A8" s="8"/>
      <c r="B8" s="8"/>
      <c r="C8" s="8"/>
      <c r="D8" s="8"/>
      <c r="E8" s="8"/>
      <c r="F8" s="8"/>
      <c r="G8" s="8"/>
      <c r="H8" s="8"/>
      <c r="I8" s="8"/>
      <c r="J8" s="8"/>
    </row>
    <row r="9" spans="1:10" ht="15.75" customHeight="1">
      <c r="A9" s="123" t="s">
        <v>646</v>
      </c>
      <c r="B9" s="93"/>
      <c r="C9" s="93"/>
      <c r="D9" s="93"/>
      <c r="E9" s="93"/>
      <c r="F9" s="93"/>
      <c r="G9" s="93"/>
      <c r="H9" s="93"/>
      <c r="I9" s="8"/>
      <c r="J9" s="8"/>
    </row>
    <row r="10" spans="1:10" ht="24.95" customHeight="1">
      <c r="A10" s="30" t="s">
        <v>647</v>
      </c>
      <c r="B10" s="126" t="s">
        <v>648</v>
      </c>
      <c r="C10" s="93"/>
      <c r="D10" s="93"/>
      <c r="E10" s="93"/>
      <c r="F10" s="93"/>
      <c r="G10" s="93"/>
      <c r="H10" s="93"/>
      <c r="I10" s="8"/>
      <c r="J10" s="8"/>
    </row>
    <row r="11" spans="1:10" ht="24.95" customHeight="1">
      <c r="A11" s="30" t="s">
        <v>649</v>
      </c>
      <c r="B11" s="126" t="s">
        <v>650</v>
      </c>
      <c r="C11" s="93"/>
      <c r="D11" s="93"/>
      <c r="E11" s="93"/>
      <c r="F11" s="93"/>
      <c r="G11" s="93"/>
      <c r="H11" s="93"/>
      <c r="I11" s="8"/>
      <c r="J11" s="8"/>
    </row>
    <row r="12" spans="1:10" ht="24.95" customHeight="1">
      <c r="A12" s="30" t="s">
        <v>651</v>
      </c>
      <c r="B12" s="126" t="s">
        <v>652</v>
      </c>
      <c r="C12" s="93"/>
      <c r="D12" s="93"/>
      <c r="E12" s="93"/>
      <c r="F12" s="93"/>
      <c r="G12" s="93"/>
      <c r="H12" s="93"/>
      <c r="I12" s="8"/>
      <c r="J12" s="8"/>
    </row>
    <row r="13" spans="1:10" ht="24.95" customHeight="1">
      <c r="A13" s="30" t="s">
        <v>653</v>
      </c>
      <c r="B13" s="126" t="s">
        <v>654</v>
      </c>
      <c r="C13" s="93"/>
      <c r="D13" s="93"/>
      <c r="E13" s="93"/>
      <c r="F13" s="93"/>
      <c r="G13" s="93"/>
      <c r="H13" s="93"/>
      <c r="I13" s="8"/>
      <c r="J13" s="8"/>
    </row>
    <row r="14" spans="1:10" ht="24.95" customHeight="1">
      <c r="A14" s="30" t="s">
        <v>655</v>
      </c>
      <c r="B14" s="126" t="s">
        <v>656</v>
      </c>
      <c r="C14" s="93"/>
      <c r="D14" s="93"/>
      <c r="E14" s="93"/>
      <c r="F14" s="93"/>
      <c r="G14" s="93"/>
      <c r="H14" s="93"/>
      <c r="I14" s="8"/>
      <c r="J14" s="8"/>
    </row>
    <row r="15" spans="1:10">
      <c r="A15" s="8"/>
      <c r="B15" s="8"/>
      <c r="C15" s="8"/>
      <c r="D15" s="8"/>
      <c r="E15" s="8"/>
      <c r="F15" s="8"/>
      <c r="G15" s="8"/>
      <c r="H15" s="8"/>
      <c r="I15" s="8"/>
      <c r="J15" s="8"/>
    </row>
    <row r="16" spans="1:10" ht="15.75" customHeight="1">
      <c r="A16" s="123" t="s">
        <v>657</v>
      </c>
      <c r="B16" s="93"/>
      <c r="C16" s="93"/>
      <c r="D16" s="93"/>
      <c r="E16" s="93"/>
      <c r="F16" s="93"/>
      <c r="G16" s="93"/>
      <c r="H16" s="93"/>
      <c r="I16" s="8"/>
      <c r="J16" s="8"/>
    </row>
    <row r="17" spans="1:10">
      <c r="A17" s="31" t="s">
        <v>658</v>
      </c>
      <c r="B17" s="31" t="s">
        <v>659</v>
      </c>
      <c r="C17" s="31" t="s">
        <v>660</v>
      </c>
      <c r="D17" s="31" t="s">
        <v>661</v>
      </c>
      <c r="E17" s="31" t="s">
        <v>662</v>
      </c>
      <c r="F17" s="31" t="s">
        <v>663</v>
      </c>
      <c r="G17" s="31" t="s">
        <v>595</v>
      </c>
      <c r="H17" s="8"/>
      <c r="I17" s="8"/>
      <c r="J17" s="8"/>
    </row>
    <row r="18" spans="1:10">
      <c r="A18" s="42" t="s">
        <v>664</v>
      </c>
      <c r="B18" s="42" t="s">
        <v>166</v>
      </c>
      <c r="C18" s="42" t="s">
        <v>170</v>
      </c>
      <c r="D18" s="42" t="s">
        <v>665</v>
      </c>
      <c r="E18" s="42" t="s">
        <v>666</v>
      </c>
      <c r="F18" s="42" t="s">
        <v>616</v>
      </c>
      <c r="G18" s="38" t="s">
        <v>203</v>
      </c>
      <c r="H18" s="8"/>
      <c r="I18" s="8"/>
      <c r="J18" s="8"/>
    </row>
    <row r="19" spans="1:10">
      <c r="A19" s="42" t="s">
        <v>667</v>
      </c>
      <c r="B19" s="42" t="s">
        <v>170</v>
      </c>
      <c r="C19" s="42" t="s">
        <v>174</v>
      </c>
      <c r="D19" s="42" t="s">
        <v>665</v>
      </c>
      <c r="E19" s="42" t="s">
        <v>666</v>
      </c>
      <c r="F19" s="42" t="s">
        <v>620</v>
      </c>
      <c r="G19" s="38" t="s">
        <v>203</v>
      </c>
      <c r="H19" s="8"/>
      <c r="I19" s="8"/>
      <c r="J19" s="8"/>
    </row>
    <row r="20" spans="1:10">
      <c r="A20" s="42" t="s">
        <v>668</v>
      </c>
      <c r="B20" s="42" t="s">
        <v>166</v>
      </c>
      <c r="C20" s="42" t="s">
        <v>166</v>
      </c>
      <c r="D20" s="42" t="s">
        <v>170</v>
      </c>
      <c r="E20" s="42" t="s">
        <v>174</v>
      </c>
      <c r="F20" s="42" t="s">
        <v>669</v>
      </c>
      <c r="G20" s="39" t="s">
        <v>199</v>
      </c>
      <c r="H20" s="8"/>
      <c r="I20" s="8"/>
      <c r="J20" s="8"/>
    </row>
    <row r="21" spans="1:10">
      <c r="A21" s="42" t="s">
        <v>670</v>
      </c>
      <c r="B21" s="42" t="s">
        <v>166</v>
      </c>
      <c r="C21" s="42" t="s">
        <v>170</v>
      </c>
      <c r="D21" s="42" t="s">
        <v>174</v>
      </c>
      <c r="E21" s="42" t="s">
        <v>174</v>
      </c>
      <c r="F21" s="42" t="s">
        <v>671</v>
      </c>
      <c r="G21" s="40" t="s">
        <v>195</v>
      </c>
      <c r="H21" s="8"/>
      <c r="I21" s="8"/>
      <c r="J21" s="8"/>
    </row>
    <row r="22" spans="1:10">
      <c r="A22" s="42" t="s">
        <v>619</v>
      </c>
      <c r="B22" s="42" t="s">
        <v>166</v>
      </c>
      <c r="C22" s="42" t="s">
        <v>170</v>
      </c>
      <c r="D22" s="42" t="s">
        <v>174</v>
      </c>
      <c r="E22" s="42" t="s">
        <v>665</v>
      </c>
      <c r="F22" s="42" t="s">
        <v>611</v>
      </c>
      <c r="G22" s="39" t="s">
        <v>199</v>
      </c>
      <c r="H22" s="8"/>
      <c r="I22" s="8"/>
      <c r="J22" s="8"/>
    </row>
    <row r="23" spans="1:10">
      <c r="A23" s="42" t="s">
        <v>672</v>
      </c>
      <c r="B23" s="42" t="s">
        <v>170</v>
      </c>
      <c r="C23" s="42" t="s">
        <v>174</v>
      </c>
      <c r="D23" s="42" t="s">
        <v>665</v>
      </c>
      <c r="E23" s="42" t="s">
        <v>665</v>
      </c>
      <c r="F23" s="42" t="s">
        <v>611</v>
      </c>
      <c r="G23" s="39" t="s">
        <v>199</v>
      </c>
      <c r="H23" s="8"/>
      <c r="I23" s="8"/>
      <c r="J23" s="8"/>
    </row>
    <row r="24" spans="1:10">
      <c r="A24" s="42" t="s">
        <v>673</v>
      </c>
      <c r="B24" s="42" t="s">
        <v>166</v>
      </c>
      <c r="C24" s="42" t="s">
        <v>166</v>
      </c>
      <c r="D24" s="42" t="s">
        <v>170</v>
      </c>
      <c r="E24" s="42" t="s">
        <v>665</v>
      </c>
      <c r="F24" s="42" t="s">
        <v>674</v>
      </c>
      <c r="G24" s="40" t="s">
        <v>195</v>
      </c>
      <c r="H24" s="8"/>
      <c r="I24" s="8"/>
      <c r="J24" s="8"/>
    </row>
    <row r="25" spans="1:10">
      <c r="A25" s="42" t="s">
        <v>675</v>
      </c>
      <c r="B25" s="42" t="s">
        <v>166</v>
      </c>
      <c r="C25" s="42" t="s">
        <v>166</v>
      </c>
      <c r="D25" s="42" t="s">
        <v>170</v>
      </c>
      <c r="E25" s="42" t="s">
        <v>174</v>
      </c>
      <c r="F25" s="42" t="s">
        <v>676</v>
      </c>
      <c r="G25" s="39" t="s">
        <v>199</v>
      </c>
      <c r="H25" s="8"/>
      <c r="I25" s="8"/>
      <c r="J25" s="8"/>
    </row>
    <row r="26" spans="1:10">
      <c r="A26" s="8"/>
      <c r="B26" s="8"/>
      <c r="C26" s="8"/>
      <c r="D26" s="8"/>
      <c r="E26" s="8"/>
      <c r="F26" s="8"/>
      <c r="G26" s="8"/>
      <c r="H26" s="8"/>
      <c r="I26" s="8"/>
      <c r="J26" s="8"/>
    </row>
    <row r="27" spans="1:10" ht="15.75" customHeight="1">
      <c r="A27" s="123" t="s">
        <v>677</v>
      </c>
      <c r="B27" s="93"/>
      <c r="C27" s="93"/>
      <c r="D27" s="93"/>
      <c r="E27" s="93"/>
      <c r="F27" s="93"/>
      <c r="G27" s="93"/>
      <c r="H27" s="93"/>
      <c r="I27" s="8"/>
      <c r="J27" s="8"/>
    </row>
    <row r="28" spans="1:10">
      <c r="A28" s="35" t="s">
        <v>678</v>
      </c>
      <c r="B28" s="35" t="s">
        <v>679</v>
      </c>
      <c r="C28" s="35" t="s">
        <v>680</v>
      </c>
      <c r="D28" s="35" t="s">
        <v>681</v>
      </c>
      <c r="E28" s="35" t="s">
        <v>682</v>
      </c>
      <c r="F28" s="8"/>
      <c r="G28" s="8"/>
      <c r="H28" s="8"/>
      <c r="I28" s="8"/>
      <c r="J28" s="8"/>
    </row>
    <row r="29" spans="1:10" ht="24.95" customHeight="1">
      <c r="A29" s="43" t="s">
        <v>683</v>
      </c>
      <c r="B29" s="44" t="s">
        <v>684</v>
      </c>
      <c r="C29" s="44" t="s">
        <v>490</v>
      </c>
      <c r="D29" s="44" t="s">
        <v>685</v>
      </c>
      <c r="E29" s="37" t="s">
        <v>686</v>
      </c>
      <c r="F29" s="8"/>
      <c r="G29" s="8"/>
      <c r="H29" s="8"/>
      <c r="I29" s="8"/>
      <c r="J29" s="8"/>
    </row>
    <row r="30" spans="1:10" ht="24.95" customHeight="1">
      <c r="A30" s="43" t="s">
        <v>687</v>
      </c>
      <c r="B30" s="44" t="s">
        <v>688</v>
      </c>
      <c r="C30" s="44" t="s">
        <v>689</v>
      </c>
      <c r="D30" s="44" t="s">
        <v>690</v>
      </c>
      <c r="E30" s="37" t="s">
        <v>691</v>
      </c>
      <c r="F30" s="8"/>
      <c r="G30" s="8"/>
      <c r="H30" s="8"/>
      <c r="I30" s="8"/>
      <c r="J30" s="8"/>
    </row>
    <row r="31" spans="1:10" ht="24.95" customHeight="1">
      <c r="A31" s="43" t="s">
        <v>692</v>
      </c>
      <c r="B31" s="44" t="s">
        <v>693</v>
      </c>
      <c r="C31" s="44" t="s">
        <v>694</v>
      </c>
      <c r="D31" s="44" t="s">
        <v>695</v>
      </c>
      <c r="E31" s="37" t="s">
        <v>696</v>
      </c>
      <c r="F31" s="8"/>
      <c r="G31" s="8"/>
      <c r="H31" s="8"/>
      <c r="I31" s="8"/>
      <c r="J31" s="8"/>
    </row>
    <row r="32" spans="1:10" ht="24.95" customHeight="1">
      <c r="A32" s="43" t="s">
        <v>697</v>
      </c>
      <c r="B32" s="44" t="s">
        <v>698</v>
      </c>
      <c r="C32" s="44" t="s">
        <v>699</v>
      </c>
      <c r="D32" s="44" t="s">
        <v>700</v>
      </c>
      <c r="E32" s="37" t="s">
        <v>701</v>
      </c>
      <c r="F32" s="8"/>
      <c r="G32" s="8"/>
      <c r="H32" s="8"/>
      <c r="I32" s="8"/>
      <c r="J32" s="8"/>
    </row>
    <row r="33" spans="1:10" ht="24.95" customHeight="1">
      <c r="A33" s="43" t="s">
        <v>702</v>
      </c>
      <c r="B33" s="44" t="s">
        <v>703</v>
      </c>
      <c r="C33" s="44" t="s">
        <v>704</v>
      </c>
      <c r="D33" s="44" t="s">
        <v>705</v>
      </c>
      <c r="E33" s="37" t="s">
        <v>706</v>
      </c>
      <c r="F33" s="8"/>
      <c r="G33" s="8"/>
      <c r="H33" s="8"/>
      <c r="I33" s="8"/>
      <c r="J33" s="8"/>
    </row>
    <row r="34" spans="1:10" ht="24.95" customHeight="1">
      <c r="A34" s="45" t="s">
        <v>707</v>
      </c>
      <c r="B34" s="46" t="s">
        <v>708</v>
      </c>
      <c r="C34" s="46" t="s">
        <v>709</v>
      </c>
      <c r="D34" s="46" t="s">
        <v>710</v>
      </c>
      <c r="E34" s="47" t="s">
        <v>711</v>
      </c>
      <c r="F34" s="8"/>
      <c r="G34" s="8"/>
      <c r="H34" s="8"/>
      <c r="I34" s="8"/>
      <c r="J34" s="8"/>
    </row>
  </sheetData>
  <mergeCells count="20">
    <mergeCell ref="A16:H16"/>
    <mergeCell ref="A27:H27"/>
    <mergeCell ref="B12:H12"/>
    <mergeCell ref="F4:H4"/>
    <mergeCell ref="B11:H11"/>
    <mergeCell ref="B6:C6"/>
    <mergeCell ref="B14:H14"/>
    <mergeCell ref="F6:H6"/>
    <mergeCell ref="B13:H13"/>
    <mergeCell ref="B5:C5"/>
    <mergeCell ref="B10:H10"/>
    <mergeCell ref="B4:C4"/>
    <mergeCell ref="A9:H9"/>
    <mergeCell ref="F5:H5"/>
    <mergeCell ref="B7:C7"/>
    <mergeCell ref="B3:C3"/>
    <mergeCell ref="F2:H2"/>
    <mergeCell ref="A1:H1"/>
    <mergeCell ref="B2:C2"/>
    <mergeCell ref="F3:H3"/>
  </mergeCells>
  <pageMargins left="0.75" right="0.75" top="1" bottom="1" header="0.5" footer="0.5"/>
  <pageSetup paperSize="0" orientation="portrait" horizontalDpi="0" verticalDpi="0" copie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2"/>
  <dimension ref="A1:J51"/>
  <sheetViews>
    <sheetView workbookViewId="0">
      <selection sqref="A1:H1"/>
    </sheetView>
  </sheetViews>
  <sheetFormatPr baseColWidth="10" defaultColWidth="9.140625" defaultRowHeight="15"/>
  <cols>
    <col min="1" max="1" width="33.140625" bestFit="1" customWidth="1"/>
    <col min="2" max="2" width="35.42578125" bestFit="1" customWidth="1"/>
    <col min="3" max="3" width="13.7109375" bestFit="1" customWidth="1"/>
    <col min="4" max="4" width="18.28515625" bestFit="1" customWidth="1"/>
    <col min="5" max="5" width="11.140625" bestFit="1" customWidth="1"/>
    <col min="6" max="6" width="14.42578125" bestFit="1" customWidth="1"/>
    <col min="7" max="7" width="12.85546875" bestFit="1" customWidth="1"/>
  </cols>
  <sheetData>
    <row r="1" spans="1:10" ht="30" customHeight="1">
      <c r="A1" s="120" t="s">
        <v>712</v>
      </c>
      <c r="B1" s="93"/>
      <c r="C1" s="93"/>
      <c r="D1" s="93"/>
      <c r="E1" s="93"/>
      <c r="F1" s="93"/>
      <c r="G1" s="93"/>
      <c r="H1" s="93"/>
      <c r="I1" s="8"/>
      <c r="J1" s="8"/>
    </row>
    <row r="2" spans="1:10">
      <c r="A2" s="28" t="s">
        <v>579</v>
      </c>
      <c r="B2" s="116" t="s">
        <v>713</v>
      </c>
      <c r="C2" s="93"/>
      <c r="D2" s="8"/>
      <c r="E2" s="28" t="s">
        <v>48</v>
      </c>
      <c r="F2" s="116" t="s">
        <v>49</v>
      </c>
      <c r="G2" s="93"/>
      <c r="H2" s="93"/>
      <c r="I2" s="8"/>
      <c r="J2" s="8"/>
    </row>
    <row r="3" spans="1:10">
      <c r="A3" s="28" t="s">
        <v>581</v>
      </c>
      <c r="B3" s="116" t="s">
        <v>714</v>
      </c>
      <c r="C3" s="93"/>
      <c r="D3" s="8"/>
      <c r="E3" s="28" t="s">
        <v>583</v>
      </c>
      <c r="F3" s="116" t="s">
        <v>51</v>
      </c>
      <c r="G3" s="93"/>
      <c r="H3" s="93"/>
      <c r="I3" s="8"/>
      <c r="J3" s="8"/>
    </row>
    <row r="4" spans="1:10">
      <c r="A4" s="28" t="s">
        <v>584</v>
      </c>
      <c r="B4" s="116" t="s">
        <v>57</v>
      </c>
      <c r="C4" s="93"/>
      <c r="D4" s="8"/>
      <c r="E4" s="28" t="s">
        <v>585</v>
      </c>
      <c r="F4" s="116" t="s">
        <v>428</v>
      </c>
      <c r="G4" s="93"/>
      <c r="H4" s="93"/>
      <c r="I4" s="8"/>
      <c r="J4" s="8"/>
    </row>
    <row r="5" spans="1:10">
      <c r="A5" s="28" t="s">
        <v>429</v>
      </c>
      <c r="B5" s="116" t="s">
        <v>430</v>
      </c>
      <c r="C5" s="93"/>
      <c r="D5" s="8"/>
      <c r="E5" s="28" t="s">
        <v>586</v>
      </c>
      <c r="F5" s="116" t="s">
        <v>431</v>
      </c>
      <c r="G5" s="93"/>
      <c r="H5" s="93"/>
      <c r="I5" s="8"/>
      <c r="J5" s="8"/>
    </row>
    <row r="6" spans="1:10">
      <c r="A6" s="28" t="s">
        <v>58</v>
      </c>
      <c r="B6" s="116" t="s">
        <v>97</v>
      </c>
      <c r="C6" s="93"/>
      <c r="D6" s="8"/>
      <c r="E6" s="28" t="s">
        <v>60</v>
      </c>
      <c r="F6" s="116" t="s">
        <v>61</v>
      </c>
      <c r="G6" s="93"/>
      <c r="H6" s="93"/>
      <c r="I6" s="8"/>
      <c r="J6" s="8"/>
    </row>
    <row r="7" spans="1:10">
      <c r="A7" s="28" t="s">
        <v>432</v>
      </c>
      <c r="B7" s="116" t="s">
        <v>433</v>
      </c>
      <c r="C7" s="93"/>
      <c r="D7" s="8"/>
      <c r="E7" s="8"/>
      <c r="F7" s="8"/>
      <c r="G7" s="8"/>
      <c r="H7" s="8"/>
      <c r="I7" s="8"/>
      <c r="J7" s="8"/>
    </row>
    <row r="8" spans="1:10">
      <c r="A8" s="8"/>
      <c r="B8" s="8"/>
      <c r="C8" s="8"/>
      <c r="D8" s="8"/>
      <c r="E8" s="8"/>
      <c r="F8" s="8"/>
      <c r="G8" s="8"/>
      <c r="H8" s="8"/>
      <c r="I8" s="8"/>
      <c r="J8" s="8"/>
    </row>
    <row r="9" spans="1:10" ht="15.75" customHeight="1">
      <c r="A9" s="123" t="s">
        <v>715</v>
      </c>
      <c r="B9" s="93"/>
      <c r="C9" s="93"/>
      <c r="D9" s="93"/>
      <c r="E9" s="93"/>
      <c r="F9" s="93"/>
      <c r="G9" s="93"/>
      <c r="H9" s="93"/>
      <c r="I9" s="8"/>
      <c r="J9" s="8"/>
    </row>
    <row r="10" spans="1:10" ht="20.100000000000001" customHeight="1">
      <c r="A10" s="118" t="s">
        <v>716</v>
      </c>
      <c r="B10" s="93"/>
      <c r="C10" s="93"/>
      <c r="D10" s="93"/>
      <c r="E10" s="93"/>
      <c r="F10" s="93"/>
      <c r="G10" s="93"/>
      <c r="H10" s="93"/>
      <c r="I10" s="8"/>
      <c r="J10" s="8"/>
    </row>
    <row r="11" spans="1:10" ht="20.100000000000001" customHeight="1">
      <c r="A11" s="118" t="s">
        <v>717</v>
      </c>
      <c r="B11" s="93"/>
      <c r="C11" s="93"/>
      <c r="D11" s="93"/>
      <c r="E11" s="93"/>
      <c r="F11" s="93"/>
      <c r="G11" s="93"/>
      <c r="H11" s="93"/>
      <c r="I11" s="8"/>
      <c r="J11" s="8"/>
    </row>
    <row r="12" spans="1:10" ht="20.100000000000001" customHeight="1">
      <c r="A12" s="118" t="s">
        <v>718</v>
      </c>
      <c r="B12" s="93"/>
      <c r="C12" s="93"/>
      <c r="D12" s="93"/>
      <c r="E12" s="93"/>
      <c r="F12" s="93"/>
      <c r="G12" s="93"/>
      <c r="H12" s="93"/>
      <c r="I12" s="8"/>
      <c r="J12" s="8"/>
    </row>
    <row r="13" spans="1:10" ht="20.100000000000001" customHeight="1">
      <c r="A13" s="118" t="s">
        <v>719</v>
      </c>
      <c r="B13" s="93"/>
      <c r="C13" s="93"/>
      <c r="D13" s="93"/>
      <c r="E13" s="93"/>
      <c r="F13" s="93"/>
      <c r="G13" s="93"/>
      <c r="H13" s="93"/>
      <c r="I13" s="8"/>
      <c r="J13" s="8"/>
    </row>
    <row r="14" spans="1:10" ht="20.100000000000001" customHeight="1">
      <c r="A14" s="118" t="s">
        <v>720</v>
      </c>
      <c r="B14" s="93"/>
      <c r="C14" s="93"/>
      <c r="D14" s="93"/>
      <c r="E14" s="93"/>
      <c r="F14" s="93"/>
      <c r="G14" s="93"/>
      <c r="H14" s="93"/>
      <c r="I14" s="8"/>
      <c r="J14" s="8"/>
    </row>
    <row r="15" spans="1:10">
      <c r="A15" s="8"/>
      <c r="B15" s="8"/>
      <c r="C15" s="8"/>
      <c r="D15" s="8"/>
      <c r="E15" s="8"/>
      <c r="F15" s="8"/>
      <c r="G15" s="8"/>
      <c r="H15" s="8"/>
      <c r="I15" s="8"/>
      <c r="J15" s="8"/>
    </row>
    <row r="16" spans="1:10" ht="15.75" customHeight="1">
      <c r="A16" s="123" t="s">
        <v>721</v>
      </c>
      <c r="B16" s="93"/>
      <c r="C16" s="93"/>
      <c r="D16" s="93"/>
      <c r="E16" s="93"/>
      <c r="F16" s="93"/>
      <c r="G16" s="93"/>
      <c r="H16" s="93"/>
      <c r="I16" s="8"/>
      <c r="J16" s="8"/>
    </row>
    <row r="17" spans="1:10">
      <c r="A17" s="31" t="s">
        <v>722</v>
      </c>
      <c r="B17" s="31" t="s">
        <v>723</v>
      </c>
      <c r="C17" s="31" t="s">
        <v>724</v>
      </c>
      <c r="D17" s="31" t="s">
        <v>370</v>
      </c>
      <c r="E17" s="31" t="s">
        <v>136</v>
      </c>
      <c r="F17" s="31" t="s">
        <v>221</v>
      </c>
      <c r="G17" s="31" t="s">
        <v>725</v>
      </c>
      <c r="H17" s="8"/>
      <c r="I17" s="8"/>
      <c r="J17" s="8"/>
    </row>
    <row r="18" spans="1:10" ht="30" customHeight="1">
      <c r="A18" s="48" t="s">
        <v>726</v>
      </c>
      <c r="B18" s="48" t="s">
        <v>727</v>
      </c>
      <c r="C18" s="48" t="s">
        <v>728</v>
      </c>
      <c r="D18" s="48" t="s">
        <v>729</v>
      </c>
      <c r="E18" s="48" t="s">
        <v>730</v>
      </c>
      <c r="F18" s="48" t="s">
        <v>731</v>
      </c>
      <c r="G18" s="48" t="s">
        <v>732</v>
      </c>
      <c r="H18" s="8"/>
      <c r="I18" s="8"/>
      <c r="J18" s="8"/>
    </row>
    <row r="19" spans="1:10" ht="30" customHeight="1">
      <c r="A19" s="48" t="s">
        <v>733</v>
      </c>
      <c r="B19" s="48" t="s">
        <v>734</v>
      </c>
      <c r="C19" s="48" t="s">
        <v>735</v>
      </c>
      <c r="D19" s="48" t="s">
        <v>736</v>
      </c>
      <c r="E19" s="48" t="s">
        <v>737</v>
      </c>
      <c r="F19" s="48" t="s">
        <v>57</v>
      </c>
      <c r="G19" s="48" t="s">
        <v>738</v>
      </c>
      <c r="H19" s="8"/>
      <c r="I19" s="8"/>
      <c r="J19" s="8"/>
    </row>
    <row r="20" spans="1:10" ht="30" customHeight="1">
      <c r="A20" s="48" t="s">
        <v>739</v>
      </c>
      <c r="B20" s="48" t="s">
        <v>734</v>
      </c>
      <c r="C20" s="48" t="s">
        <v>740</v>
      </c>
      <c r="D20" s="48" t="s">
        <v>741</v>
      </c>
      <c r="E20" s="48" t="s">
        <v>742</v>
      </c>
      <c r="F20" s="48" t="s">
        <v>743</v>
      </c>
      <c r="G20" s="48" t="s">
        <v>744</v>
      </c>
      <c r="H20" s="8"/>
      <c r="I20" s="8"/>
      <c r="J20" s="8"/>
    </row>
    <row r="21" spans="1:10" ht="30" customHeight="1">
      <c r="A21" s="48" t="s">
        <v>745</v>
      </c>
      <c r="B21" s="48" t="s">
        <v>746</v>
      </c>
      <c r="C21" s="48" t="s">
        <v>747</v>
      </c>
      <c r="D21" s="48" t="s">
        <v>748</v>
      </c>
      <c r="E21" s="48" t="s">
        <v>360</v>
      </c>
      <c r="F21" s="48" t="s">
        <v>57</v>
      </c>
      <c r="G21" s="48" t="s">
        <v>749</v>
      </c>
      <c r="H21" s="8"/>
      <c r="I21" s="8"/>
      <c r="J21" s="8"/>
    </row>
    <row r="22" spans="1:10" ht="30" customHeight="1">
      <c r="A22" s="48" t="s">
        <v>750</v>
      </c>
      <c r="B22" s="48" t="s">
        <v>751</v>
      </c>
      <c r="C22" s="48" t="s">
        <v>728</v>
      </c>
      <c r="D22" s="48" t="s">
        <v>729</v>
      </c>
      <c r="E22" s="48" t="s">
        <v>737</v>
      </c>
      <c r="F22" s="48" t="s">
        <v>57</v>
      </c>
      <c r="G22" s="48" t="s">
        <v>752</v>
      </c>
      <c r="H22" s="8"/>
      <c r="I22" s="8"/>
      <c r="J22" s="8"/>
    </row>
    <row r="23" spans="1:10" ht="30" customHeight="1">
      <c r="A23" s="48" t="s">
        <v>753</v>
      </c>
      <c r="B23" s="48" t="s">
        <v>754</v>
      </c>
      <c r="C23" s="48" t="s">
        <v>755</v>
      </c>
      <c r="D23" s="48" t="s">
        <v>756</v>
      </c>
      <c r="E23" s="48" t="s">
        <v>737</v>
      </c>
      <c r="F23" s="48" t="s">
        <v>757</v>
      </c>
      <c r="G23" s="48" t="s">
        <v>758</v>
      </c>
      <c r="H23" s="8"/>
      <c r="I23" s="8"/>
      <c r="J23" s="8"/>
    </row>
    <row r="24" spans="1:10" ht="30" customHeight="1">
      <c r="A24" s="48" t="s">
        <v>759</v>
      </c>
      <c r="B24" s="48" t="s">
        <v>760</v>
      </c>
      <c r="C24" s="48" t="s">
        <v>761</v>
      </c>
      <c r="D24" s="48" t="s">
        <v>762</v>
      </c>
      <c r="E24" s="48" t="s">
        <v>737</v>
      </c>
      <c r="F24" s="48" t="s">
        <v>763</v>
      </c>
      <c r="G24" s="48" t="s">
        <v>764</v>
      </c>
      <c r="H24" s="8"/>
      <c r="I24" s="8"/>
      <c r="J24" s="8"/>
    </row>
    <row r="25" spans="1:10" ht="30" customHeight="1">
      <c r="A25" s="48" t="s">
        <v>765</v>
      </c>
      <c r="B25" s="48" t="s">
        <v>766</v>
      </c>
      <c r="C25" s="48" t="s">
        <v>728</v>
      </c>
      <c r="D25" s="48" t="s">
        <v>767</v>
      </c>
      <c r="E25" s="48" t="s">
        <v>737</v>
      </c>
      <c r="F25" s="48" t="s">
        <v>743</v>
      </c>
      <c r="G25" s="48" t="s">
        <v>768</v>
      </c>
      <c r="H25" s="8"/>
      <c r="I25" s="8"/>
      <c r="J25" s="8"/>
    </row>
    <row r="26" spans="1:10" ht="30" customHeight="1">
      <c r="A26" s="48" t="s">
        <v>769</v>
      </c>
      <c r="B26" s="48" t="s">
        <v>770</v>
      </c>
      <c r="C26" s="48" t="s">
        <v>771</v>
      </c>
      <c r="D26" s="48" t="s">
        <v>729</v>
      </c>
      <c r="E26" s="48" t="s">
        <v>737</v>
      </c>
      <c r="F26" s="48" t="s">
        <v>772</v>
      </c>
      <c r="G26" s="48" t="s">
        <v>773</v>
      </c>
      <c r="H26" s="8"/>
      <c r="I26" s="8"/>
      <c r="J26" s="8"/>
    </row>
    <row r="27" spans="1:10" ht="30" customHeight="1">
      <c r="A27" s="48" t="s">
        <v>774</v>
      </c>
      <c r="B27" s="48" t="s">
        <v>474</v>
      </c>
      <c r="C27" s="48" t="s">
        <v>775</v>
      </c>
      <c r="D27" s="48" t="s">
        <v>776</v>
      </c>
      <c r="E27" s="48" t="s">
        <v>777</v>
      </c>
      <c r="F27" s="48" t="s">
        <v>57</v>
      </c>
      <c r="G27" s="48" t="s">
        <v>778</v>
      </c>
      <c r="H27" s="8"/>
      <c r="I27" s="8"/>
      <c r="J27" s="8"/>
    </row>
    <row r="28" spans="1:10" ht="30" customHeight="1">
      <c r="A28" s="48" t="s">
        <v>779</v>
      </c>
      <c r="B28" s="48" t="s">
        <v>734</v>
      </c>
      <c r="C28" s="48" t="s">
        <v>780</v>
      </c>
      <c r="D28" s="48" t="s">
        <v>781</v>
      </c>
      <c r="E28" s="48" t="s">
        <v>782</v>
      </c>
      <c r="F28" s="48" t="s">
        <v>783</v>
      </c>
      <c r="G28" s="48" t="s">
        <v>782</v>
      </c>
      <c r="H28" s="8"/>
      <c r="I28" s="8"/>
      <c r="J28" s="8"/>
    </row>
    <row r="29" spans="1:10" ht="30" customHeight="1">
      <c r="A29" s="48" t="s">
        <v>784</v>
      </c>
      <c r="B29" s="48" t="s">
        <v>734</v>
      </c>
      <c r="C29" s="48" t="s">
        <v>785</v>
      </c>
      <c r="D29" s="48" t="s">
        <v>786</v>
      </c>
      <c r="E29" s="48" t="s">
        <v>737</v>
      </c>
      <c r="F29" s="48" t="s">
        <v>57</v>
      </c>
      <c r="G29" s="48" t="s">
        <v>787</v>
      </c>
      <c r="H29" s="8"/>
      <c r="I29" s="8"/>
      <c r="J29" s="8"/>
    </row>
    <row r="30" spans="1:10">
      <c r="A30" s="8"/>
      <c r="B30" s="8"/>
      <c r="C30" s="8"/>
      <c r="D30" s="8"/>
      <c r="E30" s="8"/>
      <c r="F30" s="8"/>
      <c r="G30" s="8"/>
      <c r="H30" s="8"/>
      <c r="I30" s="8"/>
      <c r="J30" s="8"/>
    </row>
    <row r="31" spans="1:10" ht="15.75" customHeight="1">
      <c r="A31" s="123" t="s">
        <v>788</v>
      </c>
      <c r="B31" s="93"/>
      <c r="C31" s="93"/>
      <c r="D31" s="93"/>
      <c r="E31" s="93"/>
      <c r="F31" s="93"/>
      <c r="G31" s="93"/>
      <c r="H31" s="93"/>
      <c r="I31" s="8"/>
      <c r="J31" s="8"/>
    </row>
    <row r="32" spans="1:10">
      <c r="A32" s="35" t="s">
        <v>789</v>
      </c>
      <c r="B32" s="35" t="s">
        <v>790</v>
      </c>
      <c r="C32" s="35" t="s">
        <v>791</v>
      </c>
      <c r="D32" s="8"/>
      <c r="E32" s="8"/>
      <c r="F32" s="8"/>
      <c r="G32" s="8"/>
      <c r="H32" s="8"/>
      <c r="I32" s="8"/>
      <c r="J32" s="8"/>
    </row>
    <row r="33" spans="1:10" ht="35.1" customHeight="1">
      <c r="A33" s="30" t="s">
        <v>792</v>
      </c>
      <c r="B33" s="41" t="s">
        <v>793</v>
      </c>
      <c r="C33" s="49" t="s">
        <v>150</v>
      </c>
      <c r="D33" s="8"/>
      <c r="E33" s="8"/>
      <c r="F33" s="8"/>
      <c r="G33" s="8"/>
      <c r="H33" s="8"/>
      <c r="I33" s="8"/>
      <c r="J33" s="8"/>
    </row>
    <row r="34" spans="1:10" ht="35.1" customHeight="1">
      <c r="A34" s="30" t="s">
        <v>794</v>
      </c>
      <c r="B34" s="41" t="s">
        <v>795</v>
      </c>
      <c r="C34" s="49" t="s">
        <v>150</v>
      </c>
      <c r="D34" s="8"/>
      <c r="E34" s="8"/>
      <c r="F34" s="8"/>
      <c r="G34" s="8"/>
      <c r="H34" s="8"/>
      <c r="I34" s="8"/>
      <c r="J34" s="8"/>
    </row>
    <row r="35" spans="1:10" ht="35.1" customHeight="1">
      <c r="A35" s="30" t="s">
        <v>796</v>
      </c>
      <c r="B35" s="41" t="s">
        <v>797</v>
      </c>
      <c r="C35" s="50" t="s">
        <v>146</v>
      </c>
      <c r="D35" s="8"/>
      <c r="E35" s="8"/>
      <c r="F35" s="8"/>
      <c r="G35" s="8"/>
      <c r="H35" s="8"/>
      <c r="I35" s="8"/>
      <c r="J35" s="8"/>
    </row>
    <row r="36" spans="1:10" ht="35.1" customHeight="1">
      <c r="A36" s="30" t="s">
        <v>798</v>
      </c>
      <c r="B36" s="41" t="s">
        <v>799</v>
      </c>
      <c r="C36" s="49" t="s">
        <v>150</v>
      </c>
      <c r="D36" s="8"/>
      <c r="E36" s="8"/>
      <c r="F36" s="8"/>
      <c r="G36" s="8"/>
      <c r="H36" s="8"/>
      <c r="I36" s="8"/>
      <c r="J36" s="8"/>
    </row>
    <row r="37" spans="1:10" ht="35.1" customHeight="1">
      <c r="A37" s="30" t="s">
        <v>800</v>
      </c>
      <c r="B37" s="41" t="s">
        <v>801</v>
      </c>
      <c r="C37" s="49" t="s">
        <v>150</v>
      </c>
      <c r="D37" s="8"/>
      <c r="E37" s="8"/>
      <c r="F37" s="8"/>
      <c r="G37" s="8"/>
      <c r="H37" s="8"/>
      <c r="I37" s="8"/>
      <c r="J37" s="8"/>
    </row>
    <row r="38" spans="1:10" ht="35.1" customHeight="1">
      <c r="A38" s="30" t="s">
        <v>802</v>
      </c>
      <c r="B38" s="41" t="s">
        <v>803</v>
      </c>
      <c r="C38" s="49" t="s">
        <v>150</v>
      </c>
      <c r="D38" s="8"/>
      <c r="E38" s="8"/>
      <c r="F38" s="8"/>
      <c r="G38" s="8"/>
      <c r="H38" s="8"/>
      <c r="I38" s="8"/>
      <c r="J38" s="8"/>
    </row>
    <row r="39" spans="1:10" ht="35.1" customHeight="1">
      <c r="A39" s="30" t="s">
        <v>804</v>
      </c>
      <c r="B39" s="41" t="s">
        <v>805</v>
      </c>
      <c r="C39" s="50" t="s">
        <v>146</v>
      </c>
      <c r="D39" s="8"/>
      <c r="E39" s="8"/>
      <c r="F39" s="8"/>
      <c r="G39" s="8"/>
      <c r="H39" s="8"/>
      <c r="I39" s="8"/>
      <c r="J39" s="8"/>
    </row>
    <row r="40" spans="1:10" ht="35.1" customHeight="1">
      <c r="A40" s="30" t="s">
        <v>806</v>
      </c>
      <c r="B40" s="41" t="s">
        <v>807</v>
      </c>
      <c r="C40" s="50" t="s">
        <v>146</v>
      </c>
      <c r="D40" s="8"/>
      <c r="E40" s="8"/>
      <c r="F40" s="8"/>
      <c r="G40" s="8"/>
      <c r="H40" s="8"/>
      <c r="I40" s="8"/>
      <c r="J40" s="8"/>
    </row>
    <row r="41" spans="1:10" ht="35.1" customHeight="1">
      <c r="A41" s="30" t="s">
        <v>808</v>
      </c>
      <c r="B41" s="41" t="s">
        <v>809</v>
      </c>
      <c r="C41" s="49" t="s">
        <v>150</v>
      </c>
      <c r="D41" s="8"/>
      <c r="E41" s="8"/>
      <c r="F41" s="8"/>
      <c r="G41" s="8"/>
      <c r="H41" s="8"/>
      <c r="I41" s="8"/>
      <c r="J41" s="8"/>
    </row>
    <row r="42" spans="1:10" ht="35.1" customHeight="1">
      <c r="A42" s="30" t="s">
        <v>810</v>
      </c>
      <c r="B42" s="41" t="s">
        <v>811</v>
      </c>
      <c r="C42" s="49" t="s">
        <v>150</v>
      </c>
      <c r="D42" s="8"/>
      <c r="E42" s="8"/>
      <c r="F42" s="8"/>
      <c r="G42" s="8"/>
      <c r="H42" s="8"/>
      <c r="I42" s="8"/>
      <c r="J42" s="8"/>
    </row>
    <row r="43" spans="1:10">
      <c r="A43" s="8"/>
      <c r="B43" s="8"/>
      <c r="C43" s="8"/>
      <c r="D43" s="8"/>
      <c r="E43" s="8"/>
      <c r="F43" s="8"/>
      <c r="G43" s="8"/>
      <c r="H43" s="8"/>
      <c r="I43" s="8"/>
      <c r="J43" s="8"/>
    </row>
    <row r="44" spans="1:10" ht="15.75" customHeight="1">
      <c r="A44" s="123" t="s">
        <v>812</v>
      </c>
      <c r="B44" s="93"/>
      <c r="C44" s="93"/>
      <c r="D44" s="93"/>
      <c r="E44" s="93"/>
      <c r="F44" s="93"/>
      <c r="G44" s="93"/>
      <c r="H44" s="93"/>
      <c r="I44" s="8"/>
      <c r="J44" s="8"/>
    </row>
    <row r="45" spans="1:10">
      <c r="A45" s="35" t="s">
        <v>813</v>
      </c>
      <c r="B45" s="35" t="s">
        <v>814</v>
      </c>
      <c r="C45" s="35" t="s">
        <v>136</v>
      </c>
      <c r="D45" s="35" t="s">
        <v>815</v>
      </c>
      <c r="E45" s="8"/>
      <c r="F45" s="8"/>
      <c r="G45" s="8"/>
      <c r="H45" s="8"/>
      <c r="I45" s="8"/>
      <c r="J45" s="8"/>
    </row>
    <row r="46" spans="1:10" ht="24.95" customHeight="1">
      <c r="A46" s="48" t="s">
        <v>816</v>
      </c>
      <c r="B46" s="48" t="s">
        <v>817</v>
      </c>
      <c r="C46" s="48" t="s">
        <v>742</v>
      </c>
      <c r="D46" s="48" t="s">
        <v>818</v>
      </c>
      <c r="E46" s="8"/>
      <c r="F46" s="8"/>
      <c r="G46" s="8"/>
      <c r="H46" s="8"/>
      <c r="I46" s="8"/>
      <c r="J46" s="8"/>
    </row>
    <row r="47" spans="1:10" ht="24.95" customHeight="1">
      <c r="A47" s="48" t="s">
        <v>819</v>
      </c>
      <c r="B47" s="48" t="s">
        <v>820</v>
      </c>
      <c r="C47" s="48" t="s">
        <v>742</v>
      </c>
      <c r="D47" s="48" t="s">
        <v>821</v>
      </c>
      <c r="E47" s="8"/>
      <c r="F47" s="8"/>
      <c r="G47" s="8"/>
      <c r="H47" s="8"/>
      <c r="I47" s="8"/>
      <c r="J47" s="8"/>
    </row>
    <row r="48" spans="1:10" ht="24.95" customHeight="1">
      <c r="A48" s="48" t="s">
        <v>822</v>
      </c>
      <c r="B48" s="48" t="s">
        <v>823</v>
      </c>
      <c r="C48" s="48" t="s">
        <v>737</v>
      </c>
      <c r="D48" s="48" t="s">
        <v>785</v>
      </c>
      <c r="E48" s="8"/>
      <c r="F48" s="8"/>
      <c r="G48" s="8"/>
      <c r="H48" s="8"/>
      <c r="I48" s="8"/>
      <c r="J48" s="8"/>
    </row>
    <row r="49" spans="1:10" ht="24.95" customHeight="1">
      <c r="A49" s="48" t="s">
        <v>824</v>
      </c>
      <c r="B49" s="48" t="s">
        <v>825</v>
      </c>
      <c r="C49" s="48" t="s">
        <v>742</v>
      </c>
      <c r="D49" s="48" t="s">
        <v>826</v>
      </c>
      <c r="E49" s="8"/>
      <c r="F49" s="8"/>
      <c r="G49" s="8"/>
      <c r="H49" s="8"/>
      <c r="I49" s="8"/>
      <c r="J49" s="8"/>
    </row>
    <row r="50" spans="1:10" ht="24.95" customHeight="1">
      <c r="A50" s="48" t="s">
        <v>827</v>
      </c>
      <c r="B50" s="48" t="s">
        <v>828</v>
      </c>
      <c r="C50" s="48" t="s">
        <v>742</v>
      </c>
      <c r="D50" s="48" t="s">
        <v>829</v>
      </c>
      <c r="E50" s="8"/>
      <c r="F50" s="8"/>
      <c r="G50" s="8"/>
      <c r="H50" s="8"/>
      <c r="I50" s="8"/>
      <c r="J50" s="8"/>
    </row>
    <row r="51" spans="1:10" ht="24.95" customHeight="1">
      <c r="A51" s="48" t="s">
        <v>830</v>
      </c>
      <c r="B51" s="48" t="s">
        <v>831</v>
      </c>
      <c r="C51" s="48" t="s">
        <v>832</v>
      </c>
      <c r="D51" s="48" t="s">
        <v>833</v>
      </c>
      <c r="E51" s="8"/>
      <c r="F51" s="8"/>
      <c r="G51" s="8"/>
      <c r="H51" s="8"/>
      <c r="I51" s="8"/>
      <c r="J51" s="8"/>
    </row>
  </sheetData>
  <mergeCells count="21">
    <mergeCell ref="A44:H44"/>
    <mergeCell ref="F3:H3"/>
    <mergeCell ref="A31:H31"/>
    <mergeCell ref="B4:C4"/>
    <mergeCell ref="F2:H2"/>
    <mergeCell ref="A1:H1"/>
    <mergeCell ref="B2:C2"/>
    <mergeCell ref="A16:H16"/>
    <mergeCell ref="A12:H12"/>
    <mergeCell ref="F4:H4"/>
    <mergeCell ref="A14:H14"/>
    <mergeCell ref="B6:C6"/>
    <mergeCell ref="F6:H6"/>
    <mergeCell ref="B5:C5"/>
    <mergeCell ref="A10:H10"/>
    <mergeCell ref="A13:H13"/>
    <mergeCell ref="A9:H9"/>
    <mergeCell ref="F5:H5"/>
    <mergeCell ref="B7:C7"/>
    <mergeCell ref="B3:C3"/>
    <mergeCell ref="A11:H11"/>
  </mergeCells>
  <pageMargins left="0.75" right="0.75" top="1" bottom="1" header="0.5" footer="0.5"/>
  <pageSetup paperSize="0" orientation="portrait" horizontalDpi="0" verticalDpi="0" copie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3"/>
  <dimension ref="A1:J11"/>
  <sheetViews>
    <sheetView workbookViewId="0">
      <selection sqref="A1:F1"/>
    </sheetView>
  </sheetViews>
  <sheetFormatPr baseColWidth="10" defaultColWidth="9.140625" defaultRowHeight="15"/>
  <cols>
    <col min="1" max="1" width="16.7109375" bestFit="1" customWidth="1"/>
    <col min="2" max="2" width="16.85546875" bestFit="1" customWidth="1"/>
    <col min="3" max="3" width="12.42578125" bestFit="1" customWidth="1"/>
    <col min="4" max="4" width="12" bestFit="1" customWidth="1"/>
    <col min="5" max="5" width="19.28515625" bestFit="1" customWidth="1"/>
    <col min="6" max="6" width="8.28515625" bestFit="1" customWidth="1"/>
  </cols>
  <sheetData>
    <row r="1" spans="1:10" ht="30" customHeight="1">
      <c r="A1" s="120" t="s">
        <v>834</v>
      </c>
      <c r="B1" s="93"/>
      <c r="C1" s="93"/>
      <c r="D1" s="93"/>
      <c r="E1" s="93"/>
      <c r="F1" s="93"/>
      <c r="G1" s="8"/>
      <c r="H1" s="8"/>
      <c r="I1" s="8"/>
      <c r="J1" s="8"/>
    </row>
    <row r="2" spans="1:10">
      <c r="A2" s="28" t="s">
        <v>579</v>
      </c>
      <c r="B2" s="29" t="s">
        <v>835</v>
      </c>
      <c r="C2" s="8"/>
      <c r="D2" s="28" t="s">
        <v>48</v>
      </c>
      <c r="E2" s="29" t="s">
        <v>49</v>
      </c>
      <c r="F2" s="8"/>
      <c r="G2" s="8"/>
      <c r="H2" s="8"/>
      <c r="I2" s="8"/>
      <c r="J2" s="8"/>
    </row>
    <row r="3" spans="1:10">
      <c r="A3" s="28" t="s">
        <v>583</v>
      </c>
      <c r="B3" s="29" t="s">
        <v>51</v>
      </c>
      <c r="C3" s="8"/>
      <c r="D3" s="28" t="s">
        <v>60</v>
      </c>
      <c r="E3" s="29" t="s">
        <v>61</v>
      </c>
      <c r="F3" s="8"/>
      <c r="G3" s="8"/>
      <c r="H3" s="8"/>
      <c r="I3" s="8"/>
      <c r="J3" s="8"/>
    </row>
    <row r="4" spans="1:10">
      <c r="A4" s="28" t="s">
        <v>58</v>
      </c>
      <c r="B4" s="29" t="s">
        <v>59</v>
      </c>
      <c r="C4" s="8"/>
      <c r="D4" s="28" t="s">
        <v>584</v>
      </c>
      <c r="E4" s="29" t="s">
        <v>57</v>
      </c>
      <c r="F4" s="8"/>
      <c r="G4" s="8"/>
      <c r="H4" s="8"/>
      <c r="I4" s="8"/>
      <c r="J4" s="8"/>
    </row>
    <row r="5" spans="1:10">
      <c r="A5" s="8"/>
      <c r="B5" s="8"/>
      <c r="C5" s="8"/>
      <c r="D5" s="8"/>
      <c r="E5" s="8"/>
      <c r="F5" s="8"/>
      <c r="G5" s="8"/>
      <c r="H5" s="8"/>
      <c r="I5" s="8"/>
      <c r="J5" s="8"/>
    </row>
    <row r="6" spans="1:10" ht="15.75" customHeight="1">
      <c r="A6" s="123" t="s">
        <v>836</v>
      </c>
      <c r="B6" s="93"/>
      <c r="C6" s="93"/>
      <c r="D6" s="93"/>
      <c r="E6" s="93"/>
      <c r="F6" s="93"/>
      <c r="G6" s="8"/>
      <c r="H6" s="8"/>
      <c r="I6" s="8"/>
      <c r="J6" s="8"/>
    </row>
    <row r="7" spans="1:10">
      <c r="A7" s="35" t="s">
        <v>837</v>
      </c>
      <c r="B7" s="35" t="s">
        <v>838</v>
      </c>
      <c r="C7" s="35" t="s">
        <v>839</v>
      </c>
      <c r="D7" s="35" t="s">
        <v>840</v>
      </c>
      <c r="E7" s="35" t="s">
        <v>841</v>
      </c>
      <c r="F7" s="35" t="s">
        <v>81</v>
      </c>
      <c r="G7" s="8"/>
      <c r="H7" s="8"/>
      <c r="I7" s="8"/>
      <c r="J7" s="8"/>
    </row>
    <row r="8" spans="1:10">
      <c r="A8" s="51" t="s">
        <v>842</v>
      </c>
      <c r="B8" s="51" t="s">
        <v>843</v>
      </c>
      <c r="C8" s="51" t="s">
        <v>844</v>
      </c>
      <c r="D8" s="51" t="s">
        <v>845</v>
      </c>
      <c r="E8" s="51" t="s">
        <v>846</v>
      </c>
      <c r="F8" s="51" t="s">
        <v>61</v>
      </c>
      <c r="G8" s="8"/>
      <c r="H8" s="8"/>
      <c r="I8" s="8"/>
      <c r="J8" s="8"/>
    </row>
    <row r="9" spans="1:10">
      <c r="A9" s="51" t="s">
        <v>847</v>
      </c>
      <c r="B9" s="51" t="s">
        <v>848</v>
      </c>
      <c r="C9" s="51" t="s">
        <v>849</v>
      </c>
      <c r="D9" s="51" t="s">
        <v>850</v>
      </c>
      <c r="E9" s="51" t="s">
        <v>851</v>
      </c>
      <c r="F9" s="51" t="s">
        <v>61</v>
      </c>
      <c r="G9" s="8"/>
      <c r="H9" s="8"/>
      <c r="I9" s="8"/>
      <c r="J9" s="8"/>
    </row>
    <row r="10" spans="1:10">
      <c r="A10" s="51" t="s">
        <v>852</v>
      </c>
      <c r="B10" s="51" t="s">
        <v>853</v>
      </c>
      <c r="C10" s="51" t="s">
        <v>854</v>
      </c>
      <c r="D10" s="51" t="s">
        <v>855</v>
      </c>
      <c r="E10" s="51" t="s">
        <v>856</v>
      </c>
      <c r="F10" s="51" t="s">
        <v>61</v>
      </c>
      <c r="G10" s="8"/>
      <c r="H10" s="8"/>
      <c r="I10" s="8"/>
      <c r="J10" s="8"/>
    </row>
    <row r="11" spans="1:10">
      <c r="A11" s="51" t="s">
        <v>857</v>
      </c>
      <c r="B11" s="51" t="s">
        <v>858</v>
      </c>
      <c r="C11" s="51" t="s">
        <v>859</v>
      </c>
      <c r="D11" s="51" t="s">
        <v>860</v>
      </c>
      <c r="E11" s="51" t="s">
        <v>861</v>
      </c>
      <c r="F11" s="51" t="s">
        <v>61</v>
      </c>
      <c r="G11" s="8"/>
      <c r="H11" s="8"/>
      <c r="I11" s="8"/>
      <c r="J11" s="8"/>
    </row>
  </sheetData>
  <mergeCells count="2">
    <mergeCell ref="A6:F6"/>
    <mergeCell ref="A1:F1"/>
  </mergeCells>
  <pageMargins left="0.75" right="0.75" top="1" bottom="1" header="0.5" footer="0.5"/>
  <pageSetup paperSize="0" orientation="portrait" horizontalDpi="0" verticalDpi="0" copie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4"/>
  <dimension ref="A1:J11"/>
  <sheetViews>
    <sheetView workbookViewId="0">
      <selection sqref="A1:F1"/>
    </sheetView>
  </sheetViews>
  <sheetFormatPr baseColWidth="10" defaultColWidth="9.140625" defaultRowHeight="15"/>
  <cols>
    <col min="1" max="1" width="13.140625" bestFit="1" customWidth="1"/>
    <col min="2" max="2" width="17.5703125" bestFit="1" customWidth="1"/>
    <col min="3" max="3" width="13.85546875" bestFit="1" customWidth="1"/>
    <col min="4" max="4" width="13" bestFit="1" customWidth="1"/>
    <col min="5" max="5" width="15.7109375" bestFit="1" customWidth="1"/>
    <col min="6" max="6" width="7" bestFit="1" customWidth="1"/>
  </cols>
  <sheetData>
    <row r="1" spans="1:10" ht="30" customHeight="1">
      <c r="A1" s="120" t="s">
        <v>862</v>
      </c>
      <c r="B1" s="93"/>
      <c r="C1" s="93"/>
      <c r="D1" s="93"/>
      <c r="E1" s="93"/>
      <c r="F1" s="93"/>
      <c r="G1" s="8"/>
      <c r="H1" s="8"/>
      <c r="I1" s="8"/>
      <c r="J1" s="8"/>
    </row>
    <row r="2" spans="1:10">
      <c r="A2" s="28" t="s">
        <v>579</v>
      </c>
      <c r="B2" s="29" t="s">
        <v>863</v>
      </c>
      <c r="C2" s="8"/>
      <c r="D2" s="28" t="s">
        <v>48</v>
      </c>
      <c r="E2" s="29" t="s">
        <v>49</v>
      </c>
      <c r="F2" s="8"/>
      <c r="G2" s="8"/>
      <c r="H2" s="8"/>
      <c r="I2" s="8"/>
      <c r="J2" s="8"/>
    </row>
    <row r="3" spans="1:10">
      <c r="A3" s="28" t="s">
        <v>583</v>
      </c>
      <c r="B3" s="29" t="s">
        <v>51</v>
      </c>
      <c r="C3" s="8"/>
      <c r="D3" s="28" t="s">
        <v>60</v>
      </c>
      <c r="E3" s="29" t="s">
        <v>61</v>
      </c>
      <c r="F3" s="8"/>
      <c r="G3" s="8"/>
      <c r="H3" s="8"/>
      <c r="I3" s="8"/>
      <c r="J3" s="8"/>
    </row>
    <row r="4" spans="1:10">
      <c r="A4" s="28" t="s">
        <v>58</v>
      </c>
      <c r="B4" s="29" t="s">
        <v>59</v>
      </c>
      <c r="C4" s="8"/>
      <c r="D4" s="28" t="s">
        <v>584</v>
      </c>
      <c r="E4" s="29" t="s">
        <v>57</v>
      </c>
      <c r="F4" s="8"/>
      <c r="G4" s="8"/>
      <c r="H4" s="8"/>
      <c r="I4" s="8"/>
      <c r="J4" s="8"/>
    </row>
    <row r="5" spans="1:10">
      <c r="A5" s="8"/>
      <c r="B5" s="8"/>
      <c r="C5" s="8"/>
      <c r="D5" s="8"/>
      <c r="E5" s="8"/>
      <c r="F5" s="8"/>
      <c r="G5" s="8"/>
      <c r="H5" s="8"/>
      <c r="I5" s="8"/>
      <c r="J5" s="8"/>
    </row>
    <row r="6" spans="1:10" ht="15.75" customHeight="1">
      <c r="A6" s="123" t="s">
        <v>864</v>
      </c>
      <c r="B6" s="93"/>
      <c r="C6" s="93"/>
      <c r="D6" s="93"/>
      <c r="E6" s="93"/>
      <c r="F6" s="93"/>
      <c r="G6" s="8"/>
      <c r="H6" s="8"/>
      <c r="I6" s="8"/>
      <c r="J6" s="8"/>
    </row>
    <row r="7" spans="1:10">
      <c r="A7" s="35" t="s">
        <v>865</v>
      </c>
      <c r="B7" s="35" t="s">
        <v>866</v>
      </c>
      <c r="C7" s="35" t="s">
        <v>867</v>
      </c>
      <c r="D7" s="35" t="s">
        <v>868</v>
      </c>
      <c r="E7" s="35" t="s">
        <v>869</v>
      </c>
      <c r="F7" s="35" t="s">
        <v>81</v>
      </c>
      <c r="G7" s="8"/>
      <c r="H7" s="8"/>
      <c r="I7" s="8"/>
      <c r="J7" s="8"/>
    </row>
    <row r="8" spans="1:10">
      <c r="A8" s="51" t="s">
        <v>870</v>
      </c>
      <c r="B8" s="51" t="s">
        <v>57</v>
      </c>
      <c r="C8" s="51" t="s">
        <v>871</v>
      </c>
      <c r="D8" s="51" t="s">
        <v>871</v>
      </c>
      <c r="E8" s="51" t="s">
        <v>872</v>
      </c>
      <c r="F8" s="51" t="s">
        <v>873</v>
      </c>
      <c r="G8" s="8"/>
      <c r="H8" s="8"/>
      <c r="I8" s="8"/>
      <c r="J8" s="8"/>
    </row>
    <row r="9" spans="1:10">
      <c r="A9" s="51" t="s">
        <v>874</v>
      </c>
      <c r="B9" s="51" t="s">
        <v>552</v>
      </c>
      <c r="C9" s="51" t="s">
        <v>875</v>
      </c>
      <c r="D9" s="51" t="s">
        <v>875</v>
      </c>
      <c r="E9" s="51" t="s">
        <v>872</v>
      </c>
      <c r="F9" s="51" t="s">
        <v>873</v>
      </c>
      <c r="G9" s="8"/>
      <c r="H9" s="8"/>
      <c r="I9" s="8"/>
      <c r="J9" s="8"/>
    </row>
    <row r="10" spans="1:10">
      <c r="A10" s="51" t="s">
        <v>876</v>
      </c>
      <c r="B10" s="51" t="s">
        <v>877</v>
      </c>
      <c r="C10" s="51" t="s">
        <v>878</v>
      </c>
      <c r="D10" s="51" t="s">
        <v>878</v>
      </c>
      <c r="E10" s="51" t="s">
        <v>879</v>
      </c>
      <c r="F10" s="51" t="s">
        <v>873</v>
      </c>
      <c r="G10" s="8"/>
      <c r="H10" s="8"/>
      <c r="I10" s="8"/>
      <c r="J10" s="8"/>
    </row>
    <row r="11" spans="1:10">
      <c r="A11" s="51" t="s">
        <v>880</v>
      </c>
      <c r="B11" s="51" t="s">
        <v>757</v>
      </c>
      <c r="C11" s="51" t="s">
        <v>881</v>
      </c>
      <c r="D11" s="51" t="s">
        <v>881</v>
      </c>
      <c r="E11" s="51" t="s">
        <v>872</v>
      </c>
      <c r="F11" s="51" t="s">
        <v>873</v>
      </c>
      <c r="G11" s="8"/>
      <c r="H11" s="8"/>
      <c r="I11" s="8"/>
      <c r="J11" s="8"/>
    </row>
  </sheetData>
  <mergeCells count="2">
    <mergeCell ref="A6:F6"/>
    <mergeCell ref="A1:F1"/>
  </mergeCells>
  <pageMargins left="0.75" right="0.75" top="1" bottom="1" header="0.5" footer="0.5"/>
  <pageSetup paperSize="0" orientation="portrait" horizontalDpi="0" verticalDpi="0" copie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5"/>
  <dimension ref="A1:J19"/>
  <sheetViews>
    <sheetView workbookViewId="0">
      <selection sqref="A1:F1"/>
    </sheetView>
  </sheetViews>
  <sheetFormatPr baseColWidth="10" defaultColWidth="9.140625" defaultRowHeight="15"/>
  <cols>
    <col min="1" max="1" width="12.85546875" bestFit="1" customWidth="1"/>
    <col min="2" max="2" width="13.85546875" bestFit="1" customWidth="1"/>
    <col min="3" max="3" width="33.28515625" bestFit="1" customWidth="1"/>
    <col min="4" max="4" width="24.140625" bestFit="1" customWidth="1"/>
    <col min="5" max="5" width="17" bestFit="1" customWidth="1"/>
  </cols>
  <sheetData>
    <row r="1" spans="1:10" ht="30" customHeight="1">
      <c r="A1" s="120" t="s">
        <v>882</v>
      </c>
      <c r="B1" s="93"/>
      <c r="C1" s="93"/>
      <c r="D1" s="93"/>
      <c r="E1" s="93"/>
      <c r="F1" s="93"/>
      <c r="G1" s="8"/>
      <c r="H1" s="8"/>
      <c r="I1" s="8"/>
      <c r="J1" s="8"/>
    </row>
    <row r="2" spans="1:10">
      <c r="A2" s="28" t="s">
        <v>579</v>
      </c>
      <c r="B2" s="29" t="s">
        <v>883</v>
      </c>
      <c r="C2" s="8"/>
      <c r="D2" s="28" t="s">
        <v>48</v>
      </c>
      <c r="E2" s="29" t="s">
        <v>49</v>
      </c>
      <c r="F2" s="8"/>
      <c r="G2" s="8"/>
      <c r="H2" s="8"/>
      <c r="I2" s="8"/>
      <c r="J2" s="8"/>
    </row>
    <row r="3" spans="1:10">
      <c r="A3" s="28" t="s">
        <v>583</v>
      </c>
      <c r="B3" s="29" t="s">
        <v>51</v>
      </c>
      <c r="C3" s="8"/>
      <c r="D3" s="28" t="s">
        <v>60</v>
      </c>
      <c r="E3" s="29" t="s">
        <v>61</v>
      </c>
      <c r="F3" s="8"/>
      <c r="G3" s="8"/>
      <c r="H3" s="8"/>
      <c r="I3" s="8"/>
      <c r="J3" s="8"/>
    </row>
    <row r="4" spans="1:10">
      <c r="A4" s="28" t="s">
        <v>58</v>
      </c>
      <c r="B4" s="29" t="s">
        <v>97</v>
      </c>
      <c r="C4" s="8"/>
      <c r="D4" s="28" t="s">
        <v>584</v>
      </c>
      <c r="E4" s="29" t="s">
        <v>57</v>
      </c>
      <c r="F4" s="8"/>
      <c r="G4" s="8"/>
      <c r="H4" s="8"/>
      <c r="I4" s="8"/>
      <c r="J4" s="8"/>
    </row>
    <row r="5" spans="1:10">
      <c r="A5" s="8"/>
      <c r="B5" s="8"/>
      <c r="C5" s="8"/>
      <c r="D5" s="8"/>
      <c r="E5" s="8"/>
      <c r="F5" s="8"/>
      <c r="G5" s="8"/>
      <c r="H5" s="8"/>
      <c r="I5" s="8"/>
      <c r="J5" s="8"/>
    </row>
    <row r="6" spans="1:10" ht="15.75" customHeight="1">
      <c r="A6" s="123" t="s">
        <v>884</v>
      </c>
      <c r="B6" s="93"/>
      <c r="C6" s="93"/>
      <c r="D6" s="93"/>
      <c r="E6" s="93"/>
      <c r="F6" s="93"/>
      <c r="G6" s="8"/>
      <c r="H6" s="8"/>
      <c r="I6" s="8"/>
      <c r="J6" s="8"/>
    </row>
    <row r="7" spans="1:10">
      <c r="A7" s="35" t="s">
        <v>217</v>
      </c>
      <c r="B7" s="35" t="s">
        <v>885</v>
      </c>
      <c r="C7" s="35" t="s">
        <v>886</v>
      </c>
      <c r="D7" s="35" t="s">
        <v>887</v>
      </c>
      <c r="E7" s="35" t="s">
        <v>888</v>
      </c>
      <c r="F7" s="8"/>
      <c r="G7" s="8"/>
      <c r="H7" s="8"/>
      <c r="I7" s="8"/>
      <c r="J7" s="8"/>
    </row>
    <row r="8" spans="1:10">
      <c r="A8" s="52" t="s">
        <v>87</v>
      </c>
      <c r="B8" s="52" t="s">
        <v>889</v>
      </c>
      <c r="C8" s="52" t="s">
        <v>890</v>
      </c>
      <c r="D8" s="52" t="s">
        <v>891</v>
      </c>
      <c r="E8" s="52" t="s">
        <v>892</v>
      </c>
      <c r="F8" s="8"/>
      <c r="G8" s="8"/>
      <c r="H8" s="8"/>
      <c r="I8" s="8"/>
      <c r="J8" s="8"/>
    </row>
    <row r="9" spans="1:10">
      <c r="A9" s="52" t="s">
        <v>870</v>
      </c>
      <c r="B9" s="52" t="s">
        <v>57</v>
      </c>
      <c r="C9" s="52" t="s">
        <v>893</v>
      </c>
      <c r="D9" s="52" t="s">
        <v>894</v>
      </c>
      <c r="E9" s="52" t="s">
        <v>895</v>
      </c>
      <c r="F9" s="8"/>
      <c r="G9" s="8"/>
      <c r="H9" s="8"/>
      <c r="I9" s="8"/>
      <c r="J9" s="8"/>
    </row>
    <row r="10" spans="1:10">
      <c r="A10" s="52" t="s">
        <v>880</v>
      </c>
      <c r="B10" s="52" t="s">
        <v>757</v>
      </c>
      <c r="C10" s="52" t="s">
        <v>896</v>
      </c>
      <c r="D10" s="52" t="s">
        <v>897</v>
      </c>
      <c r="E10" s="52" t="s">
        <v>898</v>
      </c>
      <c r="F10" s="8"/>
      <c r="G10" s="8"/>
      <c r="H10" s="8"/>
      <c r="I10" s="8"/>
      <c r="J10" s="8"/>
    </row>
    <row r="11" spans="1:10">
      <c r="A11" s="52" t="s">
        <v>899</v>
      </c>
      <c r="B11" s="52" t="s">
        <v>900</v>
      </c>
      <c r="C11" s="52" t="s">
        <v>901</v>
      </c>
      <c r="D11" s="52" t="s">
        <v>902</v>
      </c>
      <c r="E11" s="52" t="s">
        <v>903</v>
      </c>
      <c r="F11" s="8"/>
      <c r="G11" s="8"/>
      <c r="H11" s="8"/>
      <c r="I11" s="8"/>
      <c r="J11" s="8"/>
    </row>
    <row r="12" spans="1:10">
      <c r="A12" s="52" t="s">
        <v>904</v>
      </c>
      <c r="B12" s="52" t="s">
        <v>905</v>
      </c>
      <c r="C12" s="52" t="s">
        <v>906</v>
      </c>
      <c r="D12" s="52" t="s">
        <v>907</v>
      </c>
      <c r="E12" s="52" t="s">
        <v>908</v>
      </c>
      <c r="F12" s="8"/>
      <c r="G12" s="8"/>
      <c r="H12" s="8"/>
      <c r="I12" s="8"/>
      <c r="J12" s="8"/>
    </row>
    <row r="13" spans="1:10">
      <c r="A13" s="52" t="s">
        <v>909</v>
      </c>
      <c r="B13" s="52" t="s">
        <v>910</v>
      </c>
      <c r="C13" s="52" t="s">
        <v>911</v>
      </c>
      <c r="D13" s="52" t="s">
        <v>912</v>
      </c>
      <c r="E13" s="52" t="s">
        <v>913</v>
      </c>
      <c r="F13" s="8"/>
      <c r="G13" s="8"/>
      <c r="H13" s="8"/>
      <c r="I13" s="8"/>
      <c r="J13" s="8"/>
    </row>
    <row r="14" spans="1:10">
      <c r="A14" s="8"/>
      <c r="B14" s="8"/>
      <c r="C14" s="8"/>
      <c r="D14" s="8"/>
      <c r="E14" s="8"/>
      <c r="F14" s="8"/>
      <c r="G14" s="8"/>
      <c r="H14" s="8"/>
      <c r="I14" s="8"/>
      <c r="J14" s="8"/>
    </row>
    <row r="15" spans="1:10" ht="15.75" customHeight="1">
      <c r="A15" s="123" t="s">
        <v>914</v>
      </c>
      <c r="B15" s="93"/>
      <c r="C15" s="93"/>
      <c r="D15" s="93"/>
      <c r="E15" s="93"/>
      <c r="F15" s="93"/>
      <c r="G15" s="8"/>
      <c r="H15" s="8"/>
      <c r="I15" s="8"/>
      <c r="J15" s="8"/>
    </row>
    <row r="16" spans="1:10">
      <c r="A16" s="35" t="s">
        <v>915</v>
      </c>
      <c r="B16" s="35" t="s">
        <v>399</v>
      </c>
      <c r="C16" s="35" t="s">
        <v>916</v>
      </c>
      <c r="D16" s="35" t="s">
        <v>917</v>
      </c>
      <c r="E16" s="35" t="s">
        <v>918</v>
      </c>
      <c r="F16" s="8"/>
      <c r="G16" s="8"/>
      <c r="H16" s="8"/>
      <c r="I16" s="8"/>
      <c r="J16" s="8"/>
    </row>
    <row r="17" spans="1:10" ht="39.950000000000003" customHeight="1">
      <c r="A17" s="41" t="s">
        <v>919</v>
      </c>
      <c r="B17" s="41" t="s">
        <v>844</v>
      </c>
      <c r="C17" s="41" t="s">
        <v>920</v>
      </c>
      <c r="D17" s="41" t="s">
        <v>921</v>
      </c>
      <c r="E17" s="41" t="s">
        <v>922</v>
      </c>
      <c r="F17" s="8"/>
      <c r="G17" s="8"/>
      <c r="H17" s="8"/>
      <c r="I17" s="8"/>
      <c r="J17" s="8"/>
    </row>
    <row r="18" spans="1:10" ht="39.950000000000003" customHeight="1">
      <c r="A18" s="41" t="s">
        <v>923</v>
      </c>
      <c r="B18" s="41" t="s">
        <v>922</v>
      </c>
      <c r="C18" s="41" t="s">
        <v>924</v>
      </c>
      <c r="D18" s="41" t="s">
        <v>925</v>
      </c>
      <c r="E18" s="41" t="s">
        <v>926</v>
      </c>
      <c r="F18" s="8"/>
      <c r="G18" s="8"/>
      <c r="H18" s="8"/>
      <c r="I18" s="8"/>
      <c r="J18" s="8"/>
    </row>
    <row r="19" spans="1:10" ht="39.950000000000003" customHeight="1">
      <c r="A19" s="41" t="s">
        <v>927</v>
      </c>
      <c r="B19" s="41" t="s">
        <v>926</v>
      </c>
      <c r="C19" s="41" t="s">
        <v>928</v>
      </c>
      <c r="D19" s="41" t="s">
        <v>929</v>
      </c>
      <c r="E19" s="41" t="s">
        <v>930</v>
      </c>
      <c r="F19" s="8"/>
      <c r="G19" s="8"/>
      <c r="H19" s="8"/>
      <c r="I19" s="8"/>
      <c r="J19" s="8"/>
    </row>
  </sheetData>
  <mergeCells count="3">
    <mergeCell ref="A6:F6"/>
    <mergeCell ref="A1:F1"/>
    <mergeCell ref="A15:F15"/>
  </mergeCells>
  <pageMargins left="0.75" right="0.75" top="1" bottom="1" header="0.5" footer="0.5"/>
  <pageSetup paperSize="0" orientation="portrait" horizontalDpi="0" verticalDpi="0" copie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6"/>
  <dimension ref="A1:J15"/>
  <sheetViews>
    <sheetView workbookViewId="0">
      <selection sqref="A1:H1"/>
    </sheetView>
  </sheetViews>
  <sheetFormatPr baseColWidth="10" defaultColWidth="9.140625" defaultRowHeight="15"/>
  <cols>
    <col min="1" max="1" width="11.85546875" bestFit="1" customWidth="1"/>
    <col min="2" max="2" width="20.85546875" bestFit="1" customWidth="1"/>
    <col min="3" max="3" width="10.28515625" bestFit="1" customWidth="1"/>
    <col min="4" max="4" width="9.7109375" bestFit="1" customWidth="1"/>
    <col min="5" max="5" width="19.140625" bestFit="1" customWidth="1"/>
    <col min="6" max="6" width="16.7109375" bestFit="1" customWidth="1"/>
    <col min="7" max="7" width="18.28515625" bestFit="1" customWidth="1"/>
    <col min="8" max="8" width="16.140625" bestFit="1" customWidth="1"/>
  </cols>
  <sheetData>
    <row r="1" spans="1:10" ht="30" customHeight="1">
      <c r="A1" s="120" t="s">
        <v>931</v>
      </c>
      <c r="B1" s="93"/>
      <c r="C1" s="93"/>
      <c r="D1" s="93"/>
      <c r="E1" s="93"/>
      <c r="F1" s="93"/>
      <c r="G1" s="93"/>
      <c r="H1" s="93"/>
      <c r="I1" s="8"/>
      <c r="J1" s="8"/>
    </row>
    <row r="2" spans="1:10">
      <c r="A2" s="28" t="s">
        <v>579</v>
      </c>
      <c r="B2" s="116" t="s">
        <v>932</v>
      </c>
      <c r="C2" s="93"/>
      <c r="D2" s="8"/>
      <c r="E2" s="28" t="s">
        <v>48</v>
      </c>
      <c r="F2" s="116" t="s">
        <v>49</v>
      </c>
      <c r="G2" s="93"/>
      <c r="H2" s="93"/>
      <c r="I2" s="8"/>
      <c r="J2" s="8"/>
    </row>
    <row r="3" spans="1:10">
      <c r="A3" s="28" t="s">
        <v>583</v>
      </c>
      <c r="B3" s="116" t="s">
        <v>51</v>
      </c>
      <c r="C3" s="93"/>
      <c r="D3" s="8"/>
      <c r="E3" s="28" t="s">
        <v>60</v>
      </c>
      <c r="F3" s="116" t="s">
        <v>61</v>
      </c>
      <c r="G3" s="93"/>
      <c r="H3" s="93"/>
      <c r="I3" s="8"/>
      <c r="J3" s="8"/>
    </row>
    <row r="4" spans="1:10">
      <c r="A4" s="28" t="s">
        <v>58</v>
      </c>
      <c r="B4" s="116" t="s">
        <v>59</v>
      </c>
      <c r="C4" s="93"/>
      <c r="D4" s="8"/>
      <c r="E4" s="28" t="s">
        <v>584</v>
      </c>
      <c r="F4" s="116" t="s">
        <v>57</v>
      </c>
      <c r="G4" s="93"/>
      <c r="H4" s="93"/>
      <c r="I4" s="8"/>
      <c r="J4" s="8"/>
    </row>
    <row r="5" spans="1:10">
      <c r="A5" s="8"/>
      <c r="B5" s="8"/>
      <c r="C5" s="8"/>
      <c r="D5" s="8"/>
      <c r="E5" s="8"/>
      <c r="F5" s="8"/>
      <c r="G5" s="8"/>
      <c r="H5" s="8"/>
      <c r="I5" s="8"/>
      <c r="J5" s="8"/>
    </row>
    <row r="6" spans="1:10" ht="15.75" customHeight="1">
      <c r="A6" s="123" t="s">
        <v>933</v>
      </c>
      <c r="B6" s="93"/>
      <c r="C6" s="93"/>
      <c r="D6" s="93"/>
      <c r="E6" s="93"/>
      <c r="F6" s="93"/>
      <c r="G6" s="93"/>
      <c r="H6" s="93"/>
      <c r="I6" s="8"/>
      <c r="J6" s="8"/>
    </row>
    <row r="7" spans="1:10">
      <c r="A7" s="35" t="s">
        <v>555</v>
      </c>
      <c r="B7" s="35" t="s">
        <v>934</v>
      </c>
      <c r="C7" s="35" t="s">
        <v>76</v>
      </c>
      <c r="D7" s="35" t="s">
        <v>595</v>
      </c>
      <c r="E7" s="35" t="s">
        <v>83</v>
      </c>
      <c r="F7" s="35" t="s">
        <v>935</v>
      </c>
      <c r="G7" s="35" t="s">
        <v>936</v>
      </c>
      <c r="H7" s="35" t="s">
        <v>221</v>
      </c>
      <c r="I7" s="8"/>
      <c r="J7" s="8"/>
    </row>
    <row r="8" spans="1:10">
      <c r="A8" s="52" t="s">
        <v>937</v>
      </c>
      <c r="B8" s="52" t="s">
        <v>938</v>
      </c>
      <c r="C8" s="52" t="s">
        <v>939</v>
      </c>
      <c r="D8" s="38" t="s">
        <v>203</v>
      </c>
      <c r="E8" s="52" t="s">
        <v>940</v>
      </c>
      <c r="F8" s="52" t="s">
        <v>941</v>
      </c>
      <c r="G8" s="52" t="s">
        <v>942</v>
      </c>
      <c r="H8" s="52" t="s">
        <v>943</v>
      </c>
      <c r="I8" s="8"/>
      <c r="J8" s="8"/>
    </row>
    <row r="9" spans="1:10">
      <c r="A9" s="52" t="s">
        <v>944</v>
      </c>
      <c r="B9" s="52" t="s">
        <v>945</v>
      </c>
      <c r="C9" s="52" t="s">
        <v>939</v>
      </c>
      <c r="D9" s="38" t="s">
        <v>203</v>
      </c>
      <c r="E9" s="52" t="s">
        <v>940</v>
      </c>
      <c r="F9" s="52" t="s">
        <v>946</v>
      </c>
      <c r="G9" s="52" t="s">
        <v>947</v>
      </c>
      <c r="H9" s="52" t="s">
        <v>948</v>
      </c>
      <c r="I9" s="8"/>
      <c r="J9" s="8"/>
    </row>
    <row r="10" spans="1:10">
      <c r="A10" s="52" t="s">
        <v>949</v>
      </c>
      <c r="B10" s="52" t="s">
        <v>950</v>
      </c>
      <c r="C10" s="52" t="s">
        <v>939</v>
      </c>
      <c r="D10" s="39" t="s">
        <v>199</v>
      </c>
      <c r="E10" s="52" t="s">
        <v>940</v>
      </c>
      <c r="F10" s="52" t="s">
        <v>951</v>
      </c>
      <c r="G10" s="52" t="s">
        <v>952</v>
      </c>
      <c r="H10" s="52" t="s">
        <v>953</v>
      </c>
      <c r="I10" s="8"/>
      <c r="J10" s="8"/>
    </row>
    <row r="11" spans="1:10">
      <c r="A11" s="52" t="s">
        <v>954</v>
      </c>
      <c r="B11" s="52" t="s">
        <v>955</v>
      </c>
      <c r="C11" s="52" t="s">
        <v>939</v>
      </c>
      <c r="D11" s="39" t="s">
        <v>199</v>
      </c>
      <c r="E11" s="52" t="s">
        <v>956</v>
      </c>
      <c r="F11" s="52" t="s">
        <v>957</v>
      </c>
      <c r="G11" s="52" t="s">
        <v>958</v>
      </c>
      <c r="H11" s="52" t="s">
        <v>757</v>
      </c>
      <c r="I11" s="8"/>
      <c r="J11" s="8"/>
    </row>
    <row r="12" spans="1:10">
      <c r="A12" s="52" t="s">
        <v>959</v>
      </c>
      <c r="B12" s="52" t="s">
        <v>960</v>
      </c>
      <c r="C12" s="52" t="s">
        <v>961</v>
      </c>
      <c r="D12" s="38" t="s">
        <v>203</v>
      </c>
      <c r="E12" s="52" t="s">
        <v>962</v>
      </c>
      <c r="F12" s="52" t="s">
        <v>963</v>
      </c>
      <c r="G12" s="52" t="s">
        <v>964</v>
      </c>
      <c r="H12" s="52" t="s">
        <v>552</v>
      </c>
      <c r="I12" s="8"/>
      <c r="J12" s="8"/>
    </row>
    <row r="13" spans="1:10">
      <c r="A13" s="52" t="s">
        <v>965</v>
      </c>
      <c r="B13" s="52" t="s">
        <v>966</v>
      </c>
      <c r="C13" s="52" t="s">
        <v>967</v>
      </c>
      <c r="D13" s="38" t="s">
        <v>203</v>
      </c>
      <c r="E13" s="52" t="s">
        <v>968</v>
      </c>
      <c r="F13" s="52" t="s">
        <v>969</v>
      </c>
      <c r="G13" s="52" t="s">
        <v>970</v>
      </c>
      <c r="H13" s="52" t="s">
        <v>971</v>
      </c>
      <c r="I13" s="8"/>
      <c r="J13" s="8"/>
    </row>
    <row r="14" spans="1:10">
      <c r="A14" s="52" t="s">
        <v>972</v>
      </c>
      <c r="B14" s="52" t="s">
        <v>973</v>
      </c>
      <c r="C14" s="52" t="s">
        <v>974</v>
      </c>
      <c r="D14" s="40" t="s">
        <v>195</v>
      </c>
      <c r="E14" s="52" t="s">
        <v>975</v>
      </c>
      <c r="F14" s="52" t="s">
        <v>976</v>
      </c>
      <c r="G14" s="52" t="s">
        <v>977</v>
      </c>
      <c r="H14" s="52" t="s">
        <v>978</v>
      </c>
      <c r="I14" s="8"/>
      <c r="J14" s="8"/>
    </row>
    <row r="15" spans="1:10">
      <c r="A15" s="52" t="s">
        <v>979</v>
      </c>
      <c r="B15" s="52" t="s">
        <v>980</v>
      </c>
      <c r="C15" s="52" t="s">
        <v>981</v>
      </c>
      <c r="D15" s="39" t="s">
        <v>199</v>
      </c>
      <c r="E15" s="52" t="s">
        <v>982</v>
      </c>
      <c r="F15" s="52" t="s">
        <v>983</v>
      </c>
      <c r="G15" s="52" t="s">
        <v>984</v>
      </c>
      <c r="H15" s="52" t="s">
        <v>985</v>
      </c>
      <c r="I15" s="8"/>
      <c r="J15" s="8"/>
    </row>
  </sheetData>
  <mergeCells count="8">
    <mergeCell ref="A1:H1"/>
    <mergeCell ref="F3:H3"/>
    <mergeCell ref="B4:C4"/>
    <mergeCell ref="A6:H6"/>
    <mergeCell ref="B2:C2"/>
    <mergeCell ref="B3:C3"/>
    <mergeCell ref="F4:H4"/>
    <mergeCell ref="F2:H2"/>
  </mergeCells>
  <pageMargins left="0.75" right="0.75" top="1" bottom="1" header="0.5" footer="0.5"/>
  <pageSetup paperSize="0" orientation="portrait" horizontalDpi="0" verticalDpi="0" copie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7"/>
  <dimension ref="A1:J41"/>
  <sheetViews>
    <sheetView workbookViewId="0">
      <selection sqref="A1:H1"/>
    </sheetView>
  </sheetViews>
  <sheetFormatPr baseColWidth="10" defaultColWidth="9.140625" defaultRowHeight="15"/>
  <cols>
    <col min="1" max="1" width="17.42578125" bestFit="1" customWidth="1"/>
    <col min="5" max="5" width="12" bestFit="1" customWidth="1"/>
  </cols>
  <sheetData>
    <row r="1" spans="1:10" ht="30" customHeight="1">
      <c r="A1" s="120" t="s">
        <v>986</v>
      </c>
      <c r="B1" s="93"/>
      <c r="C1" s="93"/>
      <c r="D1" s="93"/>
      <c r="E1" s="93"/>
      <c r="F1" s="93"/>
      <c r="G1" s="93"/>
      <c r="H1" s="93"/>
      <c r="I1" s="8"/>
      <c r="J1" s="8"/>
    </row>
    <row r="2" spans="1:10">
      <c r="A2" s="28" t="s">
        <v>579</v>
      </c>
      <c r="B2" s="116" t="s">
        <v>987</v>
      </c>
      <c r="C2" s="93"/>
      <c r="D2" s="8"/>
      <c r="E2" s="28" t="s">
        <v>48</v>
      </c>
      <c r="F2" s="116" t="s">
        <v>49</v>
      </c>
      <c r="G2" s="93"/>
      <c r="H2" s="93"/>
      <c r="I2" s="8"/>
      <c r="J2" s="8"/>
    </row>
    <row r="3" spans="1:10">
      <c r="A3" s="28" t="s">
        <v>583</v>
      </c>
      <c r="B3" s="116" t="s">
        <v>51</v>
      </c>
      <c r="C3" s="93"/>
      <c r="D3" s="8"/>
      <c r="E3" s="28" t="s">
        <v>60</v>
      </c>
      <c r="F3" s="116" t="s">
        <v>61</v>
      </c>
      <c r="G3" s="93"/>
      <c r="H3" s="93"/>
      <c r="I3" s="8"/>
      <c r="J3" s="8"/>
    </row>
    <row r="4" spans="1:10">
      <c r="A4" s="28" t="s">
        <v>58</v>
      </c>
      <c r="B4" s="116" t="s">
        <v>59</v>
      </c>
      <c r="C4" s="93"/>
      <c r="D4" s="8"/>
      <c r="E4" s="28" t="s">
        <v>584</v>
      </c>
      <c r="F4" s="116" t="s">
        <v>57</v>
      </c>
      <c r="G4" s="93"/>
      <c r="H4" s="93"/>
      <c r="I4" s="8"/>
      <c r="J4" s="8"/>
    </row>
    <row r="5" spans="1:10">
      <c r="A5" s="8"/>
      <c r="B5" s="8"/>
      <c r="C5" s="8"/>
      <c r="D5" s="8"/>
      <c r="E5" s="8"/>
      <c r="F5" s="8"/>
      <c r="G5" s="8"/>
      <c r="H5" s="8"/>
      <c r="I5" s="8"/>
      <c r="J5" s="8"/>
    </row>
    <row r="6" spans="1:10" ht="15.75" customHeight="1">
      <c r="A6" s="123" t="s">
        <v>988</v>
      </c>
      <c r="B6" s="93"/>
      <c r="C6" s="93"/>
      <c r="D6" s="93"/>
      <c r="E6" s="93"/>
      <c r="F6" s="93"/>
      <c r="G6" s="93"/>
      <c r="H6" s="93"/>
      <c r="I6" s="8"/>
      <c r="J6" s="8"/>
    </row>
    <row r="7" spans="1:10">
      <c r="A7" s="128" t="s">
        <v>989</v>
      </c>
      <c r="B7" s="93"/>
      <c r="C7" s="93"/>
      <c r="D7" s="93"/>
      <c r="E7" s="93"/>
      <c r="F7" s="93"/>
      <c r="G7" s="93"/>
      <c r="H7" s="93"/>
      <c r="I7" s="8"/>
      <c r="J7" s="8"/>
    </row>
    <row r="8" spans="1:10" ht="24.95" customHeight="1">
      <c r="A8" s="43" t="s">
        <v>990</v>
      </c>
      <c r="B8" s="127" t="s">
        <v>991</v>
      </c>
      <c r="C8" s="93"/>
      <c r="D8" s="93"/>
      <c r="E8" s="93"/>
      <c r="F8" s="93"/>
      <c r="G8" s="93"/>
      <c r="H8" s="93"/>
      <c r="I8" s="8"/>
      <c r="J8" s="8"/>
    </row>
    <row r="9" spans="1:10" ht="24.95" customHeight="1">
      <c r="A9" s="43" t="s">
        <v>992</v>
      </c>
      <c r="B9" s="127" t="s">
        <v>993</v>
      </c>
      <c r="C9" s="93"/>
      <c r="D9" s="93"/>
      <c r="E9" s="93"/>
      <c r="F9" s="93"/>
      <c r="G9" s="93"/>
      <c r="H9" s="93"/>
      <c r="I9" s="8"/>
      <c r="J9" s="8"/>
    </row>
    <row r="10" spans="1:10" ht="24.95" customHeight="1">
      <c r="A10" s="43" t="s">
        <v>994</v>
      </c>
      <c r="B10" s="127" t="s">
        <v>995</v>
      </c>
      <c r="C10" s="93"/>
      <c r="D10" s="93"/>
      <c r="E10" s="93"/>
      <c r="F10" s="93"/>
      <c r="G10" s="93"/>
      <c r="H10" s="93"/>
      <c r="I10" s="8"/>
      <c r="J10" s="8"/>
    </row>
    <row r="11" spans="1:10" ht="24.95" customHeight="1">
      <c r="A11" s="43" t="s">
        <v>996</v>
      </c>
      <c r="B11" s="127" t="s">
        <v>997</v>
      </c>
      <c r="C11" s="93"/>
      <c r="D11" s="93"/>
      <c r="E11" s="93"/>
      <c r="F11" s="93"/>
      <c r="G11" s="93"/>
      <c r="H11" s="93"/>
      <c r="I11" s="8"/>
      <c r="J11" s="8"/>
    </row>
    <row r="12" spans="1:10" ht="24.95" customHeight="1">
      <c r="A12" s="43" t="s">
        <v>998</v>
      </c>
      <c r="B12" s="127" t="s">
        <v>999</v>
      </c>
      <c r="C12" s="93"/>
      <c r="D12" s="93"/>
      <c r="E12" s="93"/>
      <c r="F12" s="93"/>
      <c r="G12" s="93"/>
      <c r="H12" s="93"/>
      <c r="I12" s="8"/>
      <c r="J12" s="8"/>
    </row>
    <row r="13" spans="1:10" ht="24.95" customHeight="1">
      <c r="A13" s="43" t="s">
        <v>1000</v>
      </c>
      <c r="B13" s="127" t="s">
        <v>1001</v>
      </c>
      <c r="C13" s="93"/>
      <c r="D13" s="93"/>
      <c r="E13" s="93"/>
      <c r="F13" s="93"/>
      <c r="G13" s="93"/>
      <c r="H13" s="93"/>
      <c r="I13" s="8"/>
      <c r="J13" s="8"/>
    </row>
    <row r="14" spans="1:10" ht="24.95" customHeight="1">
      <c r="A14" s="43" t="s">
        <v>1002</v>
      </c>
      <c r="B14" s="127" t="s">
        <v>1003</v>
      </c>
      <c r="C14" s="93"/>
      <c r="D14" s="93"/>
      <c r="E14" s="93"/>
      <c r="F14" s="93"/>
      <c r="G14" s="93"/>
      <c r="H14" s="93"/>
      <c r="I14" s="8"/>
      <c r="J14" s="8"/>
    </row>
    <row r="15" spans="1:10" ht="24.95" customHeight="1">
      <c r="A15" s="43" t="s">
        <v>1004</v>
      </c>
      <c r="B15" s="127" t="s">
        <v>1005</v>
      </c>
      <c r="C15" s="93"/>
      <c r="D15" s="93"/>
      <c r="E15" s="93"/>
      <c r="F15" s="93"/>
      <c r="G15" s="93"/>
      <c r="H15" s="93"/>
      <c r="I15" s="8"/>
      <c r="J15" s="8"/>
    </row>
    <row r="16" spans="1:10" ht="24.95" customHeight="1">
      <c r="A16" s="43" t="s">
        <v>1006</v>
      </c>
      <c r="B16" s="127" t="s">
        <v>1007</v>
      </c>
      <c r="C16" s="93"/>
      <c r="D16" s="93"/>
      <c r="E16" s="93"/>
      <c r="F16" s="93"/>
      <c r="G16" s="93"/>
      <c r="H16" s="93"/>
      <c r="I16" s="8"/>
      <c r="J16" s="8"/>
    </row>
    <row r="17" spans="1:10" ht="24.95" customHeight="1">
      <c r="A17" s="43" t="s">
        <v>1008</v>
      </c>
      <c r="B17" s="127" t="s">
        <v>1009</v>
      </c>
      <c r="C17" s="93"/>
      <c r="D17" s="93"/>
      <c r="E17" s="93"/>
      <c r="F17" s="93"/>
      <c r="G17" s="93"/>
      <c r="H17" s="93"/>
      <c r="I17" s="8"/>
      <c r="J17" s="8"/>
    </row>
    <row r="18" spans="1:10">
      <c r="A18" s="8"/>
      <c r="B18" s="8"/>
      <c r="C18" s="8"/>
      <c r="D18" s="8"/>
      <c r="E18" s="8"/>
      <c r="F18" s="8"/>
      <c r="G18" s="8"/>
      <c r="H18" s="8"/>
      <c r="I18" s="8"/>
      <c r="J18" s="8"/>
    </row>
    <row r="19" spans="1:10">
      <c r="A19" s="128" t="s">
        <v>1010</v>
      </c>
      <c r="B19" s="93"/>
      <c r="C19" s="93"/>
      <c r="D19" s="93"/>
      <c r="E19" s="93"/>
      <c r="F19" s="93"/>
      <c r="G19" s="93"/>
      <c r="H19" s="93"/>
      <c r="I19" s="8"/>
      <c r="J19" s="8"/>
    </row>
    <row r="20" spans="1:10" ht="24.95" customHeight="1">
      <c r="A20" s="43" t="s">
        <v>990</v>
      </c>
      <c r="B20" s="127" t="s">
        <v>1011</v>
      </c>
      <c r="C20" s="93"/>
      <c r="D20" s="93"/>
      <c r="E20" s="93"/>
      <c r="F20" s="93"/>
      <c r="G20" s="93"/>
      <c r="H20" s="93"/>
      <c r="I20" s="8"/>
      <c r="J20" s="8"/>
    </row>
    <row r="21" spans="1:10" ht="24.95" customHeight="1">
      <c r="A21" s="43" t="s">
        <v>1012</v>
      </c>
      <c r="B21" s="127" t="s">
        <v>1013</v>
      </c>
      <c r="C21" s="93"/>
      <c r="D21" s="93"/>
      <c r="E21" s="93"/>
      <c r="F21" s="93"/>
      <c r="G21" s="93"/>
      <c r="H21" s="93"/>
      <c r="I21" s="8"/>
      <c r="J21" s="8"/>
    </row>
    <row r="22" spans="1:10" ht="24.95" customHeight="1">
      <c r="A22" s="43" t="s">
        <v>992</v>
      </c>
      <c r="B22" s="127" t="s">
        <v>1014</v>
      </c>
      <c r="C22" s="93"/>
      <c r="D22" s="93"/>
      <c r="E22" s="93"/>
      <c r="F22" s="93"/>
      <c r="G22" s="93"/>
      <c r="H22" s="93"/>
      <c r="I22" s="8"/>
      <c r="J22" s="8"/>
    </row>
    <row r="23" spans="1:10" ht="24.95" customHeight="1">
      <c r="A23" s="43" t="s">
        <v>1015</v>
      </c>
      <c r="B23" s="127" t="s">
        <v>1016</v>
      </c>
      <c r="C23" s="93"/>
      <c r="D23" s="93"/>
      <c r="E23" s="93"/>
      <c r="F23" s="93"/>
      <c r="G23" s="93"/>
      <c r="H23" s="93"/>
      <c r="I23" s="8"/>
      <c r="J23" s="8"/>
    </row>
    <row r="24" spans="1:10" ht="24.95" customHeight="1">
      <c r="A24" s="43" t="s">
        <v>1017</v>
      </c>
      <c r="B24" s="127" t="s">
        <v>1018</v>
      </c>
      <c r="C24" s="93"/>
      <c r="D24" s="93"/>
      <c r="E24" s="93"/>
      <c r="F24" s="93"/>
      <c r="G24" s="93"/>
      <c r="H24" s="93"/>
      <c r="I24" s="8"/>
      <c r="J24" s="8"/>
    </row>
    <row r="25" spans="1:10" ht="24.95" customHeight="1">
      <c r="A25" s="43" t="s">
        <v>1000</v>
      </c>
      <c r="B25" s="127" t="s">
        <v>1019</v>
      </c>
      <c r="C25" s="93"/>
      <c r="D25" s="93"/>
      <c r="E25" s="93"/>
      <c r="F25" s="93"/>
      <c r="G25" s="93"/>
      <c r="H25" s="93"/>
      <c r="I25" s="8"/>
      <c r="J25" s="8"/>
    </row>
    <row r="26" spans="1:10" ht="24.95" customHeight="1">
      <c r="A26" s="43" t="s">
        <v>1020</v>
      </c>
      <c r="B26" s="127" t="s">
        <v>1021</v>
      </c>
      <c r="C26" s="93"/>
      <c r="D26" s="93"/>
      <c r="E26" s="93"/>
      <c r="F26" s="93"/>
      <c r="G26" s="93"/>
      <c r="H26" s="93"/>
      <c r="I26" s="8"/>
      <c r="J26" s="8"/>
    </row>
    <row r="27" spans="1:10" ht="24.95" customHeight="1">
      <c r="A27" s="43" t="s">
        <v>1022</v>
      </c>
      <c r="B27" s="127" t="s">
        <v>1023</v>
      </c>
      <c r="C27" s="93"/>
      <c r="D27" s="93"/>
      <c r="E27" s="93"/>
      <c r="F27" s="93"/>
      <c r="G27" s="93"/>
      <c r="H27" s="93"/>
      <c r="I27" s="8"/>
      <c r="J27" s="8"/>
    </row>
    <row r="28" spans="1:10" ht="24.95" customHeight="1">
      <c r="A28" s="43" t="s">
        <v>1024</v>
      </c>
      <c r="B28" s="127" t="s">
        <v>1025</v>
      </c>
      <c r="C28" s="93"/>
      <c r="D28" s="93"/>
      <c r="E28" s="93"/>
      <c r="F28" s="93"/>
      <c r="G28" s="93"/>
      <c r="H28" s="93"/>
      <c r="I28" s="8"/>
      <c r="J28" s="8"/>
    </row>
    <row r="29" spans="1:10" ht="24.95" customHeight="1">
      <c r="A29" s="43" t="s">
        <v>1026</v>
      </c>
      <c r="B29" s="127" t="s">
        <v>1027</v>
      </c>
      <c r="C29" s="93"/>
      <c r="D29" s="93"/>
      <c r="E29" s="93"/>
      <c r="F29" s="93"/>
      <c r="G29" s="93"/>
      <c r="H29" s="93"/>
      <c r="I29" s="8"/>
      <c r="J29" s="8"/>
    </row>
    <row r="30" spans="1:10">
      <c r="A30" s="8"/>
      <c r="B30" s="8"/>
      <c r="C30" s="8"/>
      <c r="D30" s="8"/>
      <c r="E30" s="8"/>
      <c r="F30" s="8"/>
      <c r="G30" s="8"/>
      <c r="H30" s="8"/>
      <c r="I30" s="8"/>
      <c r="J30" s="8"/>
    </row>
    <row r="31" spans="1:10">
      <c r="A31" s="128" t="s">
        <v>1028</v>
      </c>
      <c r="B31" s="93"/>
      <c r="C31" s="93"/>
      <c r="D31" s="93"/>
      <c r="E31" s="93"/>
      <c r="F31" s="93"/>
      <c r="G31" s="93"/>
      <c r="H31" s="93"/>
      <c r="I31" s="8"/>
      <c r="J31" s="8"/>
    </row>
    <row r="32" spans="1:10" ht="24.95" customHeight="1">
      <c r="A32" s="43" t="s">
        <v>1029</v>
      </c>
      <c r="B32" s="127" t="s">
        <v>1030</v>
      </c>
      <c r="C32" s="93"/>
      <c r="D32" s="93"/>
      <c r="E32" s="93"/>
      <c r="F32" s="93"/>
      <c r="G32" s="93"/>
      <c r="H32" s="93"/>
      <c r="I32" s="8"/>
      <c r="J32" s="8"/>
    </row>
    <row r="33" spans="1:10" ht="24.95" customHeight="1">
      <c r="A33" s="43" t="s">
        <v>1031</v>
      </c>
      <c r="B33" s="127" t="s">
        <v>1032</v>
      </c>
      <c r="C33" s="93"/>
      <c r="D33" s="93"/>
      <c r="E33" s="93"/>
      <c r="F33" s="93"/>
      <c r="G33" s="93"/>
      <c r="H33" s="93"/>
      <c r="I33" s="8"/>
      <c r="J33" s="8"/>
    </row>
    <row r="34" spans="1:10" ht="24.95" customHeight="1">
      <c r="A34" s="43" t="s">
        <v>1033</v>
      </c>
      <c r="B34" s="127" t="s">
        <v>1034</v>
      </c>
      <c r="C34" s="93"/>
      <c r="D34" s="93"/>
      <c r="E34" s="93"/>
      <c r="F34" s="93"/>
      <c r="G34" s="93"/>
      <c r="H34" s="93"/>
      <c r="I34" s="8"/>
      <c r="J34" s="8"/>
    </row>
    <row r="35" spans="1:10" ht="24.95" customHeight="1">
      <c r="A35" s="43" t="s">
        <v>1002</v>
      </c>
      <c r="B35" s="127" t="s">
        <v>1035</v>
      </c>
      <c r="C35" s="93"/>
      <c r="D35" s="93"/>
      <c r="E35" s="93"/>
      <c r="F35" s="93"/>
      <c r="G35" s="93"/>
      <c r="H35" s="93"/>
      <c r="I35" s="8"/>
      <c r="J35" s="8"/>
    </row>
    <row r="36" spans="1:10" ht="24.95" customHeight="1">
      <c r="A36" s="43" t="s">
        <v>1036</v>
      </c>
      <c r="B36" s="127" t="s">
        <v>1037</v>
      </c>
      <c r="C36" s="93"/>
      <c r="D36" s="93"/>
      <c r="E36" s="93"/>
      <c r="F36" s="93"/>
      <c r="G36" s="93"/>
      <c r="H36" s="93"/>
      <c r="I36" s="8"/>
      <c r="J36" s="8"/>
    </row>
    <row r="37" spans="1:10" ht="24.95" customHeight="1">
      <c r="A37" s="43" t="s">
        <v>1038</v>
      </c>
      <c r="B37" s="127" t="s">
        <v>1039</v>
      </c>
      <c r="C37" s="93"/>
      <c r="D37" s="93"/>
      <c r="E37" s="93"/>
      <c r="F37" s="93"/>
      <c r="G37" s="93"/>
      <c r="H37" s="93"/>
      <c r="I37" s="8"/>
      <c r="J37" s="8"/>
    </row>
    <row r="38" spans="1:10" ht="24.95" customHeight="1">
      <c r="A38" s="43" t="s">
        <v>1040</v>
      </c>
      <c r="B38" s="127" t="s">
        <v>1041</v>
      </c>
      <c r="C38" s="93"/>
      <c r="D38" s="93"/>
      <c r="E38" s="93"/>
      <c r="F38" s="93"/>
      <c r="G38" s="93"/>
      <c r="H38" s="93"/>
      <c r="I38" s="8"/>
      <c r="J38" s="8"/>
    </row>
    <row r="39" spans="1:10" ht="24.95" customHeight="1">
      <c r="A39" s="43" t="s">
        <v>1042</v>
      </c>
      <c r="B39" s="127" t="s">
        <v>1043</v>
      </c>
      <c r="C39" s="93"/>
      <c r="D39" s="93"/>
      <c r="E39" s="93"/>
      <c r="F39" s="93"/>
      <c r="G39" s="93"/>
      <c r="H39" s="93"/>
      <c r="I39" s="8"/>
      <c r="J39" s="8"/>
    </row>
    <row r="40" spans="1:10" ht="24.95" customHeight="1">
      <c r="A40" s="43" t="s">
        <v>1044</v>
      </c>
      <c r="B40" s="127" t="s">
        <v>1045</v>
      </c>
      <c r="C40" s="93"/>
      <c r="D40" s="93"/>
      <c r="E40" s="93"/>
      <c r="F40" s="93"/>
      <c r="G40" s="93"/>
      <c r="H40" s="93"/>
      <c r="I40" s="8"/>
      <c r="J40" s="8"/>
    </row>
    <row r="41" spans="1:10" ht="24.95" customHeight="1">
      <c r="A41" s="43" t="s">
        <v>1046</v>
      </c>
      <c r="B41" s="127" t="s">
        <v>1047</v>
      </c>
      <c r="C41" s="93"/>
      <c r="D41" s="93"/>
      <c r="E41" s="93"/>
      <c r="F41" s="93"/>
      <c r="G41" s="93"/>
      <c r="H41" s="93"/>
      <c r="I41" s="8"/>
      <c r="J41" s="8"/>
    </row>
  </sheetData>
  <mergeCells count="41">
    <mergeCell ref="B41:H41"/>
    <mergeCell ref="A7:H7"/>
    <mergeCell ref="B35:H35"/>
    <mergeCell ref="B16:H16"/>
    <mergeCell ref="B25:H25"/>
    <mergeCell ref="B22:H22"/>
    <mergeCell ref="B27:H27"/>
    <mergeCell ref="B21:H21"/>
    <mergeCell ref="B12:H12"/>
    <mergeCell ref="B39:H39"/>
    <mergeCell ref="B11:H11"/>
    <mergeCell ref="B23:H23"/>
    <mergeCell ref="B8:H8"/>
    <mergeCell ref="B14:H14"/>
    <mergeCell ref="B17:H17"/>
    <mergeCell ref="B13:H13"/>
    <mergeCell ref="A1:H1"/>
    <mergeCell ref="B20:H20"/>
    <mergeCell ref="B37:H37"/>
    <mergeCell ref="A6:H6"/>
    <mergeCell ref="B36:H36"/>
    <mergeCell ref="B32:H32"/>
    <mergeCell ref="B2:C2"/>
    <mergeCell ref="B26:H26"/>
    <mergeCell ref="F4:H4"/>
    <mergeCell ref="B34:H34"/>
    <mergeCell ref="A19:H19"/>
    <mergeCell ref="B29:H29"/>
    <mergeCell ref="B10:H10"/>
    <mergeCell ref="F3:H3"/>
    <mergeCell ref="A31:H31"/>
    <mergeCell ref="B4:C4"/>
    <mergeCell ref="B40:H40"/>
    <mergeCell ref="B9:H9"/>
    <mergeCell ref="B3:C3"/>
    <mergeCell ref="B24:H24"/>
    <mergeCell ref="F2:H2"/>
    <mergeCell ref="B15:H15"/>
    <mergeCell ref="B33:H33"/>
    <mergeCell ref="B38:H38"/>
    <mergeCell ref="B28:H28"/>
  </mergeCells>
  <pageMargins left="0.75" right="0.75" top="1" bottom="1" header="0.5" footer="0.5"/>
  <pageSetup paperSize="0" orientation="portrait" horizontalDpi="0" verticalDpi="0" copie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8"/>
  <dimension ref="A1:J31"/>
  <sheetViews>
    <sheetView workbookViewId="0">
      <selection sqref="A1:H1"/>
    </sheetView>
  </sheetViews>
  <sheetFormatPr baseColWidth="10" defaultColWidth="9.140625" defaultRowHeight="15"/>
  <cols>
    <col min="1" max="1" width="11.85546875" bestFit="1" customWidth="1"/>
    <col min="2" max="2" width="29" bestFit="1" customWidth="1"/>
    <col min="3" max="3" width="12.140625" bestFit="1" customWidth="1"/>
    <col min="5" max="5" width="12" bestFit="1" customWidth="1"/>
  </cols>
  <sheetData>
    <row r="1" spans="1:10" ht="30" customHeight="1">
      <c r="A1" s="120" t="s">
        <v>1048</v>
      </c>
      <c r="B1" s="93"/>
      <c r="C1" s="93"/>
      <c r="D1" s="93"/>
      <c r="E1" s="93"/>
      <c r="F1" s="93"/>
      <c r="G1" s="93"/>
      <c r="H1" s="93"/>
      <c r="I1" s="8"/>
      <c r="J1" s="8"/>
    </row>
    <row r="2" spans="1:10">
      <c r="A2" s="28" t="s">
        <v>579</v>
      </c>
      <c r="B2" s="116" t="s">
        <v>1049</v>
      </c>
      <c r="C2" s="93"/>
      <c r="D2" s="8"/>
      <c r="E2" s="28" t="s">
        <v>48</v>
      </c>
      <c r="F2" s="116" t="s">
        <v>49</v>
      </c>
      <c r="G2" s="93"/>
      <c r="H2" s="93"/>
      <c r="I2" s="8"/>
      <c r="J2" s="8"/>
    </row>
    <row r="3" spans="1:10">
      <c r="A3" s="28" t="s">
        <v>583</v>
      </c>
      <c r="B3" s="116" t="s">
        <v>51</v>
      </c>
      <c r="C3" s="93"/>
      <c r="D3" s="8"/>
      <c r="E3" s="28" t="s">
        <v>60</v>
      </c>
      <c r="F3" s="116" t="s">
        <v>61</v>
      </c>
      <c r="G3" s="93"/>
      <c r="H3" s="93"/>
      <c r="I3" s="8"/>
      <c r="J3" s="8"/>
    </row>
    <row r="4" spans="1:10">
      <c r="A4" s="28" t="s">
        <v>58</v>
      </c>
      <c r="B4" s="116" t="s">
        <v>59</v>
      </c>
      <c r="C4" s="93"/>
      <c r="D4" s="8"/>
      <c r="E4" s="28" t="s">
        <v>584</v>
      </c>
      <c r="F4" s="116" t="s">
        <v>57</v>
      </c>
      <c r="G4" s="93"/>
      <c r="H4" s="93"/>
      <c r="I4" s="8"/>
      <c r="J4" s="8"/>
    </row>
    <row r="5" spans="1:10">
      <c r="A5" s="8"/>
      <c r="B5" s="8"/>
      <c r="C5" s="8"/>
      <c r="D5" s="8"/>
      <c r="E5" s="8"/>
      <c r="F5" s="8"/>
      <c r="G5" s="8"/>
      <c r="H5" s="8"/>
      <c r="I5" s="8"/>
      <c r="J5" s="8"/>
    </row>
    <row r="6" spans="1:10" ht="15.75" customHeight="1">
      <c r="A6" s="123" t="s">
        <v>1050</v>
      </c>
      <c r="B6" s="93"/>
      <c r="C6" s="93"/>
      <c r="D6" s="93"/>
      <c r="E6" s="93"/>
      <c r="F6" s="93"/>
      <c r="G6" s="93"/>
      <c r="H6" s="93"/>
      <c r="I6" s="8"/>
      <c r="J6" s="8"/>
    </row>
    <row r="7" spans="1:10">
      <c r="A7" s="128" t="s">
        <v>1051</v>
      </c>
      <c r="B7" s="93"/>
      <c r="C7" s="93"/>
      <c r="D7" s="93"/>
      <c r="E7" s="93"/>
      <c r="F7" s="93"/>
      <c r="G7" s="93"/>
      <c r="H7" s="93"/>
      <c r="I7" s="8"/>
      <c r="J7" s="8"/>
    </row>
    <row r="8" spans="1:10">
      <c r="A8" s="35" t="s">
        <v>1052</v>
      </c>
      <c r="B8" s="35" t="s">
        <v>1053</v>
      </c>
      <c r="C8" s="35" t="s">
        <v>1054</v>
      </c>
      <c r="D8" s="8"/>
      <c r="E8" s="8"/>
      <c r="F8" s="8"/>
      <c r="G8" s="8"/>
      <c r="H8" s="8"/>
      <c r="I8" s="8"/>
      <c r="J8" s="8"/>
    </row>
    <row r="9" spans="1:10" ht="60" customHeight="1">
      <c r="A9" s="53" t="s">
        <v>1055</v>
      </c>
      <c r="B9" s="41" t="s">
        <v>1056</v>
      </c>
      <c r="C9" s="54" t="s">
        <v>493</v>
      </c>
      <c r="D9" s="8"/>
      <c r="E9" s="8"/>
      <c r="F9" s="8"/>
      <c r="G9" s="8"/>
      <c r="H9" s="8"/>
      <c r="I9" s="8"/>
      <c r="J9" s="8"/>
    </row>
    <row r="10" spans="1:10" ht="60" customHeight="1">
      <c r="A10" s="53" t="s">
        <v>1057</v>
      </c>
      <c r="B10" s="41" t="s">
        <v>1058</v>
      </c>
      <c r="C10" s="54" t="s">
        <v>1059</v>
      </c>
      <c r="D10" s="8"/>
      <c r="E10" s="8"/>
      <c r="F10" s="8"/>
      <c r="G10" s="8"/>
      <c r="H10" s="8"/>
      <c r="I10" s="8"/>
      <c r="J10" s="8"/>
    </row>
    <row r="11" spans="1:10" ht="60" customHeight="1">
      <c r="A11" s="53" t="s">
        <v>1060</v>
      </c>
      <c r="B11" s="41" t="s">
        <v>1061</v>
      </c>
      <c r="C11" s="54" t="s">
        <v>490</v>
      </c>
      <c r="D11" s="8"/>
      <c r="E11" s="8"/>
      <c r="F11" s="8"/>
      <c r="G11" s="8"/>
      <c r="H11" s="8"/>
      <c r="I11" s="8"/>
      <c r="J11" s="8"/>
    </row>
    <row r="12" spans="1:10" ht="60" customHeight="1">
      <c r="A12" s="53" t="s">
        <v>1062</v>
      </c>
      <c r="B12" s="41" t="s">
        <v>1063</v>
      </c>
      <c r="C12" s="54" t="s">
        <v>499</v>
      </c>
      <c r="D12" s="8"/>
      <c r="E12" s="8"/>
      <c r="F12" s="8"/>
      <c r="G12" s="8"/>
      <c r="H12" s="8"/>
      <c r="I12" s="8"/>
      <c r="J12" s="8"/>
    </row>
    <row r="13" spans="1:10">
      <c r="A13" s="55" t="s">
        <v>1064</v>
      </c>
      <c r="B13" s="8"/>
      <c r="C13" s="55" t="s">
        <v>1065</v>
      </c>
      <c r="D13" s="8"/>
      <c r="E13" s="8"/>
      <c r="F13" s="8"/>
      <c r="G13" s="8"/>
      <c r="H13" s="8"/>
      <c r="I13" s="8"/>
      <c r="J13" s="8"/>
    </row>
    <row r="14" spans="1:10">
      <c r="A14" s="8"/>
      <c r="B14" s="8"/>
      <c r="C14" s="8"/>
      <c r="D14" s="8"/>
      <c r="E14" s="8"/>
      <c r="F14" s="8"/>
      <c r="G14" s="8"/>
      <c r="H14" s="8"/>
      <c r="I14" s="8"/>
      <c r="J14" s="8"/>
    </row>
    <row r="15" spans="1:10">
      <c r="A15" s="128" t="s">
        <v>1066</v>
      </c>
      <c r="B15" s="93"/>
      <c r="C15" s="93"/>
      <c r="D15" s="93"/>
      <c r="E15" s="93"/>
      <c r="F15" s="93"/>
      <c r="G15" s="93"/>
      <c r="H15" s="93"/>
      <c r="I15" s="8"/>
      <c r="J15" s="8"/>
    </row>
    <row r="16" spans="1:10">
      <c r="A16" s="35" t="s">
        <v>1052</v>
      </c>
      <c r="B16" s="35" t="s">
        <v>1053</v>
      </c>
      <c r="C16" s="35" t="s">
        <v>1054</v>
      </c>
      <c r="D16" s="8"/>
      <c r="E16" s="8"/>
      <c r="F16" s="8"/>
      <c r="G16" s="8"/>
      <c r="H16" s="8"/>
      <c r="I16" s="8"/>
      <c r="J16" s="8"/>
    </row>
    <row r="17" spans="1:10" ht="60" customHeight="1">
      <c r="A17" s="53" t="s">
        <v>1055</v>
      </c>
      <c r="B17" s="41" t="s">
        <v>1067</v>
      </c>
      <c r="C17" s="56" t="s">
        <v>1068</v>
      </c>
      <c r="D17" s="8"/>
      <c r="E17" s="8"/>
      <c r="F17" s="8"/>
      <c r="G17" s="8"/>
      <c r="H17" s="8"/>
      <c r="I17" s="8"/>
      <c r="J17" s="8"/>
    </row>
    <row r="18" spans="1:10" ht="60" customHeight="1">
      <c r="A18" s="53" t="s">
        <v>1057</v>
      </c>
      <c r="B18" s="41" t="s">
        <v>1069</v>
      </c>
      <c r="C18" s="56" t="s">
        <v>705</v>
      </c>
      <c r="D18" s="8"/>
      <c r="E18" s="8"/>
      <c r="F18" s="8"/>
      <c r="G18" s="8"/>
      <c r="H18" s="8"/>
      <c r="I18" s="8"/>
      <c r="J18" s="8"/>
    </row>
    <row r="19" spans="1:10" ht="60" customHeight="1">
      <c r="A19" s="53" t="s">
        <v>1060</v>
      </c>
      <c r="B19" s="41" t="s">
        <v>1070</v>
      </c>
      <c r="C19" s="56" t="s">
        <v>493</v>
      </c>
      <c r="D19" s="8"/>
      <c r="E19" s="8"/>
      <c r="F19" s="8"/>
      <c r="G19" s="8"/>
      <c r="H19" s="8"/>
      <c r="I19" s="8"/>
      <c r="J19" s="8"/>
    </row>
    <row r="20" spans="1:10" ht="60" customHeight="1">
      <c r="A20" s="53" t="s">
        <v>1062</v>
      </c>
      <c r="B20" s="41" t="s">
        <v>1071</v>
      </c>
      <c r="C20" s="56" t="s">
        <v>1072</v>
      </c>
      <c r="D20" s="8"/>
      <c r="E20" s="8"/>
      <c r="F20" s="8"/>
      <c r="G20" s="8"/>
      <c r="H20" s="8"/>
      <c r="I20" s="8"/>
      <c r="J20" s="8"/>
    </row>
    <row r="21" spans="1:10">
      <c r="A21" s="55" t="s">
        <v>1073</v>
      </c>
      <c r="B21" s="8"/>
      <c r="C21" s="55" t="s">
        <v>1074</v>
      </c>
      <c r="D21" s="8"/>
      <c r="E21" s="8"/>
      <c r="F21" s="8"/>
      <c r="G21" s="8"/>
      <c r="H21" s="8"/>
      <c r="I21" s="8"/>
      <c r="J21" s="8"/>
    </row>
    <row r="22" spans="1:10">
      <c r="A22" s="8"/>
      <c r="B22" s="8"/>
      <c r="C22" s="8"/>
      <c r="D22" s="8"/>
      <c r="E22" s="8"/>
      <c r="F22" s="8"/>
      <c r="G22" s="8"/>
      <c r="H22" s="8"/>
      <c r="I22" s="8"/>
      <c r="J22" s="8"/>
    </row>
    <row r="23" spans="1:10">
      <c r="A23" s="128" t="s">
        <v>1075</v>
      </c>
      <c r="B23" s="93"/>
      <c r="C23" s="93"/>
      <c r="D23" s="93"/>
      <c r="E23" s="93"/>
      <c r="F23" s="93"/>
      <c r="G23" s="93"/>
      <c r="H23" s="93"/>
      <c r="I23" s="8"/>
      <c r="J23" s="8"/>
    </row>
    <row r="24" spans="1:10">
      <c r="A24" s="35" t="s">
        <v>1052</v>
      </c>
      <c r="B24" s="35" t="s">
        <v>1053</v>
      </c>
      <c r="C24" s="35" t="s">
        <v>1054</v>
      </c>
      <c r="D24" s="8"/>
      <c r="E24" s="8"/>
      <c r="F24" s="8"/>
      <c r="G24" s="8"/>
      <c r="H24" s="8"/>
      <c r="I24" s="8"/>
      <c r="J24" s="8"/>
    </row>
    <row r="25" spans="1:10" ht="60" customHeight="1">
      <c r="A25" s="53" t="s">
        <v>1055</v>
      </c>
      <c r="B25" s="41" t="s">
        <v>1076</v>
      </c>
      <c r="C25" s="56" t="s">
        <v>490</v>
      </c>
      <c r="D25" s="8"/>
      <c r="E25" s="8"/>
      <c r="F25" s="8"/>
      <c r="G25" s="8"/>
      <c r="H25" s="8"/>
      <c r="I25" s="8"/>
      <c r="J25" s="8"/>
    </row>
    <row r="26" spans="1:10" ht="60" customHeight="1">
      <c r="A26" s="53" t="s">
        <v>1057</v>
      </c>
      <c r="B26" s="41" t="s">
        <v>1077</v>
      </c>
      <c r="C26" s="56" t="s">
        <v>1068</v>
      </c>
      <c r="D26" s="8"/>
      <c r="E26" s="8"/>
      <c r="F26" s="8"/>
      <c r="G26" s="8"/>
      <c r="H26" s="8"/>
      <c r="I26" s="8"/>
      <c r="J26" s="8"/>
    </row>
    <row r="27" spans="1:10" ht="60" customHeight="1">
      <c r="A27" s="53" t="s">
        <v>1060</v>
      </c>
      <c r="B27" s="41" t="s">
        <v>1078</v>
      </c>
      <c r="C27" s="56" t="s">
        <v>1079</v>
      </c>
      <c r="D27" s="8"/>
      <c r="E27" s="8"/>
      <c r="F27" s="8"/>
      <c r="G27" s="8"/>
      <c r="H27" s="8"/>
      <c r="I27" s="8"/>
      <c r="J27" s="8"/>
    </row>
    <row r="28" spans="1:10" ht="60" customHeight="1">
      <c r="A28" s="53" t="s">
        <v>1062</v>
      </c>
      <c r="B28" s="41" t="s">
        <v>1080</v>
      </c>
      <c r="C28" s="56" t="s">
        <v>1081</v>
      </c>
      <c r="D28" s="8"/>
      <c r="E28" s="8"/>
      <c r="F28" s="8"/>
      <c r="G28" s="8"/>
      <c r="H28" s="8"/>
      <c r="I28" s="8"/>
      <c r="J28" s="8"/>
    </row>
    <row r="29" spans="1:10">
      <c r="A29" s="55" t="s">
        <v>1082</v>
      </c>
      <c r="B29" s="8"/>
      <c r="C29" s="55" t="s">
        <v>1083</v>
      </c>
      <c r="D29" s="8"/>
      <c r="E29" s="8"/>
      <c r="F29" s="8"/>
      <c r="G29" s="8"/>
      <c r="H29" s="8"/>
      <c r="I29" s="8"/>
      <c r="J29" s="8"/>
    </row>
    <row r="30" spans="1:10">
      <c r="A30" s="8"/>
      <c r="B30" s="8"/>
      <c r="C30" s="8"/>
      <c r="D30" s="8"/>
      <c r="E30" s="8"/>
      <c r="F30" s="8"/>
      <c r="G30" s="8"/>
      <c r="H30" s="8"/>
      <c r="I30" s="8"/>
      <c r="J30" s="8"/>
    </row>
    <row r="31" spans="1:10">
      <c r="A31" s="129" t="s">
        <v>1084</v>
      </c>
      <c r="B31" s="93"/>
      <c r="C31" s="57" t="s">
        <v>1085</v>
      </c>
      <c r="D31" s="8"/>
      <c r="E31" s="8"/>
      <c r="F31" s="8"/>
      <c r="G31" s="8"/>
      <c r="H31" s="8"/>
      <c r="I31" s="8"/>
      <c r="J31" s="8"/>
    </row>
  </sheetData>
  <mergeCells count="12">
    <mergeCell ref="A1:H1"/>
    <mergeCell ref="A23:H23"/>
    <mergeCell ref="F3:H3"/>
    <mergeCell ref="A31:B31"/>
    <mergeCell ref="B4:C4"/>
    <mergeCell ref="A6:H6"/>
    <mergeCell ref="B2:C2"/>
    <mergeCell ref="A15:H15"/>
    <mergeCell ref="A7:H7"/>
    <mergeCell ref="B3:C3"/>
    <mergeCell ref="F4:H4"/>
    <mergeCell ref="F2:H2"/>
  </mergeCells>
  <pageMargins left="0.75" right="0.75" top="1" bottom="1" header="0.5" footer="0.5"/>
  <pageSetup paperSize="0" orientation="portrait" horizontalDpi="0" verticalDpi="0" copie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9"/>
  <dimension ref="A1:J25"/>
  <sheetViews>
    <sheetView workbookViewId="0">
      <selection sqref="A1:G1"/>
    </sheetView>
  </sheetViews>
  <sheetFormatPr baseColWidth="10" defaultColWidth="9.140625" defaultRowHeight="15"/>
  <cols>
    <col min="1" max="1" width="21.42578125" bestFit="1" customWidth="1"/>
    <col min="2" max="2" width="49" bestFit="1" customWidth="1"/>
    <col min="3" max="3" width="28.85546875" bestFit="1" customWidth="1"/>
    <col min="4" max="4" width="18.5703125" bestFit="1" customWidth="1"/>
    <col min="5" max="5" width="13" bestFit="1" customWidth="1"/>
    <col min="6" max="6" width="9.140625" bestFit="1" customWidth="1"/>
    <col min="7" max="7" width="12.5703125" bestFit="1" customWidth="1"/>
  </cols>
  <sheetData>
    <row r="1" spans="1:10" ht="30" customHeight="1">
      <c r="A1" s="120" t="s">
        <v>1086</v>
      </c>
      <c r="B1" s="93"/>
      <c r="C1" s="93"/>
      <c r="D1" s="93"/>
      <c r="E1" s="93"/>
      <c r="F1" s="93"/>
      <c r="G1" s="93"/>
      <c r="H1" s="8"/>
      <c r="I1" s="8"/>
      <c r="J1" s="8"/>
    </row>
    <row r="2" spans="1:10">
      <c r="A2" s="28" t="s">
        <v>579</v>
      </c>
      <c r="B2" s="116" t="s">
        <v>1087</v>
      </c>
      <c r="C2" s="93"/>
      <c r="D2" s="8"/>
      <c r="E2" s="28" t="s">
        <v>48</v>
      </c>
      <c r="F2" s="116" t="s">
        <v>49</v>
      </c>
      <c r="G2" s="93"/>
      <c r="H2" s="8"/>
      <c r="I2" s="8"/>
      <c r="J2" s="8"/>
    </row>
    <row r="3" spans="1:10">
      <c r="A3" s="28" t="s">
        <v>583</v>
      </c>
      <c r="B3" s="116" t="s">
        <v>51</v>
      </c>
      <c r="C3" s="93"/>
      <c r="D3" s="8"/>
      <c r="E3" s="28" t="s">
        <v>60</v>
      </c>
      <c r="F3" s="116" t="s">
        <v>61</v>
      </c>
      <c r="G3" s="93"/>
      <c r="H3" s="8"/>
      <c r="I3" s="8"/>
      <c r="J3" s="8"/>
    </row>
    <row r="4" spans="1:10">
      <c r="A4" s="28" t="s">
        <v>58</v>
      </c>
      <c r="B4" s="116" t="s">
        <v>59</v>
      </c>
      <c r="C4" s="93"/>
      <c r="D4" s="8"/>
      <c r="E4" s="28" t="s">
        <v>584</v>
      </c>
      <c r="F4" s="116" t="s">
        <v>57</v>
      </c>
      <c r="G4" s="93"/>
      <c r="H4" s="8"/>
      <c r="I4" s="8"/>
      <c r="J4" s="8"/>
    </row>
    <row r="5" spans="1:10">
      <c r="A5" s="8"/>
      <c r="B5" s="8"/>
      <c r="C5" s="8"/>
      <c r="D5" s="8"/>
      <c r="E5" s="8"/>
      <c r="F5" s="8"/>
      <c r="G5" s="8"/>
      <c r="H5" s="8"/>
      <c r="I5" s="8"/>
      <c r="J5" s="8"/>
    </row>
    <row r="6" spans="1:10" ht="15.75" customHeight="1">
      <c r="A6" s="123" t="s">
        <v>1088</v>
      </c>
      <c r="B6" s="93"/>
      <c r="C6" s="93"/>
      <c r="D6" s="93"/>
      <c r="E6" s="93"/>
      <c r="F6" s="93"/>
      <c r="G6" s="93"/>
      <c r="H6" s="8"/>
      <c r="I6" s="8"/>
      <c r="J6" s="8"/>
    </row>
    <row r="7" spans="1:10">
      <c r="A7" s="35" t="s">
        <v>1089</v>
      </c>
      <c r="B7" s="35" t="s">
        <v>1090</v>
      </c>
      <c r="C7" s="35" t="s">
        <v>368</v>
      </c>
      <c r="D7" s="35" t="s">
        <v>1091</v>
      </c>
      <c r="E7" s="35" t="s">
        <v>221</v>
      </c>
      <c r="F7" s="35" t="s">
        <v>370</v>
      </c>
      <c r="G7" s="35" t="s">
        <v>81</v>
      </c>
      <c r="H7" s="8"/>
      <c r="I7" s="8"/>
      <c r="J7" s="8"/>
    </row>
    <row r="8" spans="1:10" ht="30" customHeight="1">
      <c r="A8" s="36" t="s">
        <v>1092</v>
      </c>
      <c r="B8" s="36" t="s">
        <v>1093</v>
      </c>
      <c r="C8" s="36" t="s">
        <v>1094</v>
      </c>
      <c r="D8" s="36" t="s">
        <v>922</v>
      </c>
      <c r="E8" s="36" t="s">
        <v>57</v>
      </c>
      <c r="F8" s="36" t="s">
        <v>748</v>
      </c>
      <c r="G8" s="58" t="s">
        <v>1095</v>
      </c>
      <c r="H8" s="8"/>
      <c r="I8" s="8"/>
      <c r="J8" s="8"/>
    </row>
    <row r="9" spans="1:10" ht="30" customHeight="1">
      <c r="A9" s="36" t="s">
        <v>1096</v>
      </c>
      <c r="B9" s="36" t="s">
        <v>1097</v>
      </c>
      <c r="C9" s="36" t="s">
        <v>1098</v>
      </c>
      <c r="D9" s="36" t="s">
        <v>926</v>
      </c>
      <c r="E9" s="36" t="s">
        <v>948</v>
      </c>
      <c r="F9" s="36" t="s">
        <v>762</v>
      </c>
      <c r="G9" s="58" t="s">
        <v>1095</v>
      </c>
      <c r="H9" s="8"/>
      <c r="I9" s="8"/>
      <c r="J9" s="8"/>
    </row>
    <row r="10" spans="1:10" ht="30" customHeight="1">
      <c r="A10" s="36" t="s">
        <v>1099</v>
      </c>
      <c r="B10" s="36" t="s">
        <v>1100</v>
      </c>
      <c r="C10" s="36" t="s">
        <v>1101</v>
      </c>
      <c r="D10" s="36" t="s">
        <v>1102</v>
      </c>
      <c r="E10" s="36" t="s">
        <v>1103</v>
      </c>
      <c r="F10" s="36" t="s">
        <v>1104</v>
      </c>
      <c r="G10" s="40" t="s">
        <v>1105</v>
      </c>
      <c r="H10" s="8"/>
      <c r="I10" s="8"/>
      <c r="J10" s="8"/>
    </row>
    <row r="11" spans="1:10" ht="30" customHeight="1">
      <c r="A11" s="36" t="s">
        <v>1106</v>
      </c>
      <c r="B11" s="36" t="s">
        <v>1107</v>
      </c>
      <c r="C11" s="36" t="s">
        <v>1108</v>
      </c>
      <c r="D11" s="36" t="s">
        <v>1109</v>
      </c>
      <c r="E11" s="36" t="s">
        <v>1110</v>
      </c>
      <c r="F11" s="36" t="s">
        <v>375</v>
      </c>
      <c r="G11" s="59" t="s">
        <v>1111</v>
      </c>
      <c r="H11" s="8"/>
      <c r="I11" s="8"/>
      <c r="J11" s="8"/>
    </row>
    <row r="12" spans="1:10" ht="30" customHeight="1">
      <c r="A12" s="36" t="s">
        <v>1112</v>
      </c>
      <c r="B12" s="36" t="s">
        <v>1113</v>
      </c>
      <c r="C12" s="36" t="s">
        <v>1114</v>
      </c>
      <c r="D12" s="36" t="s">
        <v>1115</v>
      </c>
      <c r="E12" s="36" t="s">
        <v>971</v>
      </c>
      <c r="F12" s="36" t="s">
        <v>748</v>
      </c>
      <c r="G12" s="59" t="s">
        <v>1111</v>
      </c>
      <c r="H12" s="8"/>
      <c r="I12" s="8"/>
      <c r="J12" s="8"/>
    </row>
    <row r="13" spans="1:10" ht="30" customHeight="1">
      <c r="A13" s="36" t="s">
        <v>1116</v>
      </c>
      <c r="B13" s="36" t="s">
        <v>1117</v>
      </c>
      <c r="C13" s="36" t="s">
        <v>1118</v>
      </c>
      <c r="D13" s="36" t="s">
        <v>1119</v>
      </c>
      <c r="E13" s="36" t="s">
        <v>953</v>
      </c>
      <c r="F13" s="36" t="s">
        <v>1120</v>
      </c>
      <c r="G13" s="59" t="s">
        <v>1111</v>
      </c>
      <c r="H13" s="8"/>
      <c r="I13" s="8"/>
      <c r="J13" s="8"/>
    </row>
    <row r="14" spans="1:10" ht="30" customHeight="1">
      <c r="A14" s="36" t="s">
        <v>1121</v>
      </c>
      <c r="B14" s="36" t="s">
        <v>1122</v>
      </c>
      <c r="C14" s="36" t="s">
        <v>1123</v>
      </c>
      <c r="D14" s="36" t="s">
        <v>1124</v>
      </c>
      <c r="E14" s="36" t="s">
        <v>231</v>
      </c>
      <c r="F14" s="36" t="s">
        <v>729</v>
      </c>
      <c r="G14" s="59" t="s">
        <v>1111</v>
      </c>
      <c r="H14" s="8"/>
      <c r="I14" s="8"/>
      <c r="J14" s="8"/>
    </row>
    <row r="15" spans="1:10" ht="30" customHeight="1">
      <c r="A15" s="36" t="s">
        <v>1125</v>
      </c>
      <c r="B15" s="36" t="s">
        <v>1126</v>
      </c>
      <c r="C15" s="36" t="s">
        <v>1127</v>
      </c>
      <c r="D15" s="36" t="s">
        <v>1128</v>
      </c>
      <c r="E15" s="36" t="s">
        <v>57</v>
      </c>
      <c r="F15" s="36" t="s">
        <v>381</v>
      </c>
      <c r="G15" s="59" t="s">
        <v>1111</v>
      </c>
      <c r="H15" s="8"/>
      <c r="I15" s="8"/>
      <c r="J15" s="8"/>
    </row>
    <row r="16" spans="1:10">
      <c r="A16" s="8"/>
      <c r="B16" s="8"/>
      <c r="C16" s="8"/>
      <c r="D16" s="8"/>
      <c r="E16" s="8"/>
      <c r="F16" s="8"/>
      <c r="G16" s="8"/>
      <c r="H16" s="8"/>
      <c r="I16" s="8"/>
      <c r="J16" s="8"/>
    </row>
    <row r="17" spans="1:10" ht="15.75" customHeight="1">
      <c r="A17" s="123" t="s">
        <v>1129</v>
      </c>
      <c r="B17" s="93"/>
      <c r="C17" s="93"/>
      <c r="D17" s="93"/>
      <c r="E17" s="93"/>
      <c r="F17" s="93"/>
      <c r="G17" s="93"/>
      <c r="H17" s="8"/>
      <c r="I17" s="8"/>
      <c r="J17" s="8"/>
    </row>
    <row r="18" spans="1:10">
      <c r="A18" s="35" t="s">
        <v>1130</v>
      </c>
      <c r="B18" s="35" t="s">
        <v>135</v>
      </c>
      <c r="C18" s="8"/>
      <c r="D18" s="8"/>
      <c r="E18" s="8"/>
      <c r="F18" s="8"/>
      <c r="G18" s="8"/>
      <c r="H18" s="8"/>
      <c r="I18" s="8"/>
      <c r="J18" s="8"/>
    </row>
    <row r="19" spans="1:10" ht="30" customHeight="1">
      <c r="A19" s="43" t="s">
        <v>1131</v>
      </c>
      <c r="B19" s="48" t="s">
        <v>1132</v>
      </c>
      <c r="C19" s="8"/>
      <c r="D19" s="8"/>
      <c r="E19" s="8"/>
      <c r="F19" s="8"/>
      <c r="G19" s="8"/>
      <c r="H19" s="8"/>
      <c r="I19" s="8"/>
      <c r="J19" s="8"/>
    </row>
    <row r="20" spans="1:10" ht="30" customHeight="1">
      <c r="A20" s="43" t="s">
        <v>1133</v>
      </c>
      <c r="B20" s="48" t="s">
        <v>1134</v>
      </c>
      <c r="C20" s="8"/>
      <c r="D20" s="8"/>
      <c r="E20" s="8"/>
      <c r="F20" s="8"/>
      <c r="G20" s="8"/>
      <c r="H20" s="8"/>
      <c r="I20" s="8"/>
      <c r="J20" s="8"/>
    </row>
    <row r="21" spans="1:10" ht="30" customHeight="1">
      <c r="A21" s="43" t="s">
        <v>1135</v>
      </c>
      <c r="B21" s="48" t="s">
        <v>1136</v>
      </c>
      <c r="C21" s="8"/>
      <c r="D21" s="8"/>
      <c r="E21" s="8"/>
      <c r="F21" s="8"/>
      <c r="G21" s="8"/>
      <c r="H21" s="8"/>
      <c r="I21" s="8"/>
      <c r="J21" s="8"/>
    </row>
    <row r="22" spans="1:10" ht="30" customHeight="1">
      <c r="A22" s="43" t="s">
        <v>1137</v>
      </c>
      <c r="B22" s="48" t="s">
        <v>1138</v>
      </c>
      <c r="C22" s="8"/>
      <c r="D22" s="8"/>
      <c r="E22" s="8"/>
      <c r="F22" s="8"/>
      <c r="G22" s="8"/>
      <c r="H22" s="8"/>
      <c r="I22" s="8"/>
      <c r="J22" s="8"/>
    </row>
    <row r="23" spans="1:10" ht="30" customHeight="1">
      <c r="A23" s="43" t="s">
        <v>1139</v>
      </c>
      <c r="B23" s="48" t="s">
        <v>1140</v>
      </c>
      <c r="C23" s="8"/>
      <c r="D23" s="8"/>
      <c r="E23" s="8"/>
      <c r="F23" s="8"/>
      <c r="G23" s="8"/>
      <c r="H23" s="8"/>
      <c r="I23" s="8"/>
      <c r="J23" s="8"/>
    </row>
    <row r="24" spans="1:10" ht="30" customHeight="1">
      <c r="A24" s="43" t="s">
        <v>1141</v>
      </c>
      <c r="B24" s="48" t="s">
        <v>1142</v>
      </c>
      <c r="C24" s="8"/>
      <c r="D24" s="8"/>
      <c r="E24" s="8"/>
      <c r="F24" s="8"/>
      <c r="G24" s="8"/>
      <c r="H24" s="8"/>
      <c r="I24" s="8"/>
      <c r="J24" s="8"/>
    </row>
    <row r="25" spans="1:10" ht="30" customHeight="1">
      <c r="A25" s="43" t="s">
        <v>1143</v>
      </c>
      <c r="B25" s="48" t="s">
        <v>1144</v>
      </c>
      <c r="C25" s="8"/>
      <c r="D25" s="8"/>
      <c r="E25" s="8"/>
      <c r="F25" s="8"/>
      <c r="G25" s="8"/>
      <c r="H25" s="8"/>
      <c r="I25" s="8"/>
      <c r="J25" s="8"/>
    </row>
  </sheetData>
  <mergeCells count="9">
    <mergeCell ref="F2:G2"/>
    <mergeCell ref="B2:C2"/>
    <mergeCell ref="A1:G1"/>
    <mergeCell ref="A17:G17"/>
    <mergeCell ref="B3:C3"/>
    <mergeCell ref="A6:G6"/>
    <mergeCell ref="B4:C4"/>
    <mergeCell ref="F3:G3"/>
    <mergeCell ref="F4:G4"/>
  </mergeCells>
  <pageMargins left="0.75" right="0.75" top="1" bottom="1" header="0.5" footer="0.5"/>
  <pageSetup paperSize="0" orientation="portrait" horizontalDpi="0" verticalDpi="0" copie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20"/>
  <dimension ref="A1:J17"/>
  <sheetViews>
    <sheetView workbookViewId="0">
      <selection sqref="A1:G1"/>
    </sheetView>
  </sheetViews>
  <sheetFormatPr baseColWidth="10" defaultColWidth="9.140625" defaultRowHeight="15"/>
  <cols>
    <col min="1" max="1" width="11.85546875" bestFit="1" customWidth="1"/>
    <col min="2" max="2" width="27.7109375" bestFit="1" customWidth="1"/>
    <col min="3" max="3" width="32" bestFit="1" customWidth="1"/>
    <col min="4" max="4" width="12.5703125" bestFit="1" customWidth="1"/>
    <col min="5" max="5" width="12.85546875" bestFit="1" customWidth="1"/>
    <col min="6" max="6" width="9.7109375" bestFit="1" customWidth="1"/>
    <col min="7" max="7" width="31.85546875" bestFit="1" customWidth="1"/>
  </cols>
  <sheetData>
    <row r="1" spans="1:10" ht="30" customHeight="1">
      <c r="A1" s="120" t="s">
        <v>1145</v>
      </c>
      <c r="B1" s="93"/>
      <c r="C1" s="93"/>
      <c r="D1" s="93"/>
      <c r="E1" s="93"/>
      <c r="F1" s="93"/>
      <c r="G1" s="93"/>
      <c r="H1" s="8"/>
      <c r="I1" s="8"/>
      <c r="J1" s="8"/>
    </row>
    <row r="2" spans="1:10">
      <c r="A2" s="28" t="s">
        <v>579</v>
      </c>
      <c r="B2" s="116" t="s">
        <v>1146</v>
      </c>
      <c r="C2" s="93"/>
      <c r="D2" s="8"/>
      <c r="E2" s="28" t="s">
        <v>48</v>
      </c>
      <c r="F2" s="116" t="s">
        <v>49</v>
      </c>
      <c r="G2" s="93"/>
      <c r="H2" s="8"/>
      <c r="I2" s="8"/>
      <c r="J2" s="8"/>
    </row>
    <row r="3" spans="1:10">
      <c r="A3" s="28" t="s">
        <v>583</v>
      </c>
      <c r="B3" s="116" t="s">
        <v>51</v>
      </c>
      <c r="C3" s="93"/>
      <c r="D3" s="8"/>
      <c r="E3" s="28" t="s">
        <v>60</v>
      </c>
      <c r="F3" s="116" t="s">
        <v>61</v>
      </c>
      <c r="G3" s="93"/>
      <c r="H3" s="8"/>
      <c r="I3" s="8"/>
      <c r="J3" s="8"/>
    </row>
    <row r="4" spans="1:10">
      <c r="A4" s="28" t="s">
        <v>58</v>
      </c>
      <c r="B4" s="116" t="s">
        <v>59</v>
      </c>
      <c r="C4" s="93"/>
      <c r="D4" s="8"/>
      <c r="E4" s="28" t="s">
        <v>584</v>
      </c>
      <c r="F4" s="116" t="s">
        <v>57</v>
      </c>
      <c r="G4" s="93"/>
      <c r="H4" s="8"/>
      <c r="I4" s="8"/>
      <c r="J4" s="8"/>
    </row>
    <row r="5" spans="1:10">
      <c r="A5" s="8"/>
      <c r="B5" s="8"/>
      <c r="C5" s="8"/>
      <c r="D5" s="8"/>
      <c r="E5" s="8"/>
      <c r="F5" s="8"/>
      <c r="G5" s="8"/>
      <c r="H5" s="8"/>
      <c r="I5" s="8"/>
      <c r="J5" s="8"/>
    </row>
    <row r="6" spans="1:10" ht="15.75" customHeight="1">
      <c r="A6" s="123" t="s">
        <v>1147</v>
      </c>
      <c r="B6" s="93"/>
      <c r="C6" s="93"/>
      <c r="D6" s="93"/>
      <c r="E6" s="93"/>
      <c r="F6" s="93"/>
      <c r="G6" s="93"/>
      <c r="H6" s="8"/>
      <c r="I6" s="8"/>
      <c r="J6" s="8"/>
    </row>
    <row r="7" spans="1:10">
      <c r="A7" s="31" t="s">
        <v>1148</v>
      </c>
      <c r="B7" s="31" t="s">
        <v>1149</v>
      </c>
      <c r="C7" s="31" t="s">
        <v>1150</v>
      </c>
      <c r="D7" s="31" t="s">
        <v>1151</v>
      </c>
      <c r="E7" s="31" t="s">
        <v>1152</v>
      </c>
      <c r="F7" s="31" t="s">
        <v>1153</v>
      </c>
      <c r="G7" s="31" t="s">
        <v>1154</v>
      </c>
      <c r="H7" s="8"/>
      <c r="I7" s="8"/>
      <c r="J7" s="8"/>
    </row>
    <row r="8" spans="1:10" ht="60" customHeight="1">
      <c r="A8" s="6" t="s">
        <v>1155</v>
      </c>
      <c r="B8" s="6" t="s">
        <v>1093</v>
      </c>
      <c r="C8" s="6" t="s">
        <v>922</v>
      </c>
      <c r="D8" s="58" t="s">
        <v>1156</v>
      </c>
      <c r="E8" s="6" t="s">
        <v>1157</v>
      </c>
      <c r="F8" s="6" t="s">
        <v>1157</v>
      </c>
      <c r="G8" s="6" t="s">
        <v>1158</v>
      </c>
      <c r="H8" s="8"/>
      <c r="I8" s="8"/>
      <c r="J8" s="8"/>
    </row>
    <row r="9" spans="1:10" ht="60" customHeight="1">
      <c r="A9" s="6" t="s">
        <v>1159</v>
      </c>
      <c r="B9" s="6" t="s">
        <v>1097</v>
      </c>
      <c r="C9" s="6" t="s">
        <v>926</v>
      </c>
      <c r="D9" s="58" t="s">
        <v>1156</v>
      </c>
      <c r="E9" s="6" t="s">
        <v>1160</v>
      </c>
      <c r="F9" s="6" t="s">
        <v>1161</v>
      </c>
      <c r="G9" s="6" t="s">
        <v>1162</v>
      </c>
      <c r="H9" s="8"/>
      <c r="I9" s="8"/>
      <c r="J9" s="8"/>
    </row>
    <row r="10" spans="1:10" ht="60" customHeight="1">
      <c r="A10" s="6" t="s">
        <v>1163</v>
      </c>
      <c r="B10" s="6" t="s">
        <v>1100</v>
      </c>
      <c r="C10" s="6" t="s">
        <v>1102</v>
      </c>
      <c r="D10" s="40" t="s">
        <v>230</v>
      </c>
      <c r="E10" s="6" t="s">
        <v>1164</v>
      </c>
      <c r="F10" s="6" t="s">
        <v>786</v>
      </c>
      <c r="G10" s="6" t="s">
        <v>1165</v>
      </c>
      <c r="H10" s="8"/>
      <c r="I10" s="8"/>
      <c r="J10" s="8"/>
    </row>
    <row r="11" spans="1:10">
      <c r="A11" s="8"/>
      <c r="B11" s="8"/>
      <c r="C11" s="8"/>
      <c r="D11" s="8"/>
      <c r="E11" s="8"/>
      <c r="F11" s="8"/>
      <c r="G11" s="8"/>
      <c r="H11" s="8"/>
      <c r="I11" s="8"/>
      <c r="J11" s="8"/>
    </row>
    <row r="12" spans="1:10" ht="15.75" customHeight="1">
      <c r="A12" s="123" t="s">
        <v>1166</v>
      </c>
      <c r="B12" s="93"/>
      <c r="C12" s="93"/>
      <c r="D12" s="93"/>
      <c r="E12" s="93"/>
      <c r="F12" s="93"/>
      <c r="G12" s="93"/>
      <c r="H12" s="8"/>
      <c r="I12" s="8"/>
      <c r="J12" s="8"/>
    </row>
    <row r="13" spans="1:10">
      <c r="A13" s="35" t="s">
        <v>1167</v>
      </c>
      <c r="B13" s="35" t="s">
        <v>1168</v>
      </c>
      <c r="C13" s="35" t="s">
        <v>1169</v>
      </c>
      <c r="D13" s="35" t="s">
        <v>221</v>
      </c>
      <c r="E13" s="35" t="s">
        <v>1170</v>
      </c>
      <c r="F13" s="35" t="s">
        <v>81</v>
      </c>
      <c r="G13" s="8"/>
      <c r="H13" s="8"/>
      <c r="I13" s="8"/>
      <c r="J13" s="8"/>
    </row>
    <row r="14" spans="1:10" ht="35.1" customHeight="1">
      <c r="A14" s="48" t="s">
        <v>1171</v>
      </c>
      <c r="B14" s="48" t="s">
        <v>1172</v>
      </c>
      <c r="C14" s="48" t="s">
        <v>1173</v>
      </c>
      <c r="D14" s="48" t="s">
        <v>231</v>
      </c>
      <c r="E14" s="48" t="s">
        <v>1174</v>
      </c>
      <c r="F14" s="58" t="s">
        <v>564</v>
      </c>
      <c r="G14" s="8"/>
      <c r="H14" s="8"/>
      <c r="I14" s="8"/>
      <c r="J14" s="8"/>
    </row>
    <row r="15" spans="1:10" ht="35.1" customHeight="1">
      <c r="A15" s="48" t="s">
        <v>1175</v>
      </c>
      <c r="B15" s="48" t="s">
        <v>1176</v>
      </c>
      <c r="C15" s="48" t="s">
        <v>1177</v>
      </c>
      <c r="D15" s="48" t="s">
        <v>1103</v>
      </c>
      <c r="E15" s="48" t="s">
        <v>930</v>
      </c>
      <c r="F15" s="40" t="s">
        <v>1178</v>
      </c>
      <c r="G15" s="8"/>
      <c r="H15" s="8"/>
      <c r="I15" s="8"/>
      <c r="J15" s="8"/>
    </row>
    <row r="16" spans="1:10" ht="35.1" customHeight="1">
      <c r="A16" s="48" t="s">
        <v>1179</v>
      </c>
      <c r="B16" s="48" t="s">
        <v>1180</v>
      </c>
      <c r="C16" s="48" t="s">
        <v>1181</v>
      </c>
      <c r="D16" s="48" t="s">
        <v>1182</v>
      </c>
      <c r="E16" s="48" t="s">
        <v>1183</v>
      </c>
      <c r="F16" s="59" t="s">
        <v>1184</v>
      </c>
      <c r="G16" s="8"/>
      <c r="H16" s="8"/>
      <c r="I16" s="8"/>
      <c r="J16" s="8"/>
    </row>
    <row r="17" spans="1:10" ht="35.1" customHeight="1">
      <c r="A17" s="48" t="s">
        <v>1185</v>
      </c>
      <c r="B17" s="48" t="s">
        <v>1186</v>
      </c>
      <c r="C17" s="48" t="s">
        <v>1187</v>
      </c>
      <c r="D17" s="48" t="s">
        <v>57</v>
      </c>
      <c r="E17" s="48" t="s">
        <v>926</v>
      </c>
      <c r="F17" s="58" t="s">
        <v>564</v>
      </c>
      <c r="G17" s="8"/>
      <c r="H17" s="8"/>
      <c r="I17" s="8"/>
      <c r="J17" s="8"/>
    </row>
  </sheetData>
  <mergeCells count="9">
    <mergeCell ref="A1:G1"/>
    <mergeCell ref="B3:C3"/>
    <mergeCell ref="A6:G6"/>
    <mergeCell ref="A12:G12"/>
    <mergeCell ref="B4:C4"/>
    <mergeCell ref="F3:G3"/>
    <mergeCell ref="F4:G4"/>
    <mergeCell ref="F2:G2"/>
    <mergeCell ref="B2:C2"/>
  </mergeCells>
  <pageMargins left="0.75" right="0.75" top="1" bottom="1" header="0.5" footer="0.5"/>
  <pageSetup paperSize="0" orientation="portrait" horizontalDpi="0" verticalDpi="0" copie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21"/>
  <dimension ref="A1:J34"/>
  <sheetViews>
    <sheetView workbookViewId="0">
      <selection sqref="A1:G1"/>
    </sheetView>
  </sheetViews>
  <sheetFormatPr baseColWidth="10" defaultColWidth="9.140625" defaultRowHeight="15"/>
  <cols>
    <col min="1" max="1" width="19.28515625" bestFit="1" customWidth="1"/>
    <col min="2" max="2" width="11.140625" bestFit="1" customWidth="1"/>
    <col min="3" max="3" width="48.42578125" bestFit="1" customWidth="1"/>
    <col min="4" max="4" width="16.42578125" bestFit="1" customWidth="1"/>
    <col min="5" max="5" width="18.28515625" bestFit="1" customWidth="1"/>
    <col min="6" max="6" width="7" bestFit="1" customWidth="1"/>
  </cols>
  <sheetData>
    <row r="1" spans="1:10" ht="30" customHeight="1">
      <c r="A1" s="120" t="s">
        <v>1188</v>
      </c>
      <c r="B1" s="93"/>
      <c r="C1" s="93"/>
      <c r="D1" s="93"/>
      <c r="E1" s="93"/>
      <c r="F1" s="93"/>
      <c r="G1" s="93"/>
      <c r="H1" s="8"/>
      <c r="I1" s="8"/>
      <c r="J1" s="8"/>
    </row>
    <row r="2" spans="1:10">
      <c r="A2" s="28" t="s">
        <v>579</v>
      </c>
      <c r="B2" s="116" t="s">
        <v>1189</v>
      </c>
      <c r="C2" s="93"/>
      <c r="D2" s="8"/>
      <c r="E2" s="28" t="s">
        <v>48</v>
      </c>
      <c r="F2" s="116" t="s">
        <v>49</v>
      </c>
      <c r="G2" s="93"/>
      <c r="H2" s="8"/>
      <c r="I2" s="8"/>
      <c r="J2" s="8"/>
    </row>
    <row r="3" spans="1:10">
      <c r="A3" s="28" t="s">
        <v>583</v>
      </c>
      <c r="B3" s="116" t="s">
        <v>51</v>
      </c>
      <c r="C3" s="93"/>
      <c r="D3" s="8"/>
      <c r="E3" s="28" t="s">
        <v>60</v>
      </c>
      <c r="F3" s="116" t="s">
        <v>61</v>
      </c>
      <c r="G3" s="93"/>
      <c r="H3" s="8"/>
      <c r="I3" s="8"/>
      <c r="J3" s="8"/>
    </row>
    <row r="4" spans="1:10">
      <c r="A4" s="28" t="s">
        <v>58</v>
      </c>
      <c r="B4" s="116" t="s">
        <v>59</v>
      </c>
      <c r="C4" s="93"/>
      <c r="D4" s="8"/>
      <c r="E4" s="28" t="s">
        <v>584</v>
      </c>
      <c r="F4" s="116" t="s">
        <v>57</v>
      </c>
      <c r="G4" s="93"/>
      <c r="H4" s="8"/>
      <c r="I4" s="8"/>
      <c r="J4" s="8"/>
    </row>
    <row r="5" spans="1:10">
      <c r="A5" s="8"/>
      <c r="B5" s="8"/>
      <c r="C5" s="8"/>
      <c r="D5" s="8"/>
      <c r="E5" s="8"/>
      <c r="F5" s="8"/>
      <c r="G5" s="8"/>
      <c r="H5" s="8"/>
      <c r="I5" s="8"/>
      <c r="J5" s="8"/>
    </row>
    <row r="6" spans="1:10" ht="15.75" customHeight="1">
      <c r="A6" s="123" t="s">
        <v>1190</v>
      </c>
      <c r="B6" s="93"/>
      <c r="C6" s="93"/>
      <c r="D6" s="93"/>
      <c r="E6" s="93"/>
      <c r="F6" s="93"/>
      <c r="G6" s="93"/>
      <c r="H6" s="8"/>
      <c r="I6" s="8"/>
      <c r="J6" s="8"/>
    </row>
    <row r="7" spans="1:10">
      <c r="A7" s="35" t="s">
        <v>722</v>
      </c>
      <c r="B7" s="35" t="s">
        <v>136</v>
      </c>
      <c r="C7" s="35" t="s">
        <v>221</v>
      </c>
      <c r="D7" s="35" t="s">
        <v>1191</v>
      </c>
      <c r="E7" s="35" t="s">
        <v>1192</v>
      </c>
      <c r="F7" s="35" t="s">
        <v>81</v>
      </c>
      <c r="G7" s="8"/>
      <c r="H7" s="8"/>
      <c r="I7" s="8"/>
      <c r="J7" s="8"/>
    </row>
    <row r="8" spans="1:10" ht="30" customHeight="1">
      <c r="A8" s="48" t="s">
        <v>1193</v>
      </c>
      <c r="B8" s="48" t="s">
        <v>782</v>
      </c>
      <c r="C8" s="48" t="s">
        <v>231</v>
      </c>
      <c r="D8" s="48" t="s">
        <v>1194</v>
      </c>
      <c r="E8" s="48" t="s">
        <v>1195</v>
      </c>
      <c r="F8" s="58" t="s">
        <v>1196</v>
      </c>
      <c r="G8" s="8"/>
      <c r="H8" s="8"/>
      <c r="I8" s="8"/>
      <c r="J8" s="8"/>
    </row>
    <row r="9" spans="1:10" ht="30" customHeight="1">
      <c r="A9" s="48" t="s">
        <v>1197</v>
      </c>
      <c r="B9" s="48" t="s">
        <v>742</v>
      </c>
      <c r="C9" s="48" t="s">
        <v>57</v>
      </c>
      <c r="D9" s="48" t="s">
        <v>1194</v>
      </c>
      <c r="E9" s="48" t="s">
        <v>1198</v>
      </c>
      <c r="F9" s="58" t="s">
        <v>1196</v>
      </c>
      <c r="G9" s="8"/>
      <c r="H9" s="8"/>
      <c r="I9" s="8"/>
      <c r="J9" s="8"/>
    </row>
    <row r="10" spans="1:10" ht="30" customHeight="1">
      <c r="A10" s="48" t="s">
        <v>1199</v>
      </c>
      <c r="B10" s="48" t="s">
        <v>1200</v>
      </c>
      <c r="C10" s="48" t="s">
        <v>1201</v>
      </c>
      <c r="D10" s="48" t="s">
        <v>1202</v>
      </c>
      <c r="E10" s="48" t="s">
        <v>51</v>
      </c>
      <c r="F10" s="58" t="s">
        <v>1196</v>
      </c>
      <c r="G10" s="8"/>
      <c r="H10" s="8"/>
      <c r="I10" s="8"/>
      <c r="J10" s="8"/>
    </row>
    <row r="11" spans="1:10" ht="30" customHeight="1">
      <c r="A11" s="48" t="s">
        <v>1203</v>
      </c>
      <c r="B11" s="48" t="s">
        <v>360</v>
      </c>
      <c r="C11" s="48" t="s">
        <v>757</v>
      </c>
      <c r="D11" s="48" t="s">
        <v>1204</v>
      </c>
      <c r="E11" s="48" t="s">
        <v>1198</v>
      </c>
      <c r="F11" s="58" t="s">
        <v>1196</v>
      </c>
      <c r="G11" s="8"/>
      <c r="H11" s="8"/>
      <c r="I11" s="8"/>
      <c r="J11" s="8"/>
    </row>
    <row r="12" spans="1:10" ht="30" customHeight="1">
      <c r="A12" s="48" t="s">
        <v>1205</v>
      </c>
      <c r="B12" s="48" t="s">
        <v>730</v>
      </c>
      <c r="C12" s="48" t="s">
        <v>57</v>
      </c>
      <c r="D12" s="48" t="s">
        <v>1206</v>
      </c>
      <c r="E12" s="48" t="s">
        <v>1207</v>
      </c>
      <c r="F12" s="58" t="s">
        <v>1196</v>
      </c>
      <c r="G12" s="8"/>
      <c r="H12" s="8"/>
      <c r="I12" s="8"/>
      <c r="J12" s="8"/>
    </row>
    <row r="13" spans="1:10" ht="30" customHeight="1">
      <c r="A13" s="48" t="s">
        <v>1208</v>
      </c>
      <c r="B13" s="48" t="s">
        <v>737</v>
      </c>
      <c r="C13" s="48" t="s">
        <v>1209</v>
      </c>
      <c r="D13" s="48" t="s">
        <v>1210</v>
      </c>
      <c r="E13" s="48" t="s">
        <v>1198</v>
      </c>
      <c r="F13" s="58" t="s">
        <v>1196</v>
      </c>
      <c r="G13" s="8"/>
      <c r="H13" s="8"/>
      <c r="I13" s="8"/>
      <c r="J13" s="8"/>
    </row>
    <row r="14" spans="1:10" ht="30" customHeight="1">
      <c r="A14" s="48" t="s">
        <v>1211</v>
      </c>
      <c r="B14" s="48" t="s">
        <v>782</v>
      </c>
      <c r="C14" s="48" t="s">
        <v>1182</v>
      </c>
      <c r="D14" s="48" t="s">
        <v>1194</v>
      </c>
      <c r="E14" s="48" t="s">
        <v>1195</v>
      </c>
      <c r="F14" s="58" t="s">
        <v>1196</v>
      </c>
      <c r="G14" s="8"/>
      <c r="H14" s="8"/>
      <c r="I14" s="8"/>
      <c r="J14" s="8"/>
    </row>
    <row r="15" spans="1:10" ht="30" customHeight="1">
      <c r="A15" s="48" t="s">
        <v>1212</v>
      </c>
      <c r="B15" s="48" t="s">
        <v>360</v>
      </c>
      <c r="C15" s="48" t="s">
        <v>1213</v>
      </c>
      <c r="D15" s="48" t="s">
        <v>1204</v>
      </c>
      <c r="E15" s="48" t="s">
        <v>1198</v>
      </c>
      <c r="F15" s="58" t="s">
        <v>1196</v>
      </c>
      <c r="G15" s="8"/>
      <c r="H15" s="8"/>
      <c r="I15" s="8"/>
      <c r="J15" s="8"/>
    </row>
    <row r="16" spans="1:10">
      <c r="A16" s="8"/>
      <c r="B16" s="8"/>
      <c r="C16" s="8"/>
      <c r="D16" s="8"/>
      <c r="E16" s="8"/>
      <c r="F16" s="8"/>
      <c r="G16" s="8"/>
      <c r="H16" s="8"/>
      <c r="I16" s="8"/>
      <c r="J16" s="8"/>
    </row>
    <row r="17" spans="1:10" ht="15.75" customHeight="1">
      <c r="A17" s="123" t="s">
        <v>1214</v>
      </c>
      <c r="B17" s="93"/>
      <c r="C17" s="93"/>
      <c r="D17" s="93"/>
      <c r="E17" s="93"/>
      <c r="F17" s="93"/>
      <c r="G17" s="93"/>
      <c r="H17" s="8"/>
      <c r="I17" s="8"/>
      <c r="J17" s="8"/>
    </row>
    <row r="18" spans="1:10">
      <c r="A18" s="35" t="s">
        <v>77</v>
      </c>
      <c r="B18" s="35" t="s">
        <v>399</v>
      </c>
      <c r="C18" s="35" t="s">
        <v>1215</v>
      </c>
      <c r="D18" s="35" t="s">
        <v>1216</v>
      </c>
      <c r="E18" s="35" t="s">
        <v>1217</v>
      </c>
      <c r="F18" s="8"/>
      <c r="G18" s="8"/>
      <c r="H18" s="8"/>
      <c r="I18" s="8"/>
      <c r="J18" s="8"/>
    </row>
    <row r="19" spans="1:10" ht="39.950000000000003" customHeight="1">
      <c r="A19" s="48" t="s">
        <v>49</v>
      </c>
      <c r="B19" s="48" t="s">
        <v>844</v>
      </c>
      <c r="C19" s="48" t="s">
        <v>1218</v>
      </c>
      <c r="D19" s="48" t="s">
        <v>57</v>
      </c>
      <c r="E19" s="48" t="s">
        <v>87</v>
      </c>
      <c r="F19" s="8"/>
      <c r="G19" s="8"/>
      <c r="H19" s="8"/>
      <c r="I19" s="8"/>
      <c r="J19" s="8"/>
    </row>
    <row r="20" spans="1:10" ht="39.950000000000003" customHeight="1">
      <c r="A20" s="48" t="s">
        <v>1219</v>
      </c>
      <c r="B20" s="48" t="s">
        <v>926</v>
      </c>
      <c r="C20" s="48" t="s">
        <v>1220</v>
      </c>
      <c r="D20" s="48" t="s">
        <v>57</v>
      </c>
      <c r="E20" s="48" t="s">
        <v>1213</v>
      </c>
      <c r="F20" s="8"/>
      <c r="G20" s="8"/>
      <c r="H20" s="8"/>
      <c r="I20" s="8"/>
      <c r="J20" s="8"/>
    </row>
    <row r="21" spans="1:10" ht="39.950000000000003" customHeight="1">
      <c r="A21" s="48" t="s">
        <v>1221</v>
      </c>
      <c r="B21" s="48" t="s">
        <v>1102</v>
      </c>
      <c r="C21" s="48" t="s">
        <v>1222</v>
      </c>
      <c r="D21" s="48" t="s">
        <v>1182</v>
      </c>
      <c r="E21" s="48" t="s">
        <v>57</v>
      </c>
      <c r="F21" s="8"/>
      <c r="G21" s="8"/>
      <c r="H21" s="8"/>
      <c r="I21" s="8"/>
      <c r="J21" s="8"/>
    </row>
    <row r="22" spans="1:10" ht="39.950000000000003" customHeight="1">
      <c r="A22" s="48" t="s">
        <v>1223</v>
      </c>
      <c r="B22" s="48" t="s">
        <v>1204</v>
      </c>
      <c r="C22" s="48" t="s">
        <v>1224</v>
      </c>
      <c r="D22" s="48" t="s">
        <v>57</v>
      </c>
      <c r="E22" s="48" t="s">
        <v>87</v>
      </c>
      <c r="F22" s="8"/>
      <c r="G22" s="8"/>
      <c r="H22" s="8"/>
      <c r="I22" s="8"/>
      <c r="J22" s="8"/>
    </row>
    <row r="23" spans="1:10">
      <c r="A23" s="8"/>
      <c r="B23" s="8"/>
      <c r="C23" s="8"/>
      <c r="D23" s="8"/>
      <c r="E23" s="8"/>
      <c r="F23" s="8"/>
      <c r="G23" s="8"/>
      <c r="H23" s="8"/>
      <c r="I23" s="8"/>
      <c r="J23" s="8"/>
    </row>
    <row r="24" spans="1:10" ht="15.75" customHeight="1">
      <c r="A24" s="123" t="s">
        <v>1225</v>
      </c>
      <c r="B24" s="93"/>
      <c r="C24" s="93"/>
      <c r="D24" s="93"/>
      <c r="E24" s="93"/>
      <c r="F24" s="93"/>
      <c r="G24" s="93"/>
      <c r="H24" s="8"/>
      <c r="I24" s="8"/>
      <c r="J24" s="8"/>
    </row>
    <row r="25" spans="1:10" ht="24.95" customHeight="1">
      <c r="A25" s="130" t="s">
        <v>1226</v>
      </c>
      <c r="B25" s="93"/>
      <c r="C25" s="93"/>
      <c r="D25" s="93"/>
      <c r="E25" s="93"/>
      <c r="F25" s="93"/>
      <c r="G25" s="93"/>
      <c r="H25" s="8"/>
      <c r="I25" s="8"/>
      <c r="J25" s="8"/>
    </row>
    <row r="26" spans="1:10" ht="24.95" customHeight="1">
      <c r="A26" s="130" t="s">
        <v>1227</v>
      </c>
      <c r="B26" s="93"/>
      <c r="C26" s="93"/>
      <c r="D26" s="93"/>
      <c r="E26" s="93"/>
      <c r="F26" s="93"/>
      <c r="G26" s="93"/>
      <c r="H26" s="8"/>
      <c r="I26" s="8"/>
      <c r="J26" s="8"/>
    </row>
    <row r="27" spans="1:10" ht="24.95" customHeight="1">
      <c r="A27" s="130" t="s">
        <v>1228</v>
      </c>
      <c r="B27" s="93"/>
      <c r="C27" s="93"/>
      <c r="D27" s="93"/>
      <c r="E27" s="93"/>
      <c r="F27" s="93"/>
      <c r="G27" s="93"/>
      <c r="H27" s="8"/>
      <c r="I27" s="8"/>
      <c r="J27" s="8"/>
    </row>
    <row r="28" spans="1:10" ht="24.95" customHeight="1">
      <c r="A28" s="130" t="s">
        <v>1229</v>
      </c>
      <c r="B28" s="93"/>
      <c r="C28" s="93"/>
      <c r="D28" s="93"/>
      <c r="E28" s="93"/>
      <c r="F28" s="93"/>
      <c r="G28" s="93"/>
      <c r="H28" s="8"/>
      <c r="I28" s="8"/>
      <c r="J28" s="8"/>
    </row>
    <row r="29" spans="1:10" ht="24.95" customHeight="1">
      <c r="A29" s="130" t="s">
        <v>1230</v>
      </c>
      <c r="B29" s="93"/>
      <c r="C29" s="93"/>
      <c r="D29" s="93"/>
      <c r="E29" s="93"/>
      <c r="F29" s="93"/>
      <c r="G29" s="93"/>
      <c r="H29" s="8"/>
      <c r="I29" s="8"/>
      <c r="J29" s="8"/>
    </row>
    <row r="30" spans="1:10" ht="24.95" customHeight="1">
      <c r="A30" s="130" t="s">
        <v>1231</v>
      </c>
      <c r="B30" s="93"/>
      <c r="C30" s="93"/>
      <c r="D30" s="93"/>
      <c r="E30" s="93"/>
      <c r="F30" s="93"/>
      <c r="G30" s="93"/>
      <c r="H30" s="8"/>
      <c r="I30" s="8"/>
      <c r="J30" s="8"/>
    </row>
    <row r="31" spans="1:10" ht="24.95" customHeight="1">
      <c r="A31" s="130" t="s">
        <v>1232</v>
      </c>
      <c r="B31" s="93"/>
      <c r="C31" s="93"/>
      <c r="D31" s="93"/>
      <c r="E31" s="93"/>
      <c r="F31" s="93"/>
      <c r="G31" s="93"/>
      <c r="H31" s="8"/>
      <c r="I31" s="8"/>
      <c r="J31" s="8"/>
    </row>
    <row r="32" spans="1:10" ht="24.95" customHeight="1">
      <c r="A32" s="130" t="s">
        <v>1233</v>
      </c>
      <c r="B32" s="93"/>
      <c r="C32" s="93"/>
      <c r="D32" s="93"/>
      <c r="E32" s="93"/>
      <c r="F32" s="93"/>
      <c r="G32" s="93"/>
      <c r="H32" s="8"/>
      <c r="I32" s="8"/>
      <c r="J32" s="8"/>
    </row>
    <row r="33" spans="1:10" ht="24.95" customHeight="1">
      <c r="A33" s="130" t="s">
        <v>1234</v>
      </c>
      <c r="B33" s="93"/>
      <c r="C33" s="93"/>
      <c r="D33" s="93"/>
      <c r="E33" s="93"/>
      <c r="F33" s="93"/>
      <c r="G33" s="93"/>
      <c r="H33" s="8"/>
      <c r="I33" s="8"/>
      <c r="J33" s="8"/>
    </row>
    <row r="34" spans="1:10" ht="24.95" customHeight="1">
      <c r="A34" s="130" t="s">
        <v>1235</v>
      </c>
      <c r="B34" s="93"/>
      <c r="C34" s="93"/>
      <c r="D34" s="93"/>
      <c r="E34" s="93"/>
      <c r="F34" s="93"/>
      <c r="G34" s="93"/>
      <c r="H34" s="8"/>
      <c r="I34" s="8"/>
      <c r="J34" s="8"/>
    </row>
  </sheetData>
  <mergeCells count="20">
    <mergeCell ref="A1:G1"/>
    <mergeCell ref="A6:G6"/>
    <mergeCell ref="A25:G25"/>
    <mergeCell ref="A27:G27"/>
    <mergeCell ref="A26:G26"/>
    <mergeCell ref="B4:C4"/>
    <mergeCell ref="B2:C2"/>
    <mergeCell ref="A31:G31"/>
    <mergeCell ref="A34:G34"/>
    <mergeCell ref="A24:G24"/>
    <mergeCell ref="A30:G30"/>
    <mergeCell ref="F2:G2"/>
    <mergeCell ref="A33:G33"/>
    <mergeCell ref="A32:G32"/>
    <mergeCell ref="F4:G4"/>
    <mergeCell ref="A17:G17"/>
    <mergeCell ref="B3:C3"/>
    <mergeCell ref="A29:G29"/>
    <mergeCell ref="A28:G28"/>
    <mergeCell ref="F3:G3"/>
  </mergeCells>
  <pageMargins left="0.75" right="0.75" top="1" bottom="1" header="0.5" footer="0.5"/>
  <pageSetup paperSize="0" orientation="portrait" horizontalDpi="0" verticalDpi="0" copie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22"/>
  <dimension ref="A1:J100"/>
  <sheetViews>
    <sheetView workbookViewId="0"/>
  </sheetViews>
  <sheetFormatPr baseColWidth="10" defaultColWidth="9.140625" defaultRowHeight="15"/>
  <cols>
    <col min="2" max="2" width="13" bestFit="1" customWidth="1"/>
    <col min="3" max="3" width="50.7109375" customWidth="1"/>
  </cols>
  <sheetData>
    <row r="1" spans="1:10">
      <c r="A1" s="8"/>
      <c r="B1" s="8"/>
      <c r="C1" s="8"/>
      <c r="D1" s="8"/>
      <c r="E1" s="8"/>
      <c r="F1" s="8"/>
      <c r="G1" s="8"/>
      <c r="H1" s="8"/>
      <c r="I1" s="8"/>
      <c r="J1" s="8"/>
    </row>
    <row r="2" spans="1:10" ht="21" customHeight="1">
      <c r="A2" s="8"/>
      <c r="B2" s="132" t="s">
        <v>1236</v>
      </c>
      <c r="C2" s="93"/>
      <c r="D2" s="93"/>
      <c r="E2" s="93"/>
      <c r="F2" s="93"/>
      <c r="G2" s="93"/>
      <c r="H2" s="8"/>
      <c r="I2" s="8"/>
      <c r="J2" s="8"/>
    </row>
    <row r="3" spans="1:10" ht="18.75" customHeight="1">
      <c r="A3" s="8"/>
      <c r="B3" s="131" t="s">
        <v>1237</v>
      </c>
      <c r="C3" s="93"/>
      <c r="D3" s="93"/>
      <c r="E3" s="93"/>
      <c r="F3" s="93"/>
      <c r="G3" s="93"/>
      <c r="H3" s="8"/>
      <c r="I3" s="8"/>
      <c r="J3" s="8"/>
    </row>
    <row r="4" spans="1:10">
      <c r="A4" s="8"/>
      <c r="B4" s="8"/>
      <c r="C4" s="8"/>
      <c r="D4" s="8"/>
      <c r="E4" s="8"/>
      <c r="F4" s="8"/>
      <c r="G4" s="8"/>
      <c r="H4" s="8"/>
      <c r="I4" s="8"/>
      <c r="J4" s="8"/>
    </row>
    <row r="5" spans="1:10">
      <c r="A5" s="8"/>
      <c r="B5" s="8"/>
      <c r="C5" s="8"/>
      <c r="D5" s="8"/>
      <c r="E5" s="8"/>
      <c r="F5" s="8"/>
      <c r="G5" s="8"/>
      <c r="H5" s="8"/>
      <c r="I5" s="8"/>
      <c r="J5" s="8"/>
    </row>
    <row r="6" spans="1:10">
      <c r="A6" s="8"/>
      <c r="B6" s="60" t="s">
        <v>54</v>
      </c>
      <c r="C6" s="8"/>
      <c r="D6" s="8"/>
      <c r="E6" s="8"/>
      <c r="F6" s="8"/>
      <c r="G6" s="8"/>
      <c r="H6" s="8"/>
      <c r="I6" s="8"/>
      <c r="J6" s="8"/>
    </row>
    <row r="7" spans="1:10">
      <c r="A7" s="8"/>
      <c r="B7" s="60" t="s">
        <v>48</v>
      </c>
      <c r="C7" s="8" t="s">
        <v>49</v>
      </c>
      <c r="D7" s="8"/>
      <c r="E7" s="8"/>
      <c r="F7" s="8"/>
      <c r="G7" s="8"/>
      <c r="H7" s="8"/>
      <c r="I7" s="8"/>
      <c r="J7" s="8"/>
    </row>
    <row r="8" spans="1:10">
      <c r="A8" s="8"/>
      <c r="B8" s="60" t="s">
        <v>583</v>
      </c>
      <c r="C8" s="8" t="s">
        <v>51</v>
      </c>
      <c r="D8" s="8"/>
      <c r="E8" s="8"/>
      <c r="F8" s="8"/>
      <c r="G8" s="8"/>
      <c r="H8" s="8"/>
      <c r="I8" s="8"/>
      <c r="J8" s="8"/>
    </row>
    <row r="9" spans="1:10">
      <c r="A9" s="8"/>
      <c r="B9" s="60" t="s">
        <v>584</v>
      </c>
      <c r="C9" s="8"/>
      <c r="D9" s="8"/>
      <c r="E9" s="8"/>
      <c r="F9" s="8"/>
      <c r="G9" s="8"/>
      <c r="H9" s="8"/>
      <c r="I9" s="8"/>
      <c r="J9" s="8"/>
    </row>
    <row r="10" spans="1:10">
      <c r="A10" s="8"/>
      <c r="B10" s="60" t="s">
        <v>60</v>
      </c>
      <c r="C10" s="8" t="s">
        <v>1238</v>
      </c>
      <c r="D10" s="8"/>
      <c r="E10" s="8"/>
      <c r="F10" s="8"/>
      <c r="G10" s="8"/>
      <c r="H10" s="8"/>
      <c r="I10" s="8"/>
      <c r="J10" s="8"/>
    </row>
    <row r="11" spans="1:10">
      <c r="A11" s="8"/>
      <c r="B11" s="8"/>
      <c r="C11" s="8"/>
      <c r="D11" s="8"/>
      <c r="E11" s="8"/>
      <c r="F11" s="8"/>
      <c r="G11" s="8"/>
      <c r="H11" s="8"/>
      <c r="I11" s="8"/>
      <c r="J11" s="8"/>
    </row>
    <row r="12" spans="1:10">
      <c r="A12" s="8"/>
      <c r="B12" s="60" t="s">
        <v>1239</v>
      </c>
      <c r="C12" s="8"/>
      <c r="D12" s="8"/>
      <c r="E12" s="8"/>
      <c r="F12" s="8"/>
      <c r="G12" s="8"/>
      <c r="H12" s="8"/>
      <c r="I12" s="8"/>
      <c r="J12" s="8"/>
    </row>
    <row r="13" spans="1:10">
      <c r="A13" s="8"/>
      <c r="B13" s="8"/>
      <c r="C13" s="8" t="s">
        <v>1240</v>
      </c>
      <c r="D13" s="8"/>
      <c r="E13" s="8"/>
      <c r="F13" s="8"/>
      <c r="G13" s="8"/>
      <c r="H13" s="8"/>
      <c r="I13" s="8"/>
      <c r="J13" s="8"/>
    </row>
    <row r="14" spans="1:10">
      <c r="A14" s="8"/>
      <c r="B14" s="8"/>
      <c r="C14" s="8" t="s">
        <v>1241</v>
      </c>
      <c r="D14" s="8"/>
      <c r="E14" s="8"/>
      <c r="F14" s="8"/>
      <c r="G14" s="8"/>
      <c r="H14" s="8"/>
      <c r="I14" s="8"/>
      <c r="J14" s="8"/>
    </row>
    <row r="15" spans="1:10">
      <c r="A15" s="8"/>
      <c r="B15" s="8"/>
      <c r="C15" s="8" t="s">
        <v>1242</v>
      </c>
      <c r="D15" s="8"/>
      <c r="E15" s="8"/>
      <c r="F15" s="8"/>
      <c r="G15" s="8"/>
      <c r="H15" s="8"/>
      <c r="I15" s="8"/>
      <c r="J15" s="8"/>
    </row>
    <row r="16" spans="1:10">
      <c r="A16" s="8"/>
      <c r="B16" s="8"/>
      <c r="C16" s="8"/>
      <c r="D16" s="8"/>
      <c r="E16" s="8"/>
      <c r="F16" s="8"/>
      <c r="G16" s="8"/>
      <c r="H16" s="8"/>
      <c r="I16" s="8"/>
      <c r="J16" s="8"/>
    </row>
    <row r="17" spans="1:10">
      <c r="A17" s="8"/>
      <c r="B17" s="8"/>
      <c r="C17" s="8"/>
      <c r="D17" s="8"/>
      <c r="E17" s="8"/>
      <c r="F17" s="8"/>
      <c r="G17" s="8"/>
      <c r="H17" s="8"/>
      <c r="I17" s="8"/>
      <c r="J17" s="8"/>
    </row>
    <row r="18" spans="1:10">
      <c r="A18" s="8"/>
      <c r="B18" s="8"/>
      <c r="C18" s="8"/>
      <c r="D18" s="8"/>
      <c r="E18" s="8"/>
      <c r="F18" s="8"/>
      <c r="G18" s="8"/>
      <c r="H18" s="8"/>
      <c r="I18" s="8"/>
      <c r="J18" s="8"/>
    </row>
    <row r="19" spans="1:10">
      <c r="A19" s="8"/>
      <c r="B19" s="8"/>
      <c r="C19" s="8"/>
      <c r="D19" s="8"/>
      <c r="E19" s="8"/>
      <c r="F19" s="8"/>
      <c r="G19" s="8"/>
      <c r="H19" s="8"/>
      <c r="I19" s="8"/>
      <c r="J19" s="8"/>
    </row>
    <row r="20" spans="1:10">
      <c r="A20" s="8"/>
      <c r="B20" s="8"/>
      <c r="C20" s="8"/>
      <c r="D20" s="8"/>
      <c r="E20" s="8"/>
      <c r="F20" s="8"/>
      <c r="G20" s="8"/>
      <c r="H20" s="8"/>
      <c r="I20" s="8"/>
      <c r="J20" s="8"/>
    </row>
    <row r="21" spans="1:10">
      <c r="A21" s="8"/>
      <c r="B21" s="8"/>
      <c r="C21" s="8"/>
      <c r="D21" s="8"/>
      <c r="E21" s="8"/>
      <c r="F21" s="8"/>
      <c r="G21" s="8"/>
      <c r="H21" s="8"/>
      <c r="I21" s="8"/>
      <c r="J21" s="8"/>
    </row>
    <row r="22" spans="1:10">
      <c r="A22" s="8"/>
      <c r="B22" s="8"/>
      <c r="C22" s="8"/>
      <c r="D22" s="8"/>
      <c r="E22" s="8"/>
      <c r="F22" s="8"/>
      <c r="G22" s="8"/>
      <c r="H22" s="8"/>
      <c r="I22" s="8"/>
      <c r="J22" s="8"/>
    </row>
    <row r="23" spans="1:10">
      <c r="A23" s="8"/>
      <c r="B23" s="8"/>
      <c r="C23" s="8"/>
      <c r="D23" s="8"/>
      <c r="E23" s="8"/>
      <c r="F23" s="8"/>
      <c r="G23" s="8"/>
      <c r="H23" s="8"/>
      <c r="I23" s="8"/>
      <c r="J23" s="8"/>
    </row>
    <row r="24" spans="1:10">
      <c r="A24" s="8"/>
      <c r="B24" s="8"/>
      <c r="C24" s="8"/>
      <c r="D24" s="8"/>
      <c r="E24" s="8"/>
      <c r="F24" s="8"/>
      <c r="G24" s="8"/>
      <c r="H24" s="8"/>
      <c r="I24" s="8"/>
      <c r="J24" s="8"/>
    </row>
    <row r="25" spans="1:10">
      <c r="A25" s="8"/>
      <c r="B25" s="8"/>
      <c r="C25" s="8"/>
      <c r="D25" s="8"/>
      <c r="E25" s="8"/>
      <c r="F25" s="8"/>
      <c r="G25" s="8"/>
      <c r="H25" s="8"/>
      <c r="I25" s="8"/>
      <c r="J25" s="8"/>
    </row>
    <row r="26" spans="1:10">
      <c r="A26" s="8"/>
      <c r="B26" s="8"/>
      <c r="C26" s="8"/>
      <c r="D26" s="8"/>
      <c r="E26" s="8"/>
      <c r="F26" s="8"/>
      <c r="G26" s="8"/>
      <c r="H26" s="8"/>
      <c r="I26" s="8"/>
      <c r="J26" s="8"/>
    </row>
    <row r="27" spans="1:10">
      <c r="A27" s="8"/>
      <c r="B27" s="8"/>
      <c r="C27" s="8"/>
      <c r="D27" s="8"/>
      <c r="E27" s="8"/>
      <c r="F27" s="8"/>
      <c r="G27" s="8"/>
      <c r="H27" s="8"/>
      <c r="I27" s="8"/>
      <c r="J27" s="8"/>
    </row>
    <row r="28" spans="1:10">
      <c r="A28" s="8"/>
      <c r="B28" s="8"/>
      <c r="C28" s="8"/>
      <c r="D28" s="8"/>
      <c r="E28" s="8"/>
      <c r="F28" s="8"/>
      <c r="G28" s="8"/>
      <c r="H28" s="8"/>
      <c r="I28" s="8"/>
      <c r="J28" s="8"/>
    </row>
    <row r="29" spans="1:10">
      <c r="A29" s="8"/>
      <c r="B29" s="8"/>
      <c r="C29" s="8"/>
      <c r="D29" s="8"/>
      <c r="E29" s="8"/>
      <c r="F29" s="8"/>
      <c r="G29" s="8"/>
      <c r="H29" s="8"/>
      <c r="I29" s="8"/>
      <c r="J29" s="8"/>
    </row>
    <row r="30" spans="1:10">
      <c r="A30" s="8"/>
      <c r="B30" s="8"/>
      <c r="C30" s="8"/>
      <c r="D30" s="8"/>
      <c r="E30" s="8"/>
      <c r="F30" s="8"/>
      <c r="G30" s="8"/>
      <c r="H30" s="8"/>
      <c r="I30" s="8"/>
      <c r="J30" s="8"/>
    </row>
    <row r="31" spans="1:10">
      <c r="A31" s="8"/>
      <c r="B31" s="8"/>
      <c r="C31" s="8"/>
      <c r="D31" s="8"/>
      <c r="E31" s="8"/>
      <c r="F31" s="8"/>
      <c r="G31" s="8"/>
      <c r="H31" s="8"/>
      <c r="I31" s="8"/>
      <c r="J31" s="8"/>
    </row>
    <row r="32" spans="1:10">
      <c r="A32" s="8"/>
      <c r="B32" s="8"/>
      <c r="C32" s="8"/>
      <c r="D32" s="8"/>
      <c r="E32" s="8"/>
      <c r="F32" s="8"/>
      <c r="G32" s="8"/>
      <c r="H32" s="8"/>
      <c r="I32" s="8"/>
      <c r="J32" s="8"/>
    </row>
    <row r="33" spans="1:10">
      <c r="A33" s="8"/>
      <c r="B33" s="8"/>
      <c r="C33" s="8"/>
      <c r="D33" s="8"/>
      <c r="E33" s="8"/>
      <c r="F33" s="8"/>
      <c r="G33" s="8"/>
      <c r="H33" s="8"/>
      <c r="I33" s="8"/>
      <c r="J33" s="8"/>
    </row>
    <row r="34" spans="1:10">
      <c r="A34" s="8"/>
      <c r="B34" s="8"/>
      <c r="C34" s="8"/>
      <c r="D34" s="8"/>
      <c r="E34" s="8"/>
      <c r="F34" s="8"/>
      <c r="G34" s="8"/>
      <c r="H34" s="8"/>
      <c r="I34" s="8"/>
      <c r="J34" s="8"/>
    </row>
    <row r="35" spans="1:10">
      <c r="A35" s="8"/>
      <c r="B35" s="8"/>
      <c r="C35" s="8"/>
      <c r="D35" s="8"/>
      <c r="E35" s="8"/>
      <c r="F35" s="8"/>
      <c r="G35" s="8"/>
      <c r="H35" s="8"/>
      <c r="I35" s="8"/>
      <c r="J35" s="8"/>
    </row>
    <row r="36" spans="1:10">
      <c r="A36" s="8"/>
      <c r="B36" s="8"/>
      <c r="C36" s="8"/>
      <c r="D36" s="8"/>
      <c r="E36" s="8"/>
      <c r="F36" s="8"/>
      <c r="G36" s="8"/>
      <c r="H36" s="8"/>
      <c r="I36" s="8"/>
      <c r="J36" s="8"/>
    </row>
    <row r="37" spans="1:10">
      <c r="A37" s="8"/>
      <c r="B37" s="8"/>
      <c r="C37" s="8"/>
      <c r="D37" s="8"/>
      <c r="E37" s="8"/>
      <c r="F37" s="8"/>
      <c r="G37" s="8"/>
      <c r="H37" s="8"/>
      <c r="I37" s="8"/>
      <c r="J37" s="8"/>
    </row>
    <row r="38" spans="1:10">
      <c r="A38" s="8"/>
      <c r="B38" s="8"/>
      <c r="C38" s="8"/>
      <c r="D38" s="8"/>
      <c r="E38" s="8"/>
      <c r="F38" s="8"/>
      <c r="G38" s="8"/>
      <c r="H38" s="8"/>
      <c r="I38" s="8"/>
      <c r="J38" s="8"/>
    </row>
    <row r="39" spans="1:10">
      <c r="A39" s="8"/>
      <c r="B39" s="8"/>
      <c r="C39" s="8"/>
      <c r="D39" s="8"/>
      <c r="E39" s="8"/>
      <c r="F39" s="8"/>
      <c r="G39" s="8"/>
      <c r="H39" s="8"/>
      <c r="I39" s="8"/>
      <c r="J39" s="8"/>
    </row>
    <row r="40" spans="1:10">
      <c r="A40" s="8"/>
      <c r="B40" s="8"/>
      <c r="C40" s="8"/>
      <c r="D40" s="8"/>
      <c r="E40" s="8"/>
      <c r="F40" s="8"/>
      <c r="G40" s="8"/>
      <c r="H40" s="8"/>
      <c r="I40" s="8"/>
      <c r="J40" s="8"/>
    </row>
    <row r="41" spans="1:10">
      <c r="A41" s="8"/>
      <c r="B41" s="8"/>
      <c r="C41" s="8"/>
      <c r="D41" s="8"/>
      <c r="E41" s="8"/>
      <c r="F41" s="8"/>
      <c r="G41" s="8"/>
      <c r="H41" s="8"/>
      <c r="I41" s="8"/>
      <c r="J41" s="8"/>
    </row>
    <row r="42" spans="1:10">
      <c r="A42" s="8"/>
      <c r="B42" s="8"/>
      <c r="C42" s="8"/>
      <c r="D42" s="8"/>
      <c r="E42" s="8"/>
      <c r="F42" s="8"/>
      <c r="G42" s="8"/>
      <c r="H42" s="8"/>
      <c r="I42" s="8"/>
      <c r="J42" s="8"/>
    </row>
    <row r="43" spans="1:10">
      <c r="A43" s="8"/>
      <c r="B43" s="8"/>
      <c r="C43" s="8"/>
      <c r="D43" s="8"/>
      <c r="E43" s="8"/>
      <c r="F43" s="8"/>
      <c r="G43" s="8"/>
      <c r="H43" s="8"/>
      <c r="I43" s="8"/>
      <c r="J43" s="8"/>
    </row>
    <row r="44" spans="1:10">
      <c r="A44" s="8"/>
      <c r="B44" s="8"/>
      <c r="C44" s="8"/>
      <c r="D44" s="8"/>
      <c r="E44" s="8"/>
      <c r="F44" s="8"/>
      <c r="G44" s="8"/>
      <c r="H44" s="8"/>
      <c r="I44" s="8"/>
      <c r="J44" s="8"/>
    </row>
    <row r="45" spans="1:10">
      <c r="A45" s="8"/>
      <c r="B45" s="8"/>
      <c r="C45" s="8"/>
      <c r="D45" s="8"/>
      <c r="E45" s="8"/>
      <c r="F45" s="8"/>
      <c r="G45" s="8"/>
      <c r="H45" s="8"/>
      <c r="I45" s="8"/>
      <c r="J45" s="8"/>
    </row>
    <row r="46" spans="1:10">
      <c r="A46" s="8"/>
      <c r="B46" s="8"/>
      <c r="C46" s="8"/>
      <c r="D46" s="8"/>
      <c r="E46" s="8"/>
      <c r="F46" s="8"/>
      <c r="G46" s="8"/>
      <c r="H46" s="8"/>
      <c r="I46" s="8"/>
      <c r="J46" s="8"/>
    </row>
    <row r="47" spans="1:10">
      <c r="A47" s="8"/>
      <c r="B47" s="8"/>
      <c r="C47" s="8"/>
      <c r="D47" s="8"/>
      <c r="E47" s="8"/>
      <c r="F47" s="8"/>
      <c r="G47" s="8"/>
      <c r="H47" s="8"/>
      <c r="I47" s="8"/>
      <c r="J47" s="8"/>
    </row>
    <row r="48" spans="1:10">
      <c r="A48" s="8"/>
      <c r="B48" s="8"/>
      <c r="C48" s="8"/>
      <c r="D48" s="8"/>
      <c r="E48" s="8"/>
      <c r="F48" s="8"/>
      <c r="G48" s="8"/>
      <c r="H48" s="8"/>
      <c r="I48" s="8"/>
      <c r="J48" s="8"/>
    </row>
    <row r="49" spans="1:10">
      <c r="A49" s="8"/>
      <c r="B49" s="8"/>
      <c r="C49" s="8"/>
      <c r="D49" s="8"/>
      <c r="E49" s="8"/>
      <c r="F49" s="8"/>
      <c r="G49" s="8"/>
      <c r="H49" s="8"/>
      <c r="I49" s="8"/>
      <c r="J49" s="8"/>
    </row>
    <row r="50" spans="1:10">
      <c r="A50" s="8"/>
      <c r="B50" s="8"/>
      <c r="C50" s="8"/>
      <c r="D50" s="8"/>
      <c r="E50" s="8"/>
      <c r="F50" s="8"/>
      <c r="G50" s="8"/>
      <c r="H50" s="8"/>
      <c r="I50" s="8"/>
      <c r="J50" s="8"/>
    </row>
    <row r="51" spans="1:10">
      <c r="A51" s="8"/>
      <c r="B51" s="8"/>
      <c r="C51" s="8"/>
      <c r="D51" s="8"/>
      <c r="E51" s="8"/>
      <c r="F51" s="8"/>
      <c r="G51" s="8"/>
      <c r="H51" s="8"/>
      <c r="I51" s="8"/>
      <c r="J51" s="8"/>
    </row>
    <row r="52" spans="1:10">
      <c r="A52" s="8"/>
      <c r="B52" s="8"/>
      <c r="C52" s="8"/>
      <c r="D52" s="8"/>
      <c r="E52" s="8"/>
      <c r="F52" s="8"/>
      <c r="G52" s="8"/>
      <c r="H52" s="8"/>
      <c r="I52" s="8"/>
      <c r="J52" s="8"/>
    </row>
    <row r="53" spans="1:10">
      <c r="A53" s="8"/>
      <c r="B53" s="8"/>
      <c r="C53" s="8"/>
      <c r="D53" s="8"/>
      <c r="E53" s="8"/>
      <c r="F53" s="8"/>
      <c r="G53" s="8"/>
      <c r="H53" s="8"/>
      <c r="I53" s="8"/>
      <c r="J53" s="8"/>
    </row>
    <row r="54" spans="1:10">
      <c r="A54" s="8"/>
      <c r="B54" s="8"/>
      <c r="C54" s="8"/>
      <c r="D54" s="8"/>
      <c r="E54" s="8"/>
      <c r="F54" s="8"/>
      <c r="G54" s="8"/>
      <c r="H54" s="8"/>
      <c r="I54" s="8"/>
      <c r="J54" s="8"/>
    </row>
    <row r="55" spans="1:10">
      <c r="A55" s="8"/>
      <c r="B55" s="8"/>
      <c r="C55" s="8"/>
      <c r="D55" s="8"/>
      <c r="E55" s="8"/>
      <c r="F55" s="8"/>
      <c r="G55" s="8"/>
      <c r="H55" s="8"/>
      <c r="I55" s="8"/>
      <c r="J55" s="8"/>
    </row>
    <row r="56" spans="1:10">
      <c r="A56" s="8"/>
      <c r="B56" s="8"/>
      <c r="C56" s="8"/>
      <c r="D56" s="8"/>
      <c r="E56" s="8"/>
      <c r="F56" s="8"/>
      <c r="G56" s="8"/>
      <c r="H56" s="8"/>
      <c r="I56" s="8"/>
      <c r="J56" s="8"/>
    </row>
    <row r="57" spans="1:10">
      <c r="A57" s="8"/>
      <c r="B57" s="8"/>
      <c r="C57" s="8"/>
      <c r="D57" s="8"/>
      <c r="E57" s="8"/>
      <c r="F57" s="8"/>
      <c r="G57" s="8"/>
      <c r="H57" s="8"/>
      <c r="I57" s="8"/>
      <c r="J57" s="8"/>
    </row>
    <row r="58" spans="1:10">
      <c r="A58" s="8"/>
      <c r="B58" s="8"/>
      <c r="C58" s="8"/>
      <c r="D58" s="8"/>
      <c r="E58" s="8"/>
      <c r="F58" s="8"/>
      <c r="G58" s="8"/>
      <c r="H58" s="8"/>
      <c r="I58" s="8"/>
      <c r="J58" s="8"/>
    </row>
    <row r="59" spans="1:10">
      <c r="A59" s="8"/>
      <c r="B59" s="8"/>
      <c r="C59" s="8"/>
      <c r="D59" s="8"/>
      <c r="E59" s="8"/>
      <c r="F59" s="8"/>
      <c r="G59" s="8"/>
      <c r="H59" s="8"/>
      <c r="I59" s="8"/>
      <c r="J59" s="8"/>
    </row>
    <row r="60" spans="1:10">
      <c r="A60" s="8"/>
      <c r="B60" s="8"/>
      <c r="C60" s="8"/>
      <c r="D60" s="8"/>
      <c r="E60" s="8"/>
      <c r="F60" s="8"/>
      <c r="G60" s="8"/>
      <c r="H60" s="8"/>
      <c r="I60" s="8"/>
      <c r="J60" s="8"/>
    </row>
    <row r="61" spans="1:10">
      <c r="A61" s="8"/>
      <c r="B61" s="8"/>
      <c r="C61" s="8"/>
      <c r="D61" s="8"/>
      <c r="E61" s="8"/>
      <c r="F61" s="8"/>
      <c r="G61" s="8"/>
      <c r="H61" s="8"/>
      <c r="I61" s="8"/>
      <c r="J61" s="8"/>
    </row>
    <row r="62" spans="1:10">
      <c r="A62" s="8"/>
      <c r="B62" s="8"/>
      <c r="C62" s="8"/>
      <c r="D62" s="8"/>
      <c r="E62" s="8"/>
      <c r="F62" s="8"/>
      <c r="G62" s="8"/>
      <c r="H62" s="8"/>
      <c r="I62" s="8"/>
      <c r="J62" s="8"/>
    </row>
    <row r="63" spans="1:10">
      <c r="A63" s="8"/>
      <c r="B63" s="8"/>
      <c r="C63" s="8"/>
      <c r="D63" s="8"/>
      <c r="E63" s="8"/>
      <c r="F63" s="8"/>
      <c r="G63" s="8"/>
      <c r="H63" s="8"/>
      <c r="I63" s="8"/>
      <c r="J63" s="8"/>
    </row>
    <row r="64" spans="1:10">
      <c r="A64" s="8"/>
      <c r="B64" s="8"/>
      <c r="C64" s="8"/>
      <c r="D64" s="8"/>
      <c r="E64" s="8"/>
      <c r="F64" s="8"/>
      <c r="G64" s="8"/>
      <c r="H64" s="8"/>
      <c r="I64" s="8"/>
      <c r="J64" s="8"/>
    </row>
    <row r="65" spans="1:10">
      <c r="A65" s="8"/>
      <c r="B65" s="8"/>
      <c r="C65" s="8"/>
      <c r="D65" s="8"/>
      <c r="E65" s="8"/>
      <c r="F65" s="8"/>
      <c r="G65" s="8"/>
      <c r="H65" s="8"/>
      <c r="I65" s="8"/>
      <c r="J65" s="8"/>
    </row>
    <row r="66" spans="1:10">
      <c r="A66" s="8"/>
      <c r="B66" s="8"/>
      <c r="C66" s="8"/>
      <c r="D66" s="8"/>
      <c r="E66" s="8"/>
      <c r="F66" s="8"/>
      <c r="G66" s="8"/>
      <c r="H66" s="8"/>
      <c r="I66" s="8"/>
      <c r="J66" s="8"/>
    </row>
    <row r="67" spans="1:10">
      <c r="A67" s="8"/>
      <c r="B67" s="8"/>
      <c r="C67" s="8"/>
      <c r="D67" s="8"/>
      <c r="E67" s="8"/>
      <c r="F67" s="8"/>
      <c r="G67" s="8"/>
      <c r="H67" s="8"/>
      <c r="I67" s="8"/>
      <c r="J67" s="8"/>
    </row>
    <row r="68" spans="1:10">
      <c r="A68" s="8"/>
      <c r="B68" s="8"/>
      <c r="C68" s="8"/>
      <c r="D68" s="8"/>
      <c r="E68" s="8"/>
      <c r="F68" s="8"/>
      <c r="G68" s="8"/>
      <c r="H68" s="8"/>
      <c r="I68" s="8"/>
      <c r="J68" s="8"/>
    </row>
    <row r="69" spans="1:10">
      <c r="A69" s="8"/>
      <c r="B69" s="8"/>
      <c r="C69" s="8"/>
      <c r="D69" s="8"/>
      <c r="E69" s="8"/>
      <c r="F69" s="8"/>
      <c r="G69" s="8"/>
      <c r="H69" s="8"/>
      <c r="I69" s="8"/>
      <c r="J69" s="8"/>
    </row>
    <row r="70" spans="1:10">
      <c r="A70" s="8"/>
      <c r="B70" s="8"/>
      <c r="C70" s="8"/>
      <c r="D70" s="8"/>
      <c r="E70" s="8"/>
      <c r="F70" s="8"/>
      <c r="G70" s="8"/>
      <c r="H70" s="8"/>
      <c r="I70" s="8"/>
      <c r="J70" s="8"/>
    </row>
    <row r="71" spans="1:10">
      <c r="A71" s="8"/>
      <c r="B71" s="8"/>
      <c r="C71" s="8"/>
      <c r="D71" s="8"/>
      <c r="E71" s="8"/>
      <c r="F71" s="8"/>
      <c r="G71" s="8"/>
      <c r="H71" s="8"/>
      <c r="I71" s="8"/>
      <c r="J71" s="8"/>
    </row>
    <row r="72" spans="1:10">
      <c r="A72" s="8"/>
      <c r="B72" s="8"/>
      <c r="C72" s="8"/>
      <c r="D72" s="8"/>
      <c r="E72" s="8"/>
      <c r="F72" s="8"/>
      <c r="G72" s="8"/>
      <c r="H72" s="8"/>
      <c r="I72" s="8"/>
      <c r="J72" s="8"/>
    </row>
    <row r="73" spans="1:10">
      <c r="A73" s="8"/>
      <c r="B73" s="8"/>
      <c r="C73" s="8"/>
      <c r="D73" s="8"/>
      <c r="E73" s="8"/>
      <c r="F73" s="8"/>
      <c r="G73" s="8"/>
      <c r="H73" s="8"/>
      <c r="I73" s="8"/>
      <c r="J73" s="8"/>
    </row>
    <row r="74" spans="1:10">
      <c r="A74" s="8"/>
      <c r="B74" s="8"/>
      <c r="C74" s="8"/>
      <c r="D74" s="8"/>
      <c r="E74" s="8"/>
      <c r="F74" s="8"/>
      <c r="G74" s="8"/>
      <c r="H74" s="8"/>
      <c r="I74" s="8"/>
      <c r="J74" s="8"/>
    </row>
    <row r="75" spans="1:10">
      <c r="A75" s="8"/>
      <c r="B75" s="8"/>
      <c r="C75" s="8"/>
      <c r="D75" s="8"/>
      <c r="E75" s="8"/>
      <c r="F75" s="8"/>
      <c r="G75" s="8"/>
      <c r="H75" s="8"/>
      <c r="I75" s="8"/>
      <c r="J75" s="8"/>
    </row>
    <row r="76" spans="1:10">
      <c r="A76" s="8"/>
      <c r="B76" s="8"/>
      <c r="C76" s="8"/>
      <c r="D76" s="8"/>
      <c r="E76" s="8"/>
      <c r="F76" s="8"/>
      <c r="G76" s="8"/>
      <c r="H76" s="8"/>
      <c r="I76" s="8"/>
      <c r="J76" s="8"/>
    </row>
    <row r="77" spans="1:10">
      <c r="A77" s="8"/>
      <c r="B77" s="8"/>
      <c r="C77" s="8"/>
      <c r="D77" s="8"/>
      <c r="E77" s="8"/>
      <c r="F77" s="8"/>
      <c r="G77" s="8"/>
      <c r="H77" s="8"/>
      <c r="I77" s="8"/>
      <c r="J77" s="8"/>
    </row>
    <row r="78" spans="1:10">
      <c r="A78" s="8"/>
      <c r="B78" s="8"/>
      <c r="C78" s="8"/>
      <c r="D78" s="8"/>
      <c r="E78" s="8"/>
      <c r="F78" s="8"/>
      <c r="G78" s="8"/>
      <c r="H78" s="8"/>
      <c r="I78" s="8"/>
      <c r="J78" s="8"/>
    </row>
    <row r="79" spans="1:10">
      <c r="A79" s="8"/>
      <c r="B79" s="8"/>
      <c r="C79" s="8"/>
      <c r="D79" s="8"/>
      <c r="E79" s="8"/>
      <c r="F79" s="8"/>
      <c r="G79" s="8"/>
      <c r="H79" s="8"/>
      <c r="I79" s="8"/>
      <c r="J79" s="8"/>
    </row>
    <row r="80" spans="1:10">
      <c r="A80" s="8"/>
      <c r="B80" s="8"/>
      <c r="C80" s="8"/>
      <c r="D80" s="8"/>
      <c r="E80" s="8"/>
      <c r="F80" s="8"/>
      <c r="G80" s="8"/>
      <c r="H80" s="8"/>
      <c r="I80" s="8"/>
      <c r="J80" s="8"/>
    </row>
    <row r="81" spans="1:10">
      <c r="A81" s="8"/>
      <c r="B81" s="8"/>
      <c r="C81" s="8"/>
      <c r="D81" s="8"/>
      <c r="E81" s="8"/>
      <c r="F81" s="8"/>
      <c r="G81" s="8"/>
      <c r="H81" s="8"/>
      <c r="I81" s="8"/>
      <c r="J81" s="8"/>
    </row>
    <row r="82" spans="1:10">
      <c r="A82" s="8"/>
      <c r="B82" s="8"/>
      <c r="C82" s="8"/>
      <c r="D82" s="8"/>
      <c r="E82" s="8"/>
      <c r="F82" s="8"/>
      <c r="G82" s="8"/>
      <c r="H82" s="8"/>
      <c r="I82" s="8"/>
      <c r="J82" s="8"/>
    </row>
    <row r="83" spans="1:10">
      <c r="A83" s="8"/>
      <c r="B83" s="8"/>
      <c r="C83" s="8"/>
      <c r="D83" s="8"/>
      <c r="E83" s="8"/>
      <c r="F83" s="8"/>
      <c r="G83" s="8"/>
      <c r="H83" s="8"/>
      <c r="I83" s="8"/>
      <c r="J83" s="8"/>
    </row>
    <row r="84" spans="1:10">
      <c r="A84" s="8"/>
      <c r="B84" s="8"/>
      <c r="C84" s="8"/>
      <c r="D84" s="8"/>
      <c r="E84" s="8"/>
      <c r="F84" s="8"/>
      <c r="G84" s="8"/>
      <c r="H84" s="8"/>
      <c r="I84" s="8"/>
      <c r="J84" s="8"/>
    </row>
    <row r="85" spans="1:10">
      <c r="A85" s="8"/>
      <c r="B85" s="8"/>
      <c r="C85" s="8"/>
      <c r="D85" s="8"/>
      <c r="E85" s="8"/>
      <c r="F85" s="8"/>
      <c r="G85" s="8"/>
      <c r="H85" s="8"/>
      <c r="I85" s="8"/>
      <c r="J85" s="8"/>
    </row>
    <row r="86" spans="1:10">
      <c r="A86" s="8"/>
      <c r="B86" s="8"/>
      <c r="C86" s="8"/>
      <c r="D86" s="8"/>
      <c r="E86" s="8"/>
      <c r="F86" s="8"/>
      <c r="G86" s="8"/>
      <c r="H86" s="8"/>
      <c r="I86" s="8"/>
      <c r="J86" s="8"/>
    </row>
    <row r="87" spans="1:10">
      <c r="A87" s="8"/>
      <c r="B87" s="8"/>
      <c r="C87" s="8"/>
      <c r="D87" s="8"/>
      <c r="E87" s="8"/>
      <c r="F87" s="8"/>
      <c r="G87" s="8"/>
      <c r="H87" s="8"/>
      <c r="I87" s="8"/>
      <c r="J87" s="8"/>
    </row>
    <row r="88" spans="1:10">
      <c r="A88" s="8"/>
      <c r="B88" s="8"/>
      <c r="C88" s="8"/>
      <c r="D88" s="8"/>
      <c r="E88" s="8"/>
      <c r="F88" s="8"/>
      <c r="G88" s="8"/>
      <c r="H88" s="8"/>
      <c r="I88" s="8"/>
      <c r="J88" s="8"/>
    </row>
    <row r="89" spans="1:10">
      <c r="A89" s="8"/>
      <c r="B89" s="8"/>
      <c r="C89" s="8"/>
      <c r="D89" s="8"/>
      <c r="E89" s="8"/>
      <c r="F89" s="8"/>
      <c r="G89" s="8"/>
      <c r="H89" s="8"/>
      <c r="I89" s="8"/>
      <c r="J89" s="8"/>
    </row>
    <row r="90" spans="1:10">
      <c r="A90" s="8"/>
      <c r="B90" s="8"/>
      <c r="C90" s="8"/>
      <c r="D90" s="8"/>
      <c r="E90" s="8"/>
      <c r="F90" s="8"/>
      <c r="G90" s="8"/>
      <c r="H90" s="8"/>
      <c r="I90" s="8"/>
      <c r="J90" s="8"/>
    </row>
    <row r="91" spans="1:10">
      <c r="A91" s="8"/>
      <c r="B91" s="8"/>
      <c r="C91" s="8"/>
      <c r="D91" s="8"/>
      <c r="E91" s="8"/>
      <c r="F91" s="8"/>
      <c r="G91" s="8"/>
      <c r="H91" s="8"/>
      <c r="I91" s="8"/>
      <c r="J91" s="8"/>
    </row>
    <row r="92" spans="1:10">
      <c r="A92" s="8"/>
      <c r="B92" s="8"/>
      <c r="C92" s="8"/>
      <c r="D92" s="8"/>
      <c r="E92" s="8"/>
      <c r="F92" s="8"/>
      <c r="G92" s="8"/>
      <c r="H92" s="8"/>
      <c r="I92" s="8"/>
      <c r="J92" s="8"/>
    </row>
    <row r="93" spans="1:10">
      <c r="A93" s="8"/>
      <c r="B93" s="8"/>
      <c r="C93" s="8"/>
      <c r="D93" s="8"/>
      <c r="E93" s="8"/>
      <c r="F93" s="8"/>
      <c r="G93" s="8"/>
      <c r="H93" s="8"/>
      <c r="I93" s="8"/>
      <c r="J93" s="8"/>
    </row>
    <row r="94" spans="1:10">
      <c r="A94" s="8"/>
      <c r="B94" s="8"/>
      <c r="C94" s="8"/>
      <c r="D94" s="8"/>
      <c r="E94" s="8"/>
      <c r="F94" s="8"/>
      <c r="G94" s="8"/>
      <c r="H94" s="8"/>
      <c r="I94" s="8"/>
      <c r="J94" s="8"/>
    </row>
    <row r="95" spans="1:10">
      <c r="A95" s="8"/>
      <c r="B95" s="8"/>
      <c r="C95" s="8"/>
      <c r="D95" s="8"/>
      <c r="E95" s="8"/>
      <c r="F95" s="8"/>
      <c r="G95" s="8"/>
      <c r="H95" s="8"/>
      <c r="I95" s="8"/>
      <c r="J95" s="8"/>
    </row>
    <row r="96" spans="1:10">
      <c r="A96" s="8"/>
      <c r="B96" s="8"/>
      <c r="C96" s="8"/>
      <c r="D96" s="8"/>
      <c r="E96" s="8"/>
      <c r="F96" s="8"/>
      <c r="G96" s="8"/>
      <c r="H96" s="8"/>
      <c r="I96" s="8"/>
      <c r="J96" s="8"/>
    </row>
    <row r="97" spans="1:10">
      <c r="A97" s="8"/>
      <c r="B97" s="8"/>
      <c r="C97" s="8"/>
      <c r="D97" s="8"/>
      <c r="E97" s="8"/>
      <c r="F97" s="8"/>
      <c r="G97" s="8"/>
      <c r="H97" s="8"/>
      <c r="I97" s="8"/>
      <c r="J97" s="8"/>
    </row>
    <row r="98" spans="1:10">
      <c r="A98" s="8"/>
      <c r="B98" s="8"/>
      <c r="C98" s="8"/>
      <c r="D98" s="8"/>
      <c r="E98" s="8"/>
      <c r="F98" s="8"/>
      <c r="G98" s="8"/>
      <c r="H98" s="8"/>
      <c r="I98" s="8"/>
      <c r="J98" s="8"/>
    </row>
    <row r="99" spans="1:10">
      <c r="A99" s="8"/>
      <c r="B99" s="8"/>
      <c r="C99" s="8"/>
      <c r="D99" s="8"/>
      <c r="E99" s="8"/>
      <c r="F99" s="8"/>
      <c r="G99" s="8"/>
      <c r="H99" s="8"/>
      <c r="I99" s="8"/>
      <c r="J99" s="8"/>
    </row>
    <row r="100" spans="1:10">
      <c r="A100" s="8"/>
      <c r="B100" s="8"/>
      <c r="C100" s="8"/>
      <c r="D100" s="8"/>
      <c r="E100" s="8"/>
      <c r="F100" s="8"/>
      <c r="G100" s="8"/>
      <c r="H100" s="8"/>
      <c r="I100" s="8"/>
      <c r="J100" s="8"/>
    </row>
  </sheetData>
  <mergeCells count="2">
    <mergeCell ref="B3:G3"/>
    <mergeCell ref="B2:G2"/>
  </mergeCells>
  <pageMargins left="0.75" right="0.75" top="1" bottom="1" header="0.5" footer="0.5"/>
  <pageSetup paperSize="0" orientation="portrait" horizontalDpi="0" verticalDpi="0" copie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23"/>
  <dimension ref="A1:J100"/>
  <sheetViews>
    <sheetView workbookViewId="0"/>
  </sheetViews>
  <sheetFormatPr baseColWidth="10" defaultColWidth="9.140625" defaultRowHeight="15"/>
  <cols>
    <col min="2" max="2" width="25.7109375" bestFit="1" customWidth="1"/>
    <col min="3" max="3" width="14.42578125" bestFit="1" customWidth="1"/>
    <col min="4" max="4" width="15" customWidth="1"/>
  </cols>
  <sheetData>
    <row r="1" spans="1:10">
      <c r="A1" s="8"/>
      <c r="B1" s="8"/>
      <c r="C1" s="8"/>
      <c r="D1" s="8"/>
      <c r="E1" s="8"/>
      <c r="F1" s="8"/>
      <c r="G1" s="8"/>
      <c r="H1" s="8"/>
      <c r="I1" s="8"/>
      <c r="J1" s="8"/>
    </row>
    <row r="2" spans="1:10" ht="18.75" customHeight="1">
      <c r="A2" s="8"/>
      <c r="B2" s="133" t="s">
        <v>1243</v>
      </c>
      <c r="C2" s="93"/>
      <c r="D2" s="93"/>
      <c r="E2" s="8"/>
      <c r="F2" s="8"/>
      <c r="G2" s="8"/>
      <c r="H2" s="8"/>
      <c r="I2" s="8"/>
      <c r="J2" s="8"/>
    </row>
    <row r="3" spans="1:10">
      <c r="A3" s="8"/>
      <c r="B3" s="8"/>
      <c r="C3" s="8"/>
      <c r="D3" s="8"/>
      <c r="E3" s="8"/>
      <c r="F3" s="8"/>
      <c r="G3" s="8"/>
      <c r="H3" s="8"/>
      <c r="I3" s="8"/>
      <c r="J3" s="8"/>
    </row>
    <row r="4" spans="1:10">
      <c r="A4" s="8"/>
      <c r="B4" s="8"/>
      <c r="C4" s="8"/>
      <c r="D4" s="8"/>
      <c r="E4" s="8"/>
      <c r="F4" s="8"/>
      <c r="G4" s="8"/>
      <c r="H4" s="8"/>
      <c r="I4" s="8"/>
      <c r="J4" s="8"/>
    </row>
    <row r="5" spans="1:10" ht="15.75" customHeight="1">
      <c r="A5" s="8"/>
      <c r="B5" s="134" t="s">
        <v>1244</v>
      </c>
      <c r="C5" s="93"/>
      <c r="D5" s="93"/>
      <c r="E5" s="8"/>
      <c r="F5" s="8"/>
      <c r="G5" s="8"/>
      <c r="H5" s="8"/>
      <c r="I5" s="8"/>
      <c r="J5" s="8"/>
    </row>
    <row r="6" spans="1:10">
      <c r="A6" s="8"/>
      <c r="B6" s="8" t="s">
        <v>1245</v>
      </c>
      <c r="C6" s="8"/>
      <c r="D6" s="8"/>
      <c r="E6" s="8"/>
      <c r="F6" s="8"/>
      <c r="G6" s="8"/>
      <c r="H6" s="8"/>
      <c r="I6" s="8"/>
      <c r="J6" s="8"/>
    </row>
    <row r="7" spans="1:10" ht="15.75" customHeight="1">
      <c r="A7" s="8"/>
      <c r="B7" s="134" t="s">
        <v>1246</v>
      </c>
      <c r="C7" s="93"/>
      <c r="D7" s="93"/>
      <c r="E7" s="8"/>
      <c r="F7" s="8"/>
      <c r="G7" s="8"/>
      <c r="H7" s="8"/>
      <c r="I7" s="8"/>
      <c r="J7" s="8"/>
    </row>
    <row r="8" spans="1:10">
      <c r="A8" s="8"/>
      <c r="B8" s="8" t="s">
        <v>1247</v>
      </c>
      <c r="C8" s="8"/>
      <c r="D8" s="8"/>
      <c r="E8" s="8"/>
      <c r="F8" s="8"/>
      <c r="G8" s="8"/>
      <c r="H8" s="8"/>
      <c r="I8" s="8"/>
      <c r="J8" s="8"/>
    </row>
    <row r="9" spans="1:10">
      <c r="A9" s="8"/>
      <c r="B9" s="8" t="s">
        <v>1248</v>
      </c>
      <c r="C9" s="8"/>
      <c r="D9" s="8"/>
      <c r="E9" s="8"/>
      <c r="F9" s="8"/>
      <c r="G9" s="8"/>
      <c r="H9" s="8"/>
      <c r="I9" s="8"/>
      <c r="J9" s="8"/>
    </row>
    <row r="10" spans="1:10">
      <c r="A10" s="8"/>
      <c r="B10" s="8" t="s">
        <v>1249</v>
      </c>
      <c r="C10" s="8"/>
      <c r="D10" s="8"/>
      <c r="E10" s="8"/>
      <c r="F10" s="8"/>
      <c r="G10" s="8"/>
      <c r="H10" s="8"/>
      <c r="I10" s="8"/>
      <c r="J10" s="8"/>
    </row>
    <row r="11" spans="1:10">
      <c r="A11" s="8"/>
      <c r="B11" s="8" t="s">
        <v>1250</v>
      </c>
      <c r="C11" s="8"/>
      <c r="D11" s="8"/>
      <c r="E11" s="8"/>
      <c r="F11" s="8"/>
      <c r="G11" s="8"/>
      <c r="H11" s="8"/>
      <c r="I11" s="8"/>
      <c r="J11" s="8"/>
    </row>
    <row r="12" spans="1:10">
      <c r="A12" s="8"/>
      <c r="B12" s="8" t="s">
        <v>1251</v>
      </c>
      <c r="C12" s="8"/>
      <c r="D12" s="8"/>
      <c r="E12" s="8"/>
      <c r="F12" s="8"/>
      <c r="G12" s="8"/>
      <c r="H12" s="8"/>
      <c r="I12" s="8"/>
      <c r="J12" s="8"/>
    </row>
    <row r="13" spans="1:10">
      <c r="A13" s="8"/>
      <c r="B13" s="8" t="s">
        <v>1252</v>
      </c>
      <c r="C13" s="8"/>
      <c r="D13" s="8"/>
      <c r="E13" s="8"/>
      <c r="F13" s="8"/>
      <c r="G13" s="8"/>
      <c r="H13" s="8"/>
      <c r="I13" s="8"/>
      <c r="J13" s="8"/>
    </row>
    <row r="14" spans="1:10">
      <c r="A14" s="8"/>
      <c r="B14" s="8"/>
      <c r="C14" s="8"/>
      <c r="D14" s="8"/>
      <c r="E14" s="8"/>
      <c r="F14" s="8"/>
      <c r="G14" s="8"/>
      <c r="H14" s="8"/>
      <c r="I14" s="8"/>
      <c r="J14" s="8"/>
    </row>
    <row r="15" spans="1:10" ht="15.75" customHeight="1">
      <c r="A15" s="8"/>
      <c r="B15" s="134" t="s">
        <v>1253</v>
      </c>
      <c r="C15" s="93"/>
      <c r="D15" s="93"/>
      <c r="E15" s="8"/>
      <c r="F15" s="8"/>
      <c r="G15" s="8"/>
      <c r="H15" s="8"/>
      <c r="I15" s="8"/>
      <c r="J15" s="8"/>
    </row>
    <row r="16" spans="1:10">
      <c r="A16" s="8"/>
      <c r="B16" s="8" t="s">
        <v>1254</v>
      </c>
      <c r="C16" s="8"/>
      <c r="D16" s="8"/>
      <c r="E16" s="8"/>
      <c r="F16" s="8"/>
      <c r="G16" s="8"/>
      <c r="H16" s="8"/>
      <c r="I16" s="8"/>
      <c r="J16" s="8"/>
    </row>
    <row r="17" spans="1:10">
      <c r="A17" s="8"/>
      <c r="B17" s="8" t="s">
        <v>1255</v>
      </c>
      <c r="C17" s="8"/>
      <c r="D17" s="8"/>
      <c r="E17" s="8"/>
      <c r="F17" s="8"/>
      <c r="G17" s="8"/>
      <c r="H17" s="8"/>
      <c r="I17" s="8"/>
      <c r="J17" s="8"/>
    </row>
    <row r="18" spans="1:10">
      <c r="A18" s="8"/>
      <c r="B18" s="8" t="s">
        <v>1256</v>
      </c>
      <c r="C18" s="8" t="s">
        <v>49</v>
      </c>
      <c r="D18" s="8"/>
      <c r="E18" s="8"/>
      <c r="F18" s="8"/>
      <c r="G18" s="8"/>
      <c r="H18" s="8"/>
      <c r="I18" s="8"/>
      <c r="J18" s="8"/>
    </row>
    <row r="19" spans="1:10">
      <c r="A19" s="8"/>
      <c r="B19" s="8" t="s">
        <v>1257</v>
      </c>
      <c r="C19" s="8"/>
      <c r="D19" s="8"/>
      <c r="E19" s="8"/>
      <c r="F19" s="8"/>
      <c r="G19" s="8"/>
      <c r="H19" s="8"/>
      <c r="I19" s="8"/>
      <c r="J19" s="8"/>
    </row>
    <row r="20" spans="1:10">
      <c r="A20" s="8"/>
      <c r="B20" s="8" t="s">
        <v>1258</v>
      </c>
      <c r="C20" s="8"/>
      <c r="D20" s="8"/>
      <c r="E20" s="8"/>
      <c r="F20" s="8"/>
      <c r="G20" s="8"/>
      <c r="H20" s="8"/>
      <c r="I20" s="8"/>
      <c r="J20" s="8"/>
    </row>
    <row r="21" spans="1:10">
      <c r="A21" s="8"/>
      <c r="B21" s="8"/>
      <c r="C21" s="8"/>
      <c r="D21" s="8"/>
      <c r="E21" s="8"/>
      <c r="F21" s="8"/>
      <c r="G21" s="8"/>
      <c r="H21" s="8"/>
      <c r="I21" s="8"/>
      <c r="J21" s="8"/>
    </row>
    <row r="22" spans="1:10" ht="15.75" customHeight="1">
      <c r="A22" s="8"/>
      <c r="B22" s="134" t="s">
        <v>1259</v>
      </c>
      <c r="C22" s="93"/>
      <c r="D22" s="93"/>
      <c r="E22" s="8"/>
      <c r="F22" s="8"/>
      <c r="G22" s="8"/>
      <c r="H22" s="8"/>
      <c r="I22" s="8"/>
      <c r="J22" s="8"/>
    </row>
    <row r="23" spans="1:10">
      <c r="A23" s="8"/>
      <c r="B23" s="8" t="s">
        <v>1260</v>
      </c>
      <c r="C23" s="8" t="s">
        <v>1261</v>
      </c>
      <c r="D23" s="8"/>
      <c r="E23" s="8"/>
      <c r="F23" s="8"/>
      <c r="G23" s="8"/>
      <c r="H23" s="8"/>
      <c r="I23" s="8"/>
      <c r="J23" s="8"/>
    </row>
    <row r="24" spans="1:10">
      <c r="A24" s="8"/>
      <c r="B24" s="8" t="s">
        <v>1262</v>
      </c>
      <c r="C24" s="8"/>
      <c r="D24" s="8"/>
      <c r="E24" s="8"/>
      <c r="F24" s="8"/>
      <c r="G24" s="8"/>
      <c r="H24" s="8"/>
      <c r="I24" s="8"/>
      <c r="J24" s="8"/>
    </row>
    <row r="25" spans="1:10">
      <c r="A25" s="8"/>
      <c r="B25" s="8" t="s">
        <v>1263</v>
      </c>
      <c r="C25" s="8"/>
      <c r="D25" s="8"/>
      <c r="E25" s="8"/>
      <c r="F25" s="8"/>
      <c r="G25" s="8"/>
      <c r="H25" s="8"/>
      <c r="I25" s="8"/>
      <c r="J25" s="8"/>
    </row>
    <row r="26" spans="1:10">
      <c r="A26" s="8"/>
      <c r="B26" s="8" t="s">
        <v>1264</v>
      </c>
      <c r="C26" s="8"/>
      <c r="D26" s="8"/>
      <c r="E26" s="8"/>
      <c r="F26" s="8"/>
      <c r="G26" s="8"/>
      <c r="H26" s="8"/>
      <c r="I26" s="8"/>
      <c r="J26" s="8"/>
    </row>
    <row r="27" spans="1:10">
      <c r="A27" s="8"/>
      <c r="B27" s="8"/>
      <c r="C27" s="8"/>
      <c r="D27" s="8"/>
      <c r="E27" s="8"/>
      <c r="F27" s="8"/>
      <c r="G27" s="8"/>
      <c r="H27" s="8"/>
      <c r="I27" s="8"/>
      <c r="J27" s="8"/>
    </row>
    <row r="28" spans="1:10" ht="15.75" customHeight="1">
      <c r="A28" s="8"/>
      <c r="B28" s="134" t="s">
        <v>1265</v>
      </c>
      <c r="C28" s="93"/>
      <c r="D28" s="93"/>
      <c r="E28" s="8"/>
      <c r="F28" s="8"/>
      <c r="G28" s="8"/>
      <c r="H28" s="8"/>
      <c r="I28" s="8"/>
      <c r="J28" s="8"/>
    </row>
    <row r="29" spans="1:10">
      <c r="A29" s="8"/>
      <c r="B29" s="8" t="s">
        <v>1266</v>
      </c>
      <c r="C29" s="8"/>
      <c r="D29" s="8"/>
      <c r="E29" s="8"/>
      <c r="F29" s="8"/>
      <c r="G29" s="8"/>
      <c r="H29" s="8"/>
      <c r="I29" s="8"/>
      <c r="J29" s="8"/>
    </row>
    <row r="30" spans="1:10">
      <c r="A30" s="8"/>
      <c r="B30" s="8" t="s">
        <v>1267</v>
      </c>
      <c r="C30" s="8"/>
      <c r="D30" s="8"/>
      <c r="E30" s="8"/>
      <c r="F30" s="8"/>
      <c r="G30" s="8"/>
      <c r="H30" s="8"/>
      <c r="I30" s="8"/>
      <c r="J30" s="8"/>
    </row>
    <row r="31" spans="1:10">
      <c r="A31" s="8"/>
      <c r="B31" s="8" t="s">
        <v>1268</v>
      </c>
      <c r="C31" s="8"/>
      <c r="D31" s="8"/>
      <c r="E31" s="8"/>
      <c r="F31" s="8"/>
      <c r="G31" s="8"/>
      <c r="H31" s="8"/>
      <c r="I31" s="8"/>
      <c r="J31" s="8"/>
    </row>
    <row r="32" spans="1:10">
      <c r="A32" s="8"/>
      <c r="B32" s="8" t="s">
        <v>1269</v>
      </c>
      <c r="C32" s="8"/>
      <c r="D32" s="8"/>
      <c r="E32" s="8"/>
      <c r="F32" s="8"/>
      <c r="G32" s="8"/>
      <c r="H32" s="8"/>
      <c r="I32" s="8"/>
      <c r="J32" s="8"/>
    </row>
    <row r="33" spans="1:10">
      <c r="A33" s="8"/>
      <c r="B33" s="8"/>
      <c r="C33" s="8"/>
      <c r="D33" s="8"/>
      <c r="E33" s="8"/>
      <c r="F33" s="8"/>
      <c r="G33" s="8"/>
      <c r="H33" s="8"/>
      <c r="I33" s="8"/>
      <c r="J33" s="8"/>
    </row>
    <row r="34" spans="1:10">
      <c r="A34" s="8"/>
      <c r="B34" s="8"/>
      <c r="C34" s="8"/>
      <c r="D34" s="8"/>
      <c r="E34" s="8"/>
      <c r="F34" s="8"/>
      <c r="G34" s="8"/>
      <c r="H34" s="8"/>
      <c r="I34" s="8"/>
      <c r="J34" s="8"/>
    </row>
    <row r="35" spans="1:10">
      <c r="A35" s="8"/>
      <c r="B35" s="8"/>
      <c r="C35" s="8"/>
      <c r="D35" s="8"/>
      <c r="E35" s="8"/>
      <c r="F35" s="8"/>
      <c r="G35" s="8"/>
      <c r="H35" s="8"/>
      <c r="I35" s="8"/>
      <c r="J35" s="8"/>
    </row>
    <row r="36" spans="1:10">
      <c r="A36" s="8"/>
      <c r="B36" s="8"/>
      <c r="C36" s="8"/>
      <c r="D36" s="8"/>
      <c r="E36" s="8"/>
      <c r="F36" s="8"/>
      <c r="G36" s="8"/>
      <c r="H36" s="8"/>
      <c r="I36" s="8"/>
      <c r="J36" s="8"/>
    </row>
    <row r="37" spans="1:10">
      <c r="A37" s="8"/>
      <c r="B37" s="8"/>
      <c r="C37" s="8"/>
      <c r="D37" s="8"/>
      <c r="E37" s="8"/>
      <c r="F37" s="8"/>
      <c r="G37" s="8"/>
      <c r="H37" s="8"/>
      <c r="I37" s="8"/>
      <c r="J37" s="8"/>
    </row>
    <row r="38" spans="1:10">
      <c r="A38" s="8"/>
      <c r="B38" s="8"/>
      <c r="C38" s="8"/>
      <c r="D38" s="8"/>
      <c r="E38" s="8"/>
      <c r="F38" s="8"/>
      <c r="G38" s="8"/>
      <c r="H38" s="8"/>
      <c r="I38" s="8"/>
      <c r="J38" s="8"/>
    </row>
    <row r="39" spans="1:10">
      <c r="A39" s="8"/>
      <c r="B39" s="8"/>
      <c r="C39" s="8"/>
      <c r="D39" s="8"/>
      <c r="E39" s="8"/>
      <c r="F39" s="8"/>
      <c r="G39" s="8"/>
      <c r="H39" s="8"/>
      <c r="I39" s="8"/>
      <c r="J39" s="8"/>
    </row>
    <row r="40" spans="1:10">
      <c r="A40" s="8"/>
      <c r="B40" s="8"/>
      <c r="C40" s="8"/>
      <c r="D40" s="8"/>
      <c r="E40" s="8"/>
      <c r="F40" s="8"/>
      <c r="G40" s="8"/>
      <c r="H40" s="8"/>
      <c r="I40" s="8"/>
      <c r="J40" s="8"/>
    </row>
    <row r="41" spans="1:10">
      <c r="A41" s="8"/>
      <c r="B41" s="8"/>
      <c r="C41" s="8"/>
      <c r="D41" s="8"/>
      <c r="E41" s="8"/>
      <c r="F41" s="8"/>
      <c r="G41" s="8"/>
      <c r="H41" s="8"/>
      <c r="I41" s="8"/>
      <c r="J41" s="8"/>
    </row>
    <row r="42" spans="1:10">
      <c r="A42" s="8"/>
      <c r="B42" s="8"/>
      <c r="C42" s="8"/>
      <c r="D42" s="8"/>
      <c r="E42" s="8"/>
      <c r="F42" s="8"/>
      <c r="G42" s="8"/>
      <c r="H42" s="8"/>
      <c r="I42" s="8"/>
      <c r="J42" s="8"/>
    </row>
    <row r="43" spans="1:10">
      <c r="A43" s="8"/>
      <c r="B43" s="8"/>
      <c r="C43" s="8"/>
      <c r="D43" s="8"/>
      <c r="E43" s="8"/>
      <c r="F43" s="8"/>
      <c r="G43" s="8"/>
      <c r="H43" s="8"/>
      <c r="I43" s="8"/>
      <c r="J43" s="8"/>
    </row>
    <row r="44" spans="1:10">
      <c r="A44" s="8"/>
      <c r="B44" s="8"/>
      <c r="C44" s="8"/>
      <c r="D44" s="8"/>
      <c r="E44" s="8"/>
      <c r="F44" s="8"/>
      <c r="G44" s="8"/>
      <c r="H44" s="8"/>
      <c r="I44" s="8"/>
      <c r="J44" s="8"/>
    </row>
    <row r="45" spans="1:10">
      <c r="A45" s="8"/>
      <c r="B45" s="8"/>
      <c r="C45" s="8"/>
      <c r="D45" s="8"/>
      <c r="E45" s="8"/>
      <c r="F45" s="8"/>
      <c r="G45" s="8"/>
      <c r="H45" s="8"/>
      <c r="I45" s="8"/>
      <c r="J45" s="8"/>
    </row>
    <row r="46" spans="1:10">
      <c r="A46" s="8"/>
      <c r="B46" s="8"/>
      <c r="C46" s="8"/>
      <c r="D46" s="8"/>
      <c r="E46" s="8"/>
      <c r="F46" s="8"/>
      <c r="G46" s="8"/>
      <c r="H46" s="8"/>
      <c r="I46" s="8"/>
      <c r="J46" s="8"/>
    </row>
    <row r="47" spans="1:10">
      <c r="A47" s="8"/>
      <c r="B47" s="8"/>
      <c r="C47" s="8"/>
      <c r="D47" s="8"/>
      <c r="E47" s="8"/>
      <c r="F47" s="8"/>
      <c r="G47" s="8"/>
      <c r="H47" s="8"/>
      <c r="I47" s="8"/>
      <c r="J47" s="8"/>
    </row>
    <row r="48" spans="1:10">
      <c r="A48" s="8"/>
      <c r="B48" s="8"/>
      <c r="C48" s="8"/>
      <c r="D48" s="8"/>
      <c r="E48" s="8"/>
      <c r="F48" s="8"/>
      <c r="G48" s="8"/>
      <c r="H48" s="8"/>
      <c r="I48" s="8"/>
      <c r="J48" s="8"/>
    </row>
    <row r="49" spans="1:10">
      <c r="A49" s="8"/>
      <c r="B49" s="8"/>
      <c r="C49" s="8"/>
      <c r="D49" s="8"/>
      <c r="E49" s="8"/>
      <c r="F49" s="8"/>
      <c r="G49" s="8"/>
      <c r="H49" s="8"/>
      <c r="I49" s="8"/>
      <c r="J49" s="8"/>
    </row>
    <row r="50" spans="1:10">
      <c r="A50" s="8"/>
      <c r="B50" s="8"/>
      <c r="C50" s="8"/>
      <c r="D50" s="8"/>
      <c r="E50" s="8"/>
      <c r="F50" s="8"/>
      <c r="G50" s="8"/>
      <c r="H50" s="8"/>
      <c r="I50" s="8"/>
      <c r="J50" s="8"/>
    </row>
    <row r="51" spans="1:10">
      <c r="A51" s="8"/>
      <c r="B51" s="8"/>
      <c r="C51" s="8"/>
      <c r="D51" s="8"/>
      <c r="E51" s="8"/>
      <c r="F51" s="8"/>
      <c r="G51" s="8"/>
      <c r="H51" s="8"/>
      <c r="I51" s="8"/>
      <c r="J51" s="8"/>
    </row>
    <row r="52" spans="1:10">
      <c r="A52" s="8"/>
      <c r="B52" s="8"/>
      <c r="C52" s="8"/>
      <c r="D52" s="8"/>
      <c r="E52" s="8"/>
      <c r="F52" s="8"/>
      <c r="G52" s="8"/>
      <c r="H52" s="8"/>
      <c r="I52" s="8"/>
      <c r="J52" s="8"/>
    </row>
    <row r="53" spans="1:10">
      <c r="A53" s="8"/>
      <c r="B53" s="8"/>
      <c r="C53" s="8"/>
      <c r="D53" s="8"/>
      <c r="E53" s="8"/>
      <c r="F53" s="8"/>
      <c r="G53" s="8"/>
      <c r="H53" s="8"/>
      <c r="I53" s="8"/>
      <c r="J53" s="8"/>
    </row>
    <row r="54" spans="1:10">
      <c r="A54" s="8"/>
      <c r="B54" s="8"/>
      <c r="C54" s="8"/>
      <c r="D54" s="8"/>
      <c r="E54" s="8"/>
      <c r="F54" s="8"/>
      <c r="G54" s="8"/>
      <c r="H54" s="8"/>
      <c r="I54" s="8"/>
      <c r="J54" s="8"/>
    </row>
    <row r="55" spans="1:10">
      <c r="A55" s="8"/>
      <c r="B55" s="8"/>
      <c r="C55" s="8"/>
      <c r="D55" s="8"/>
      <c r="E55" s="8"/>
      <c r="F55" s="8"/>
      <c r="G55" s="8"/>
      <c r="H55" s="8"/>
      <c r="I55" s="8"/>
      <c r="J55" s="8"/>
    </row>
    <row r="56" spans="1:10">
      <c r="A56" s="8"/>
      <c r="B56" s="8"/>
      <c r="C56" s="8"/>
      <c r="D56" s="8"/>
      <c r="E56" s="8"/>
      <c r="F56" s="8"/>
      <c r="G56" s="8"/>
      <c r="H56" s="8"/>
      <c r="I56" s="8"/>
      <c r="J56" s="8"/>
    </row>
    <row r="57" spans="1:10">
      <c r="A57" s="8"/>
      <c r="B57" s="8"/>
      <c r="C57" s="8"/>
      <c r="D57" s="8"/>
      <c r="E57" s="8"/>
      <c r="F57" s="8"/>
      <c r="G57" s="8"/>
      <c r="H57" s="8"/>
      <c r="I57" s="8"/>
      <c r="J57" s="8"/>
    </row>
    <row r="58" spans="1:10">
      <c r="A58" s="8"/>
      <c r="B58" s="8"/>
      <c r="C58" s="8"/>
      <c r="D58" s="8"/>
      <c r="E58" s="8"/>
      <c r="F58" s="8"/>
      <c r="G58" s="8"/>
      <c r="H58" s="8"/>
      <c r="I58" s="8"/>
      <c r="J58" s="8"/>
    </row>
    <row r="59" spans="1:10">
      <c r="A59" s="8"/>
      <c r="B59" s="8"/>
      <c r="C59" s="8"/>
      <c r="D59" s="8"/>
      <c r="E59" s="8"/>
      <c r="F59" s="8"/>
      <c r="G59" s="8"/>
      <c r="H59" s="8"/>
      <c r="I59" s="8"/>
      <c r="J59" s="8"/>
    </row>
    <row r="60" spans="1:10">
      <c r="A60" s="8"/>
      <c r="B60" s="8"/>
      <c r="C60" s="8"/>
      <c r="D60" s="8"/>
      <c r="E60" s="8"/>
      <c r="F60" s="8"/>
      <c r="G60" s="8"/>
      <c r="H60" s="8"/>
      <c r="I60" s="8"/>
      <c r="J60" s="8"/>
    </row>
    <row r="61" spans="1:10">
      <c r="A61" s="8"/>
      <c r="B61" s="8"/>
      <c r="C61" s="8"/>
      <c r="D61" s="8"/>
      <c r="E61" s="8"/>
      <c r="F61" s="8"/>
      <c r="G61" s="8"/>
      <c r="H61" s="8"/>
      <c r="I61" s="8"/>
      <c r="J61" s="8"/>
    </row>
    <row r="62" spans="1:10">
      <c r="A62" s="8"/>
      <c r="B62" s="8"/>
      <c r="C62" s="8"/>
      <c r="D62" s="8"/>
      <c r="E62" s="8"/>
      <c r="F62" s="8"/>
      <c r="G62" s="8"/>
      <c r="H62" s="8"/>
      <c r="I62" s="8"/>
      <c r="J62" s="8"/>
    </row>
    <row r="63" spans="1:10">
      <c r="A63" s="8"/>
      <c r="B63" s="8"/>
      <c r="C63" s="8"/>
      <c r="D63" s="8"/>
      <c r="E63" s="8"/>
      <c r="F63" s="8"/>
      <c r="G63" s="8"/>
      <c r="H63" s="8"/>
      <c r="I63" s="8"/>
      <c r="J63" s="8"/>
    </row>
    <row r="64" spans="1:10">
      <c r="A64" s="8"/>
      <c r="B64" s="8"/>
      <c r="C64" s="8"/>
      <c r="D64" s="8"/>
      <c r="E64" s="8"/>
      <c r="F64" s="8"/>
      <c r="G64" s="8"/>
      <c r="H64" s="8"/>
      <c r="I64" s="8"/>
      <c r="J64" s="8"/>
    </row>
    <row r="65" spans="1:10">
      <c r="A65" s="8"/>
      <c r="B65" s="8"/>
      <c r="C65" s="8"/>
      <c r="D65" s="8"/>
      <c r="E65" s="8"/>
      <c r="F65" s="8"/>
      <c r="G65" s="8"/>
      <c r="H65" s="8"/>
      <c r="I65" s="8"/>
      <c r="J65" s="8"/>
    </row>
    <row r="66" spans="1:10">
      <c r="A66" s="8"/>
      <c r="B66" s="8"/>
      <c r="C66" s="8"/>
      <c r="D66" s="8"/>
      <c r="E66" s="8"/>
      <c r="F66" s="8"/>
      <c r="G66" s="8"/>
      <c r="H66" s="8"/>
      <c r="I66" s="8"/>
      <c r="J66" s="8"/>
    </row>
    <row r="67" spans="1:10">
      <c r="A67" s="8"/>
      <c r="B67" s="8"/>
      <c r="C67" s="8"/>
      <c r="D67" s="8"/>
      <c r="E67" s="8"/>
      <c r="F67" s="8"/>
      <c r="G67" s="8"/>
      <c r="H67" s="8"/>
      <c r="I67" s="8"/>
      <c r="J67" s="8"/>
    </row>
    <row r="68" spans="1:10">
      <c r="A68" s="8"/>
      <c r="B68" s="8"/>
      <c r="C68" s="8"/>
      <c r="D68" s="8"/>
      <c r="E68" s="8"/>
      <c r="F68" s="8"/>
      <c r="G68" s="8"/>
      <c r="H68" s="8"/>
      <c r="I68" s="8"/>
      <c r="J68" s="8"/>
    </row>
    <row r="69" spans="1:10">
      <c r="A69" s="8"/>
      <c r="B69" s="8"/>
      <c r="C69" s="8"/>
      <c r="D69" s="8"/>
      <c r="E69" s="8"/>
      <c r="F69" s="8"/>
      <c r="G69" s="8"/>
      <c r="H69" s="8"/>
      <c r="I69" s="8"/>
      <c r="J69" s="8"/>
    </row>
    <row r="70" spans="1:10">
      <c r="A70" s="8"/>
      <c r="B70" s="8"/>
      <c r="C70" s="8"/>
      <c r="D70" s="8"/>
      <c r="E70" s="8"/>
      <c r="F70" s="8"/>
      <c r="G70" s="8"/>
      <c r="H70" s="8"/>
      <c r="I70" s="8"/>
      <c r="J70" s="8"/>
    </row>
    <row r="71" spans="1:10">
      <c r="A71" s="8"/>
      <c r="B71" s="8"/>
      <c r="C71" s="8"/>
      <c r="D71" s="8"/>
      <c r="E71" s="8"/>
      <c r="F71" s="8"/>
      <c r="G71" s="8"/>
      <c r="H71" s="8"/>
      <c r="I71" s="8"/>
      <c r="J71" s="8"/>
    </row>
    <row r="72" spans="1:10">
      <c r="A72" s="8"/>
      <c r="B72" s="8"/>
      <c r="C72" s="8"/>
      <c r="D72" s="8"/>
      <c r="E72" s="8"/>
      <c r="F72" s="8"/>
      <c r="G72" s="8"/>
      <c r="H72" s="8"/>
      <c r="I72" s="8"/>
      <c r="J72" s="8"/>
    </row>
    <row r="73" spans="1:10">
      <c r="A73" s="8"/>
      <c r="B73" s="8"/>
      <c r="C73" s="8"/>
      <c r="D73" s="8"/>
      <c r="E73" s="8"/>
      <c r="F73" s="8"/>
      <c r="G73" s="8"/>
      <c r="H73" s="8"/>
      <c r="I73" s="8"/>
      <c r="J73" s="8"/>
    </row>
    <row r="74" spans="1:10">
      <c r="A74" s="8"/>
      <c r="B74" s="8"/>
      <c r="C74" s="8"/>
      <c r="D74" s="8"/>
      <c r="E74" s="8"/>
      <c r="F74" s="8"/>
      <c r="G74" s="8"/>
      <c r="H74" s="8"/>
      <c r="I74" s="8"/>
      <c r="J74" s="8"/>
    </row>
    <row r="75" spans="1:10">
      <c r="A75" s="8"/>
      <c r="B75" s="8"/>
      <c r="C75" s="8"/>
      <c r="D75" s="8"/>
      <c r="E75" s="8"/>
      <c r="F75" s="8"/>
      <c r="G75" s="8"/>
      <c r="H75" s="8"/>
      <c r="I75" s="8"/>
      <c r="J75" s="8"/>
    </row>
    <row r="76" spans="1:10">
      <c r="A76" s="8"/>
      <c r="B76" s="8"/>
      <c r="C76" s="8"/>
      <c r="D76" s="8"/>
      <c r="E76" s="8"/>
      <c r="F76" s="8"/>
      <c r="G76" s="8"/>
      <c r="H76" s="8"/>
      <c r="I76" s="8"/>
      <c r="J76" s="8"/>
    </row>
    <row r="77" spans="1:10">
      <c r="A77" s="8"/>
      <c r="B77" s="8"/>
      <c r="C77" s="8"/>
      <c r="D77" s="8"/>
      <c r="E77" s="8"/>
      <c r="F77" s="8"/>
      <c r="G77" s="8"/>
      <c r="H77" s="8"/>
      <c r="I77" s="8"/>
      <c r="J77" s="8"/>
    </row>
    <row r="78" spans="1:10">
      <c r="A78" s="8"/>
      <c r="B78" s="8"/>
      <c r="C78" s="8"/>
      <c r="D78" s="8"/>
      <c r="E78" s="8"/>
      <c r="F78" s="8"/>
      <c r="G78" s="8"/>
      <c r="H78" s="8"/>
      <c r="I78" s="8"/>
      <c r="J78" s="8"/>
    </row>
    <row r="79" spans="1:10">
      <c r="A79" s="8"/>
      <c r="B79" s="8"/>
      <c r="C79" s="8"/>
      <c r="D79" s="8"/>
      <c r="E79" s="8"/>
      <c r="F79" s="8"/>
      <c r="G79" s="8"/>
      <c r="H79" s="8"/>
      <c r="I79" s="8"/>
      <c r="J79" s="8"/>
    </row>
    <row r="80" spans="1:10">
      <c r="A80" s="8"/>
      <c r="B80" s="8"/>
      <c r="C80" s="8"/>
      <c r="D80" s="8"/>
      <c r="E80" s="8"/>
      <c r="F80" s="8"/>
      <c r="G80" s="8"/>
      <c r="H80" s="8"/>
      <c r="I80" s="8"/>
      <c r="J80" s="8"/>
    </row>
    <row r="81" spans="1:10">
      <c r="A81" s="8"/>
      <c r="B81" s="8"/>
      <c r="C81" s="8"/>
      <c r="D81" s="8"/>
      <c r="E81" s="8"/>
      <c r="F81" s="8"/>
      <c r="G81" s="8"/>
      <c r="H81" s="8"/>
      <c r="I81" s="8"/>
      <c r="J81" s="8"/>
    </row>
    <row r="82" spans="1:10">
      <c r="A82" s="8"/>
      <c r="B82" s="8"/>
      <c r="C82" s="8"/>
      <c r="D82" s="8"/>
      <c r="E82" s="8"/>
      <c r="F82" s="8"/>
      <c r="G82" s="8"/>
      <c r="H82" s="8"/>
      <c r="I82" s="8"/>
      <c r="J82" s="8"/>
    </row>
    <row r="83" spans="1:10">
      <c r="A83" s="8"/>
      <c r="B83" s="8"/>
      <c r="C83" s="8"/>
      <c r="D83" s="8"/>
      <c r="E83" s="8"/>
      <c r="F83" s="8"/>
      <c r="G83" s="8"/>
      <c r="H83" s="8"/>
      <c r="I83" s="8"/>
      <c r="J83" s="8"/>
    </row>
    <row r="84" spans="1:10">
      <c r="A84" s="8"/>
      <c r="B84" s="8"/>
      <c r="C84" s="8"/>
      <c r="D84" s="8"/>
      <c r="E84" s="8"/>
      <c r="F84" s="8"/>
      <c r="G84" s="8"/>
      <c r="H84" s="8"/>
      <c r="I84" s="8"/>
      <c r="J84" s="8"/>
    </row>
    <row r="85" spans="1:10">
      <c r="A85" s="8"/>
      <c r="B85" s="8"/>
      <c r="C85" s="8"/>
      <c r="D85" s="8"/>
      <c r="E85" s="8"/>
      <c r="F85" s="8"/>
      <c r="G85" s="8"/>
      <c r="H85" s="8"/>
      <c r="I85" s="8"/>
      <c r="J85" s="8"/>
    </row>
    <row r="86" spans="1:10">
      <c r="A86" s="8"/>
      <c r="B86" s="8"/>
      <c r="C86" s="8"/>
      <c r="D86" s="8"/>
      <c r="E86" s="8"/>
      <c r="F86" s="8"/>
      <c r="G86" s="8"/>
      <c r="H86" s="8"/>
      <c r="I86" s="8"/>
      <c r="J86" s="8"/>
    </row>
    <row r="87" spans="1:10">
      <c r="A87" s="8"/>
      <c r="B87" s="8"/>
      <c r="C87" s="8"/>
      <c r="D87" s="8"/>
      <c r="E87" s="8"/>
      <c r="F87" s="8"/>
      <c r="G87" s="8"/>
      <c r="H87" s="8"/>
      <c r="I87" s="8"/>
      <c r="J87" s="8"/>
    </row>
    <row r="88" spans="1:10">
      <c r="A88" s="8"/>
      <c r="B88" s="8"/>
      <c r="C88" s="8"/>
      <c r="D88" s="8"/>
      <c r="E88" s="8"/>
      <c r="F88" s="8"/>
      <c r="G88" s="8"/>
      <c r="H88" s="8"/>
      <c r="I88" s="8"/>
      <c r="J88" s="8"/>
    </row>
    <row r="89" spans="1:10">
      <c r="A89" s="8"/>
      <c r="B89" s="8"/>
      <c r="C89" s="8"/>
      <c r="D89" s="8"/>
      <c r="E89" s="8"/>
      <c r="F89" s="8"/>
      <c r="G89" s="8"/>
      <c r="H89" s="8"/>
      <c r="I89" s="8"/>
      <c r="J89" s="8"/>
    </row>
    <row r="90" spans="1:10">
      <c r="A90" s="8"/>
      <c r="B90" s="8"/>
      <c r="C90" s="8"/>
      <c r="D90" s="8"/>
      <c r="E90" s="8"/>
      <c r="F90" s="8"/>
      <c r="G90" s="8"/>
      <c r="H90" s="8"/>
      <c r="I90" s="8"/>
      <c r="J90" s="8"/>
    </row>
    <row r="91" spans="1:10">
      <c r="A91" s="8"/>
      <c r="B91" s="8"/>
      <c r="C91" s="8"/>
      <c r="D91" s="8"/>
      <c r="E91" s="8"/>
      <c r="F91" s="8"/>
      <c r="G91" s="8"/>
      <c r="H91" s="8"/>
      <c r="I91" s="8"/>
      <c r="J91" s="8"/>
    </row>
    <row r="92" spans="1:10">
      <c r="A92" s="8"/>
      <c r="B92" s="8"/>
      <c r="C92" s="8"/>
      <c r="D92" s="8"/>
      <c r="E92" s="8"/>
      <c r="F92" s="8"/>
      <c r="G92" s="8"/>
      <c r="H92" s="8"/>
      <c r="I92" s="8"/>
      <c r="J92" s="8"/>
    </row>
    <row r="93" spans="1:10">
      <c r="A93" s="8"/>
      <c r="B93" s="8"/>
      <c r="C93" s="8"/>
      <c r="D93" s="8"/>
      <c r="E93" s="8"/>
      <c r="F93" s="8"/>
      <c r="G93" s="8"/>
      <c r="H93" s="8"/>
      <c r="I93" s="8"/>
      <c r="J93" s="8"/>
    </row>
    <row r="94" spans="1:10">
      <c r="A94" s="8"/>
      <c r="B94" s="8"/>
      <c r="C94" s="8"/>
      <c r="D94" s="8"/>
      <c r="E94" s="8"/>
      <c r="F94" s="8"/>
      <c r="G94" s="8"/>
      <c r="H94" s="8"/>
      <c r="I94" s="8"/>
      <c r="J94" s="8"/>
    </row>
    <row r="95" spans="1:10">
      <c r="A95" s="8"/>
      <c r="B95" s="8"/>
      <c r="C95" s="8"/>
      <c r="D95" s="8"/>
      <c r="E95" s="8"/>
      <c r="F95" s="8"/>
      <c r="G95" s="8"/>
      <c r="H95" s="8"/>
      <c r="I95" s="8"/>
      <c r="J95" s="8"/>
    </row>
    <row r="96" spans="1:10">
      <c r="A96" s="8"/>
      <c r="B96" s="8"/>
      <c r="C96" s="8"/>
      <c r="D96" s="8"/>
      <c r="E96" s="8"/>
      <c r="F96" s="8"/>
      <c r="G96" s="8"/>
      <c r="H96" s="8"/>
      <c r="I96" s="8"/>
      <c r="J96" s="8"/>
    </row>
    <row r="97" spans="1:10">
      <c r="A97" s="8"/>
      <c r="B97" s="8"/>
      <c r="C97" s="8"/>
      <c r="D97" s="8"/>
      <c r="E97" s="8"/>
      <c r="F97" s="8"/>
      <c r="G97" s="8"/>
      <c r="H97" s="8"/>
      <c r="I97" s="8"/>
      <c r="J97" s="8"/>
    </row>
    <row r="98" spans="1:10">
      <c r="A98" s="8"/>
      <c r="B98" s="8"/>
      <c r="C98" s="8"/>
      <c r="D98" s="8"/>
      <c r="E98" s="8"/>
      <c r="F98" s="8"/>
      <c r="G98" s="8"/>
      <c r="H98" s="8"/>
      <c r="I98" s="8"/>
      <c r="J98" s="8"/>
    </row>
    <row r="99" spans="1:10">
      <c r="A99" s="8"/>
      <c r="B99" s="8"/>
      <c r="C99" s="8"/>
      <c r="D99" s="8"/>
      <c r="E99" s="8"/>
      <c r="F99" s="8"/>
      <c r="G99" s="8"/>
      <c r="H99" s="8"/>
      <c r="I99" s="8"/>
      <c r="J99" s="8"/>
    </row>
    <row r="100" spans="1:10">
      <c r="A100" s="8"/>
      <c r="B100" s="8"/>
      <c r="C100" s="8"/>
      <c r="D100" s="8"/>
      <c r="E100" s="8"/>
      <c r="F100" s="8"/>
      <c r="G100" s="8"/>
      <c r="H100" s="8"/>
      <c r="I100" s="8"/>
      <c r="J100" s="8"/>
    </row>
  </sheetData>
  <mergeCells count="6">
    <mergeCell ref="B2:D2"/>
    <mergeCell ref="B28:D28"/>
    <mergeCell ref="B5:D5"/>
    <mergeCell ref="B22:D22"/>
    <mergeCell ref="B15:D15"/>
    <mergeCell ref="B7:D7"/>
  </mergeCells>
  <pageMargins left="0.75" right="0.75" top="1" bottom="1" header="0.5" footer="0.5"/>
  <pageSetup paperSize="0" orientation="portrait" horizontalDpi="0" verticalDpi="0" copie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24"/>
  <dimension ref="A1:J100"/>
  <sheetViews>
    <sheetView workbookViewId="0"/>
  </sheetViews>
  <sheetFormatPr baseColWidth="10" defaultColWidth="9.140625" defaultRowHeight="15"/>
  <cols>
    <col min="2" max="2" width="5" customWidth="1"/>
    <col min="3" max="3" width="50.7109375" customWidth="1"/>
  </cols>
  <sheetData>
    <row r="1" spans="1:10">
      <c r="A1" s="8"/>
      <c r="B1" s="8"/>
      <c r="C1" s="8"/>
      <c r="D1" s="8"/>
      <c r="E1" s="8"/>
      <c r="F1" s="8"/>
      <c r="G1" s="8"/>
      <c r="H1" s="8"/>
      <c r="I1" s="8"/>
      <c r="J1" s="8"/>
    </row>
    <row r="2" spans="1:10" ht="18.75" customHeight="1">
      <c r="A2" s="8"/>
      <c r="B2" s="133" t="s">
        <v>1270</v>
      </c>
      <c r="C2" s="93"/>
      <c r="D2" s="93"/>
      <c r="E2" s="93"/>
      <c r="F2" s="93"/>
      <c r="G2" s="8"/>
      <c r="H2" s="8"/>
      <c r="I2" s="8"/>
      <c r="J2" s="8"/>
    </row>
    <row r="3" spans="1:10">
      <c r="A3" s="8"/>
      <c r="B3" s="8"/>
      <c r="C3" s="8"/>
      <c r="D3" s="8"/>
      <c r="E3" s="8"/>
      <c r="F3" s="8"/>
      <c r="G3" s="8"/>
      <c r="H3" s="8"/>
      <c r="I3" s="8"/>
      <c r="J3" s="8"/>
    </row>
    <row r="4" spans="1:10">
      <c r="A4" s="8"/>
      <c r="B4" s="135" t="s">
        <v>1271</v>
      </c>
      <c r="C4" s="93"/>
      <c r="D4" s="93"/>
      <c r="E4" s="93"/>
      <c r="F4" s="93"/>
      <c r="G4" s="8"/>
      <c r="H4" s="8"/>
      <c r="I4" s="8"/>
      <c r="J4" s="8"/>
    </row>
    <row r="5" spans="1:10">
      <c r="A5" s="8"/>
      <c r="B5" s="8"/>
      <c r="C5" s="8" t="s">
        <v>1272</v>
      </c>
      <c r="D5" s="8"/>
      <c r="E5" s="8"/>
      <c r="F5" s="8"/>
      <c r="G5" s="8"/>
      <c r="H5" s="8"/>
      <c r="I5" s="8"/>
      <c r="J5" s="8"/>
    </row>
    <row r="6" spans="1:10">
      <c r="A6" s="8"/>
      <c r="B6" s="8"/>
      <c r="C6" s="8" t="s">
        <v>1273</v>
      </c>
      <c r="D6" s="8"/>
      <c r="E6" s="8"/>
      <c r="F6" s="8"/>
      <c r="G6" s="8"/>
      <c r="H6" s="8"/>
      <c r="I6" s="8"/>
      <c r="J6" s="8"/>
    </row>
    <row r="7" spans="1:10">
      <c r="A7" s="8"/>
      <c r="B7" s="8"/>
      <c r="C7" s="8" t="s">
        <v>1274</v>
      </c>
      <c r="D7" s="8"/>
      <c r="E7" s="8"/>
      <c r="F7" s="8"/>
      <c r="G7" s="8"/>
      <c r="H7" s="8"/>
      <c r="I7" s="8"/>
      <c r="J7" s="8"/>
    </row>
    <row r="8" spans="1:10">
      <c r="A8" s="8"/>
      <c r="B8" s="8"/>
      <c r="C8" s="8"/>
      <c r="D8" s="8"/>
      <c r="E8" s="8"/>
      <c r="F8" s="8"/>
      <c r="G8" s="8"/>
      <c r="H8" s="8"/>
      <c r="I8" s="8"/>
      <c r="J8" s="8"/>
    </row>
    <row r="9" spans="1:10">
      <c r="A9" s="8"/>
      <c r="B9" s="135" t="s">
        <v>1275</v>
      </c>
      <c r="C9" s="93"/>
      <c r="D9" s="93"/>
      <c r="E9" s="93"/>
      <c r="F9" s="93"/>
      <c r="G9" s="8"/>
      <c r="H9" s="8"/>
      <c r="I9" s="8"/>
      <c r="J9" s="8"/>
    </row>
    <row r="10" spans="1:10">
      <c r="A10" s="8"/>
      <c r="B10" s="8"/>
      <c r="C10" s="8" t="s">
        <v>1276</v>
      </c>
      <c r="D10" s="8"/>
      <c r="E10" s="8"/>
      <c r="F10" s="8"/>
      <c r="G10" s="8"/>
      <c r="H10" s="8"/>
      <c r="I10" s="8"/>
      <c r="J10" s="8"/>
    </row>
    <row r="11" spans="1:10">
      <c r="A11" s="8"/>
      <c r="B11" s="8"/>
      <c r="C11" s="8" t="s">
        <v>1277</v>
      </c>
      <c r="D11" s="8"/>
      <c r="E11" s="8"/>
      <c r="F11" s="8"/>
      <c r="G11" s="8"/>
      <c r="H11" s="8"/>
      <c r="I11" s="8"/>
      <c r="J11" s="8"/>
    </row>
    <row r="12" spans="1:10">
      <c r="A12" s="8"/>
      <c r="B12" s="8"/>
      <c r="C12" s="8" t="s">
        <v>1278</v>
      </c>
      <c r="D12" s="8"/>
      <c r="E12" s="8"/>
      <c r="F12" s="8"/>
      <c r="G12" s="8"/>
      <c r="H12" s="8"/>
      <c r="I12" s="8"/>
      <c r="J12" s="8"/>
    </row>
    <row r="13" spans="1:10">
      <c r="A13" s="8"/>
      <c r="B13" s="8"/>
      <c r="C13" s="8"/>
      <c r="D13" s="8"/>
      <c r="E13" s="8"/>
      <c r="F13" s="8"/>
      <c r="G13" s="8"/>
      <c r="H13" s="8"/>
      <c r="I13" s="8"/>
      <c r="J13" s="8"/>
    </row>
    <row r="14" spans="1:10">
      <c r="A14" s="8"/>
      <c r="B14" s="135" t="s">
        <v>1279</v>
      </c>
      <c r="C14" s="93"/>
      <c r="D14" s="93"/>
      <c r="E14" s="93"/>
      <c r="F14" s="93"/>
      <c r="G14" s="8"/>
      <c r="H14" s="8"/>
      <c r="I14" s="8"/>
      <c r="J14" s="8"/>
    </row>
    <row r="15" spans="1:10">
      <c r="A15" s="8"/>
      <c r="B15" s="8"/>
      <c r="C15" s="8" t="s">
        <v>1280</v>
      </c>
      <c r="D15" s="8"/>
      <c r="E15" s="8"/>
      <c r="F15" s="8"/>
      <c r="G15" s="8"/>
      <c r="H15" s="8"/>
      <c r="I15" s="8"/>
      <c r="J15" s="8"/>
    </row>
    <row r="16" spans="1:10">
      <c r="A16" s="8"/>
      <c r="B16" s="8"/>
      <c r="C16" s="8" t="s">
        <v>1281</v>
      </c>
      <c r="D16" s="8"/>
      <c r="E16" s="8"/>
      <c r="F16" s="8"/>
      <c r="G16" s="8"/>
      <c r="H16" s="8"/>
      <c r="I16" s="8"/>
      <c r="J16" s="8"/>
    </row>
    <row r="17" spans="1:10">
      <c r="A17" s="8"/>
      <c r="B17" s="8"/>
      <c r="C17" s="8"/>
      <c r="D17" s="8"/>
      <c r="E17" s="8"/>
      <c r="F17" s="8"/>
      <c r="G17" s="8"/>
      <c r="H17" s="8"/>
      <c r="I17" s="8"/>
      <c r="J17" s="8"/>
    </row>
    <row r="18" spans="1:10">
      <c r="A18" s="8"/>
      <c r="B18" s="135" t="s">
        <v>1282</v>
      </c>
      <c r="C18" s="93"/>
      <c r="D18" s="93"/>
      <c r="E18" s="93"/>
      <c r="F18" s="93"/>
      <c r="G18" s="8"/>
      <c r="H18" s="8"/>
      <c r="I18" s="8"/>
      <c r="J18" s="8"/>
    </row>
    <row r="19" spans="1:10">
      <c r="A19" s="8"/>
      <c r="B19" s="8"/>
      <c r="C19" s="8" t="s">
        <v>1283</v>
      </c>
      <c r="D19" s="8"/>
      <c r="E19" s="8"/>
      <c r="F19" s="8"/>
      <c r="G19" s="8"/>
      <c r="H19" s="8"/>
      <c r="I19" s="8"/>
      <c r="J19" s="8"/>
    </row>
    <row r="20" spans="1:10">
      <c r="A20" s="8"/>
      <c r="B20" s="8"/>
      <c r="C20" s="8" t="s">
        <v>1284</v>
      </c>
      <c r="D20" s="8"/>
      <c r="E20" s="8"/>
      <c r="F20" s="8"/>
      <c r="G20" s="8"/>
      <c r="H20" s="8"/>
      <c r="I20" s="8"/>
      <c r="J20" s="8"/>
    </row>
    <row r="21" spans="1:10">
      <c r="A21" s="8"/>
      <c r="B21" s="8"/>
      <c r="C21" s="8" t="s">
        <v>1285</v>
      </c>
      <c r="D21" s="8"/>
      <c r="E21" s="8"/>
      <c r="F21" s="8"/>
      <c r="G21" s="8"/>
      <c r="H21" s="8"/>
      <c r="I21" s="8"/>
      <c r="J21" s="8"/>
    </row>
    <row r="22" spans="1:10">
      <c r="A22" s="8"/>
      <c r="B22" s="8"/>
      <c r="C22" s="8"/>
      <c r="D22" s="8"/>
      <c r="E22" s="8"/>
      <c r="F22" s="8"/>
      <c r="G22" s="8"/>
      <c r="H22" s="8"/>
      <c r="I22" s="8"/>
      <c r="J22" s="8"/>
    </row>
    <row r="23" spans="1:10">
      <c r="A23" s="8"/>
      <c r="B23" s="135" t="s">
        <v>1286</v>
      </c>
      <c r="C23" s="93"/>
      <c r="D23" s="93"/>
      <c r="E23" s="93"/>
      <c r="F23" s="93"/>
      <c r="G23" s="8"/>
      <c r="H23" s="8"/>
      <c r="I23" s="8"/>
      <c r="J23" s="8"/>
    </row>
    <row r="24" spans="1:10">
      <c r="A24" s="8"/>
      <c r="B24" s="8"/>
      <c r="C24" s="8" t="s">
        <v>1287</v>
      </c>
      <c r="D24" s="8"/>
      <c r="E24" s="8"/>
      <c r="F24" s="8"/>
      <c r="G24" s="8"/>
      <c r="H24" s="8"/>
      <c r="I24" s="8"/>
      <c r="J24" s="8"/>
    </row>
    <row r="25" spans="1:10">
      <c r="A25" s="8"/>
      <c r="B25" s="8"/>
      <c r="C25" s="8" t="s">
        <v>1288</v>
      </c>
      <c r="D25" s="8"/>
      <c r="E25" s="8"/>
      <c r="F25" s="8"/>
      <c r="G25" s="8"/>
      <c r="H25" s="8"/>
      <c r="I25" s="8"/>
      <c r="J25" s="8"/>
    </row>
    <row r="26" spans="1:10">
      <c r="A26" s="8"/>
      <c r="B26" s="8"/>
      <c r="C26" s="8"/>
      <c r="D26" s="8"/>
      <c r="E26" s="8"/>
      <c r="F26" s="8"/>
      <c r="G26" s="8"/>
      <c r="H26" s="8"/>
      <c r="I26" s="8"/>
      <c r="J26" s="8"/>
    </row>
    <row r="27" spans="1:10">
      <c r="A27" s="8"/>
      <c r="B27" s="135" t="s">
        <v>1289</v>
      </c>
      <c r="C27" s="93"/>
      <c r="D27" s="93"/>
      <c r="E27" s="93"/>
      <c r="F27" s="93"/>
      <c r="G27" s="8"/>
      <c r="H27" s="8"/>
      <c r="I27" s="8"/>
      <c r="J27" s="8"/>
    </row>
    <row r="28" spans="1:10">
      <c r="A28" s="8"/>
      <c r="B28" s="8"/>
      <c r="C28" s="8" t="s">
        <v>1290</v>
      </c>
      <c r="D28" s="8"/>
      <c r="E28" s="8"/>
      <c r="F28" s="8"/>
      <c r="G28" s="8"/>
      <c r="H28" s="8"/>
      <c r="I28" s="8"/>
      <c r="J28" s="8"/>
    </row>
    <row r="29" spans="1:10">
      <c r="A29" s="8"/>
      <c r="B29" s="8"/>
      <c r="C29" s="8" t="s">
        <v>1291</v>
      </c>
      <c r="D29" s="8"/>
      <c r="E29" s="8"/>
      <c r="F29" s="8"/>
      <c r="G29" s="8"/>
      <c r="H29" s="8"/>
      <c r="I29" s="8"/>
      <c r="J29" s="8"/>
    </row>
    <row r="30" spans="1:10">
      <c r="A30" s="8"/>
      <c r="B30" s="8"/>
      <c r="C30" s="8"/>
      <c r="D30" s="8"/>
      <c r="E30" s="8"/>
      <c r="F30" s="8"/>
      <c r="G30" s="8"/>
      <c r="H30" s="8"/>
      <c r="I30" s="8"/>
      <c r="J30" s="8"/>
    </row>
    <row r="31" spans="1:10">
      <c r="A31" s="8"/>
      <c r="B31" s="8"/>
      <c r="C31" s="8"/>
      <c r="D31" s="8"/>
      <c r="E31" s="8"/>
      <c r="F31" s="8"/>
      <c r="G31" s="8"/>
      <c r="H31" s="8"/>
      <c r="I31" s="8"/>
      <c r="J31" s="8"/>
    </row>
    <row r="32" spans="1:10">
      <c r="A32" s="8"/>
      <c r="B32" s="8"/>
      <c r="C32" s="8"/>
      <c r="D32" s="8"/>
      <c r="E32" s="8"/>
      <c r="F32" s="8"/>
      <c r="G32" s="8"/>
      <c r="H32" s="8"/>
      <c r="I32" s="8"/>
      <c r="J32" s="8"/>
    </row>
    <row r="33" spans="1:10">
      <c r="A33" s="8"/>
      <c r="B33" s="8"/>
      <c r="C33" s="8"/>
      <c r="D33" s="8"/>
      <c r="E33" s="8"/>
      <c r="F33" s="8"/>
      <c r="G33" s="8"/>
      <c r="H33" s="8"/>
      <c r="I33" s="8"/>
      <c r="J33" s="8"/>
    </row>
    <row r="34" spans="1:10">
      <c r="A34" s="8"/>
      <c r="B34" s="8"/>
      <c r="C34" s="8"/>
      <c r="D34" s="8"/>
      <c r="E34" s="8"/>
      <c r="F34" s="8"/>
      <c r="G34" s="8"/>
      <c r="H34" s="8"/>
      <c r="I34" s="8"/>
      <c r="J34" s="8"/>
    </row>
    <row r="35" spans="1:10">
      <c r="A35" s="8"/>
      <c r="B35" s="8"/>
      <c r="C35" s="8"/>
      <c r="D35" s="8"/>
      <c r="E35" s="8"/>
      <c r="F35" s="8"/>
      <c r="G35" s="8"/>
      <c r="H35" s="8"/>
      <c r="I35" s="8"/>
      <c r="J35" s="8"/>
    </row>
    <row r="36" spans="1:10">
      <c r="A36" s="8"/>
      <c r="B36" s="8"/>
      <c r="C36" s="8"/>
      <c r="D36" s="8"/>
      <c r="E36" s="8"/>
      <c r="F36" s="8"/>
      <c r="G36" s="8"/>
      <c r="H36" s="8"/>
      <c r="I36" s="8"/>
      <c r="J36" s="8"/>
    </row>
    <row r="37" spans="1:10">
      <c r="A37" s="8"/>
      <c r="B37" s="8"/>
      <c r="C37" s="8"/>
      <c r="D37" s="8"/>
      <c r="E37" s="8"/>
      <c r="F37" s="8"/>
      <c r="G37" s="8"/>
      <c r="H37" s="8"/>
      <c r="I37" s="8"/>
      <c r="J37" s="8"/>
    </row>
    <row r="38" spans="1:10">
      <c r="A38" s="8"/>
      <c r="B38" s="8"/>
      <c r="C38" s="8"/>
      <c r="D38" s="8"/>
      <c r="E38" s="8"/>
      <c r="F38" s="8"/>
      <c r="G38" s="8"/>
      <c r="H38" s="8"/>
      <c r="I38" s="8"/>
      <c r="J38" s="8"/>
    </row>
    <row r="39" spans="1:10">
      <c r="A39" s="8"/>
      <c r="B39" s="8"/>
      <c r="C39" s="8"/>
      <c r="D39" s="8"/>
      <c r="E39" s="8"/>
      <c r="F39" s="8"/>
      <c r="G39" s="8"/>
      <c r="H39" s="8"/>
      <c r="I39" s="8"/>
      <c r="J39" s="8"/>
    </row>
    <row r="40" spans="1:10">
      <c r="A40" s="8"/>
      <c r="B40" s="8"/>
      <c r="C40" s="8"/>
      <c r="D40" s="8"/>
      <c r="E40" s="8"/>
      <c r="F40" s="8"/>
      <c r="G40" s="8"/>
      <c r="H40" s="8"/>
      <c r="I40" s="8"/>
      <c r="J40" s="8"/>
    </row>
    <row r="41" spans="1:10">
      <c r="A41" s="8"/>
      <c r="B41" s="8"/>
      <c r="C41" s="8"/>
      <c r="D41" s="8"/>
      <c r="E41" s="8"/>
      <c r="F41" s="8"/>
      <c r="G41" s="8"/>
      <c r="H41" s="8"/>
      <c r="I41" s="8"/>
      <c r="J41" s="8"/>
    </row>
    <row r="42" spans="1:10">
      <c r="A42" s="8"/>
      <c r="B42" s="8"/>
      <c r="C42" s="8"/>
      <c r="D42" s="8"/>
      <c r="E42" s="8"/>
      <c r="F42" s="8"/>
      <c r="G42" s="8"/>
      <c r="H42" s="8"/>
      <c r="I42" s="8"/>
      <c r="J42" s="8"/>
    </row>
    <row r="43" spans="1:10">
      <c r="A43" s="8"/>
      <c r="B43" s="8"/>
      <c r="C43" s="8"/>
      <c r="D43" s="8"/>
      <c r="E43" s="8"/>
      <c r="F43" s="8"/>
      <c r="G43" s="8"/>
      <c r="H43" s="8"/>
      <c r="I43" s="8"/>
      <c r="J43" s="8"/>
    </row>
    <row r="44" spans="1:10">
      <c r="A44" s="8"/>
      <c r="B44" s="8"/>
      <c r="C44" s="8"/>
      <c r="D44" s="8"/>
      <c r="E44" s="8"/>
      <c r="F44" s="8"/>
      <c r="G44" s="8"/>
      <c r="H44" s="8"/>
      <c r="I44" s="8"/>
      <c r="J44" s="8"/>
    </row>
    <row r="45" spans="1:10">
      <c r="A45" s="8"/>
      <c r="B45" s="8"/>
      <c r="C45" s="8"/>
      <c r="D45" s="8"/>
      <c r="E45" s="8"/>
      <c r="F45" s="8"/>
      <c r="G45" s="8"/>
      <c r="H45" s="8"/>
      <c r="I45" s="8"/>
      <c r="J45" s="8"/>
    </row>
    <row r="46" spans="1:10">
      <c r="A46" s="8"/>
      <c r="B46" s="8"/>
      <c r="C46" s="8"/>
      <c r="D46" s="8"/>
      <c r="E46" s="8"/>
      <c r="F46" s="8"/>
      <c r="G46" s="8"/>
      <c r="H46" s="8"/>
      <c r="I46" s="8"/>
      <c r="J46" s="8"/>
    </row>
    <row r="47" spans="1:10">
      <c r="A47" s="8"/>
      <c r="B47" s="8"/>
      <c r="C47" s="8"/>
      <c r="D47" s="8"/>
      <c r="E47" s="8"/>
      <c r="F47" s="8"/>
      <c r="G47" s="8"/>
      <c r="H47" s="8"/>
      <c r="I47" s="8"/>
      <c r="J47" s="8"/>
    </row>
    <row r="48" spans="1:10">
      <c r="A48" s="8"/>
      <c r="B48" s="8"/>
      <c r="C48" s="8"/>
      <c r="D48" s="8"/>
      <c r="E48" s="8"/>
      <c r="F48" s="8"/>
      <c r="G48" s="8"/>
      <c r="H48" s="8"/>
      <c r="I48" s="8"/>
      <c r="J48" s="8"/>
    </row>
    <row r="49" spans="1:10">
      <c r="A49" s="8"/>
      <c r="B49" s="8"/>
      <c r="C49" s="8"/>
      <c r="D49" s="8"/>
      <c r="E49" s="8"/>
      <c r="F49" s="8"/>
      <c r="G49" s="8"/>
      <c r="H49" s="8"/>
      <c r="I49" s="8"/>
      <c r="J49" s="8"/>
    </row>
    <row r="50" spans="1:10">
      <c r="A50" s="8"/>
      <c r="B50" s="8"/>
      <c r="C50" s="8"/>
      <c r="D50" s="8"/>
      <c r="E50" s="8"/>
      <c r="F50" s="8"/>
      <c r="G50" s="8"/>
      <c r="H50" s="8"/>
      <c r="I50" s="8"/>
      <c r="J50" s="8"/>
    </row>
    <row r="51" spans="1:10">
      <c r="A51" s="8"/>
      <c r="B51" s="8"/>
      <c r="C51" s="8"/>
      <c r="D51" s="8"/>
      <c r="E51" s="8"/>
      <c r="F51" s="8"/>
      <c r="G51" s="8"/>
      <c r="H51" s="8"/>
      <c r="I51" s="8"/>
      <c r="J51" s="8"/>
    </row>
    <row r="52" spans="1:10">
      <c r="A52" s="8"/>
      <c r="B52" s="8"/>
      <c r="C52" s="8"/>
      <c r="D52" s="8"/>
      <c r="E52" s="8"/>
      <c r="F52" s="8"/>
      <c r="G52" s="8"/>
      <c r="H52" s="8"/>
      <c r="I52" s="8"/>
      <c r="J52" s="8"/>
    </row>
    <row r="53" spans="1:10">
      <c r="A53" s="8"/>
      <c r="B53" s="8"/>
      <c r="C53" s="8"/>
      <c r="D53" s="8"/>
      <c r="E53" s="8"/>
      <c r="F53" s="8"/>
      <c r="G53" s="8"/>
      <c r="H53" s="8"/>
      <c r="I53" s="8"/>
      <c r="J53" s="8"/>
    </row>
    <row r="54" spans="1:10">
      <c r="A54" s="8"/>
      <c r="B54" s="8"/>
      <c r="C54" s="8"/>
      <c r="D54" s="8"/>
      <c r="E54" s="8"/>
      <c r="F54" s="8"/>
      <c r="G54" s="8"/>
      <c r="H54" s="8"/>
      <c r="I54" s="8"/>
      <c r="J54" s="8"/>
    </row>
    <row r="55" spans="1:10">
      <c r="A55" s="8"/>
      <c r="B55" s="8"/>
      <c r="C55" s="8"/>
      <c r="D55" s="8"/>
      <c r="E55" s="8"/>
      <c r="F55" s="8"/>
      <c r="G55" s="8"/>
      <c r="H55" s="8"/>
      <c r="I55" s="8"/>
      <c r="J55" s="8"/>
    </row>
    <row r="56" spans="1:10">
      <c r="A56" s="8"/>
      <c r="B56" s="8"/>
      <c r="C56" s="8"/>
      <c r="D56" s="8"/>
      <c r="E56" s="8"/>
      <c r="F56" s="8"/>
      <c r="G56" s="8"/>
      <c r="H56" s="8"/>
      <c r="I56" s="8"/>
      <c r="J56" s="8"/>
    </row>
    <row r="57" spans="1:10">
      <c r="A57" s="8"/>
      <c r="B57" s="8"/>
      <c r="C57" s="8"/>
      <c r="D57" s="8"/>
      <c r="E57" s="8"/>
      <c r="F57" s="8"/>
      <c r="G57" s="8"/>
      <c r="H57" s="8"/>
      <c r="I57" s="8"/>
      <c r="J57" s="8"/>
    </row>
    <row r="58" spans="1:10">
      <c r="A58" s="8"/>
      <c r="B58" s="8"/>
      <c r="C58" s="8"/>
      <c r="D58" s="8"/>
      <c r="E58" s="8"/>
      <c r="F58" s="8"/>
      <c r="G58" s="8"/>
      <c r="H58" s="8"/>
      <c r="I58" s="8"/>
      <c r="J58" s="8"/>
    </row>
    <row r="59" spans="1:10">
      <c r="A59" s="8"/>
      <c r="B59" s="8"/>
      <c r="C59" s="8"/>
      <c r="D59" s="8"/>
      <c r="E59" s="8"/>
      <c r="F59" s="8"/>
      <c r="G59" s="8"/>
      <c r="H59" s="8"/>
      <c r="I59" s="8"/>
      <c r="J59" s="8"/>
    </row>
    <row r="60" spans="1:10">
      <c r="A60" s="8"/>
      <c r="B60" s="8"/>
      <c r="C60" s="8"/>
      <c r="D60" s="8"/>
      <c r="E60" s="8"/>
      <c r="F60" s="8"/>
      <c r="G60" s="8"/>
      <c r="H60" s="8"/>
      <c r="I60" s="8"/>
      <c r="J60" s="8"/>
    </row>
    <row r="61" spans="1:10">
      <c r="A61" s="8"/>
      <c r="B61" s="8"/>
      <c r="C61" s="8"/>
      <c r="D61" s="8"/>
      <c r="E61" s="8"/>
      <c r="F61" s="8"/>
      <c r="G61" s="8"/>
      <c r="H61" s="8"/>
      <c r="I61" s="8"/>
      <c r="J61" s="8"/>
    </row>
    <row r="62" spans="1:10">
      <c r="A62" s="8"/>
      <c r="B62" s="8"/>
      <c r="C62" s="8"/>
      <c r="D62" s="8"/>
      <c r="E62" s="8"/>
      <c r="F62" s="8"/>
      <c r="G62" s="8"/>
      <c r="H62" s="8"/>
      <c r="I62" s="8"/>
      <c r="J62" s="8"/>
    </row>
    <row r="63" spans="1:10">
      <c r="A63" s="8"/>
      <c r="B63" s="8"/>
      <c r="C63" s="8"/>
      <c r="D63" s="8"/>
      <c r="E63" s="8"/>
      <c r="F63" s="8"/>
      <c r="G63" s="8"/>
      <c r="H63" s="8"/>
      <c r="I63" s="8"/>
      <c r="J63" s="8"/>
    </row>
    <row r="64" spans="1:10">
      <c r="A64" s="8"/>
      <c r="B64" s="8"/>
      <c r="C64" s="8"/>
      <c r="D64" s="8"/>
      <c r="E64" s="8"/>
      <c r="F64" s="8"/>
      <c r="G64" s="8"/>
      <c r="H64" s="8"/>
      <c r="I64" s="8"/>
      <c r="J64" s="8"/>
    </row>
    <row r="65" spans="1:10">
      <c r="A65" s="8"/>
      <c r="B65" s="8"/>
      <c r="C65" s="8"/>
      <c r="D65" s="8"/>
      <c r="E65" s="8"/>
      <c r="F65" s="8"/>
      <c r="G65" s="8"/>
      <c r="H65" s="8"/>
      <c r="I65" s="8"/>
      <c r="J65" s="8"/>
    </row>
    <row r="66" spans="1:10">
      <c r="A66" s="8"/>
      <c r="B66" s="8"/>
      <c r="C66" s="8"/>
      <c r="D66" s="8"/>
      <c r="E66" s="8"/>
      <c r="F66" s="8"/>
      <c r="G66" s="8"/>
      <c r="H66" s="8"/>
      <c r="I66" s="8"/>
      <c r="J66" s="8"/>
    </row>
    <row r="67" spans="1:10">
      <c r="A67" s="8"/>
      <c r="B67" s="8"/>
      <c r="C67" s="8"/>
      <c r="D67" s="8"/>
      <c r="E67" s="8"/>
      <c r="F67" s="8"/>
      <c r="G67" s="8"/>
      <c r="H67" s="8"/>
      <c r="I67" s="8"/>
      <c r="J67" s="8"/>
    </row>
    <row r="68" spans="1:10">
      <c r="A68" s="8"/>
      <c r="B68" s="8"/>
      <c r="C68" s="8"/>
      <c r="D68" s="8"/>
      <c r="E68" s="8"/>
      <c r="F68" s="8"/>
      <c r="G68" s="8"/>
      <c r="H68" s="8"/>
      <c r="I68" s="8"/>
      <c r="J68" s="8"/>
    </row>
    <row r="69" spans="1:10">
      <c r="A69" s="8"/>
      <c r="B69" s="8"/>
      <c r="C69" s="8"/>
      <c r="D69" s="8"/>
      <c r="E69" s="8"/>
      <c r="F69" s="8"/>
      <c r="G69" s="8"/>
      <c r="H69" s="8"/>
      <c r="I69" s="8"/>
      <c r="J69" s="8"/>
    </row>
    <row r="70" spans="1:10">
      <c r="A70" s="8"/>
      <c r="B70" s="8"/>
      <c r="C70" s="8"/>
      <c r="D70" s="8"/>
      <c r="E70" s="8"/>
      <c r="F70" s="8"/>
      <c r="G70" s="8"/>
      <c r="H70" s="8"/>
      <c r="I70" s="8"/>
      <c r="J70" s="8"/>
    </row>
    <row r="71" spans="1:10">
      <c r="A71" s="8"/>
      <c r="B71" s="8"/>
      <c r="C71" s="8"/>
      <c r="D71" s="8"/>
      <c r="E71" s="8"/>
      <c r="F71" s="8"/>
      <c r="G71" s="8"/>
      <c r="H71" s="8"/>
      <c r="I71" s="8"/>
      <c r="J71" s="8"/>
    </row>
    <row r="72" spans="1:10">
      <c r="A72" s="8"/>
      <c r="B72" s="8"/>
      <c r="C72" s="8"/>
      <c r="D72" s="8"/>
      <c r="E72" s="8"/>
      <c r="F72" s="8"/>
      <c r="G72" s="8"/>
      <c r="H72" s="8"/>
      <c r="I72" s="8"/>
      <c r="J72" s="8"/>
    </row>
    <row r="73" spans="1:10">
      <c r="A73" s="8"/>
      <c r="B73" s="8"/>
      <c r="C73" s="8"/>
      <c r="D73" s="8"/>
      <c r="E73" s="8"/>
      <c r="F73" s="8"/>
      <c r="G73" s="8"/>
      <c r="H73" s="8"/>
      <c r="I73" s="8"/>
      <c r="J73" s="8"/>
    </row>
    <row r="74" spans="1:10">
      <c r="A74" s="8"/>
      <c r="B74" s="8"/>
      <c r="C74" s="8"/>
      <c r="D74" s="8"/>
      <c r="E74" s="8"/>
      <c r="F74" s="8"/>
      <c r="G74" s="8"/>
      <c r="H74" s="8"/>
      <c r="I74" s="8"/>
      <c r="J74" s="8"/>
    </row>
    <row r="75" spans="1:10">
      <c r="A75" s="8"/>
      <c r="B75" s="8"/>
      <c r="C75" s="8"/>
      <c r="D75" s="8"/>
      <c r="E75" s="8"/>
      <c r="F75" s="8"/>
      <c r="G75" s="8"/>
      <c r="H75" s="8"/>
      <c r="I75" s="8"/>
      <c r="J75" s="8"/>
    </row>
    <row r="76" spans="1:10">
      <c r="A76" s="8"/>
      <c r="B76" s="8"/>
      <c r="C76" s="8"/>
      <c r="D76" s="8"/>
      <c r="E76" s="8"/>
      <c r="F76" s="8"/>
      <c r="G76" s="8"/>
      <c r="H76" s="8"/>
      <c r="I76" s="8"/>
      <c r="J76" s="8"/>
    </row>
    <row r="77" spans="1:10">
      <c r="A77" s="8"/>
      <c r="B77" s="8"/>
      <c r="C77" s="8"/>
      <c r="D77" s="8"/>
      <c r="E77" s="8"/>
      <c r="F77" s="8"/>
      <c r="G77" s="8"/>
      <c r="H77" s="8"/>
      <c r="I77" s="8"/>
      <c r="J77" s="8"/>
    </row>
    <row r="78" spans="1:10">
      <c r="A78" s="8"/>
      <c r="B78" s="8"/>
      <c r="C78" s="8"/>
      <c r="D78" s="8"/>
      <c r="E78" s="8"/>
      <c r="F78" s="8"/>
      <c r="G78" s="8"/>
      <c r="H78" s="8"/>
      <c r="I78" s="8"/>
      <c r="J78" s="8"/>
    </row>
    <row r="79" spans="1:10">
      <c r="A79" s="8"/>
      <c r="B79" s="8"/>
      <c r="C79" s="8"/>
      <c r="D79" s="8"/>
      <c r="E79" s="8"/>
      <c r="F79" s="8"/>
      <c r="G79" s="8"/>
      <c r="H79" s="8"/>
      <c r="I79" s="8"/>
      <c r="J79" s="8"/>
    </row>
    <row r="80" spans="1:10">
      <c r="A80" s="8"/>
      <c r="B80" s="8"/>
      <c r="C80" s="8"/>
      <c r="D80" s="8"/>
      <c r="E80" s="8"/>
      <c r="F80" s="8"/>
      <c r="G80" s="8"/>
      <c r="H80" s="8"/>
      <c r="I80" s="8"/>
      <c r="J80" s="8"/>
    </row>
    <row r="81" spans="1:10">
      <c r="A81" s="8"/>
      <c r="B81" s="8"/>
      <c r="C81" s="8"/>
      <c r="D81" s="8"/>
      <c r="E81" s="8"/>
      <c r="F81" s="8"/>
      <c r="G81" s="8"/>
      <c r="H81" s="8"/>
      <c r="I81" s="8"/>
      <c r="J81" s="8"/>
    </row>
    <row r="82" spans="1:10">
      <c r="A82" s="8"/>
      <c r="B82" s="8"/>
      <c r="C82" s="8"/>
      <c r="D82" s="8"/>
      <c r="E82" s="8"/>
      <c r="F82" s="8"/>
      <c r="G82" s="8"/>
      <c r="H82" s="8"/>
      <c r="I82" s="8"/>
      <c r="J82" s="8"/>
    </row>
    <row r="83" spans="1:10">
      <c r="A83" s="8"/>
      <c r="B83" s="8"/>
      <c r="C83" s="8"/>
      <c r="D83" s="8"/>
      <c r="E83" s="8"/>
      <c r="F83" s="8"/>
      <c r="G83" s="8"/>
      <c r="H83" s="8"/>
      <c r="I83" s="8"/>
      <c r="J83" s="8"/>
    </row>
    <row r="84" spans="1:10">
      <c r="A84" s="8"/>
      <c r="B84" s="8"/>
      <c r="C84" s="8"/>
      <c r="D84" s="8"/>
      <c r="E84" s="8"/>
      <c r="F84" s="8"/>
      <c r="G84" s="8"/>
      <c r="H84" s="8"/>
      <c r="I84" s="8"/>
      <c r="J84" s="8"/>
    </row>
    <row r="85" spans="1:10">
      <c r="A85" s="8"/>
      <c r="B85" s="8"/>
      <c r="C85" s="8"/>
      <c r="D85" s="8"/>
      <c r="E85" s="8"/>
      <c r="F85" s="8"/>
      <c r="G85" s="8"/>
      <c r="H85" s="8"/>
      <c r="I85" s="8"/>
      <c r="J85" s="8"/>
    </row>
    <row r="86" spans="1:10">
      <c r="A86" s="8"/>
      <c r="B86" s="8"/>
      <c r="C86" s="8"/>
      <c r="D86" s="8"/>
      <c r="E86" s="8"/>
      <c r="F86" s="8"/>
      <c r="G86" s="8"/>
      <c r="H86" s="8"/>
      <c r="I86" s="8"/>
      <c r="J86" s="8"/>
    </row>
    <row r="87" spans="1:10">
      <c r="A87" s="8"/>
      <c r="B87" s="8"/>
      <c r="C87" s="8"/>
      <c r="D87" s="8"/>
      <c r="E87" s="8"/>
      <c r="F87" s="8"/>
      <c r="G87" s="8"/>
      <c r="H87" s="8"/>
      <c r="I87" s="8"/>
      <c r="J87" s="8"/>
    </row>
    <row r="88" spans="1:10">
      <c r="A88" s="8"/>
      <c r="B88" s="8"/>
      <c r="C88" s="8"/>
      <c r="D88" s="8"/>
      <c r="E88" s="8"/>
      <c r="F88" s="8"/>
      <c r="G88" s="8"/>
      <c r="H88" s="8"/>
      <c r="I88" s="8"/>
      <c r="J88" s="8"/>
    </row>
    <row r="89" spans="1:10">
      <c r="A89" s="8"/>
      <c r="B89" s="8"/>
      <c r="C89" s="8"/>
      <c r="D89" s="8"/>
      <c r="E89" s="8"/>
      <c r="F89" s="8"/>
      <c r="G89" s="8"/>
      <c r="H89" s="8"/>
      <c r="I89" s="8"/>
      <c r="J89" s="8"/>
    </row>
    <row r="90" spans="1:10">
      <c r="A90" s="8"/>
      <c r="B90" s="8"/>
      <c r="C90" s="8"/>
      <c r="D90" s="8"/>
      <c r="E90" s="8"/>
      <c r="F90" s="8"/>
      <c r="G90" s="8"/>
      <c r="H90" s="8"/>
      <c r="I90" s="8"/>
      <c r="J90" s="8"/>
    </row>
    <row r="91" spans="1:10">
      <c r="A91" s="8"/>
      <c r="B91" s="8"/>
      <c r="C91" s="8"/>
      <c r="D91" s="8"/>
      <c r="E91" s="8"/>
      <c r="F91" s="8"/>
      <c r="G91" s="8"/>
      <c r="H91" s="8"/>
      <c r="I91" s="8"/>
      <c r="J91" s="8"/>
    </row>
    <row r="92" spans="1:10">
      <c r="A92" s="8"/>
      <c r="B92" s="8"/>
      <c r="C92" s="8"/>
      <c r="D92" s="8"/>
      <c r="E92" s="8"/>
      <c r="F92" s="8"/>
      <c r="G92" s="8"/>
      <c r="H92" s="8"/>
      <c r="I92" s="8"/>
      <c r="J92" s="8"/>
    </row>
    <row r="93" spans="1:10">
      <c r="A93" s="8"/>
      <c r="B93" s="8"/>
      <c r="C93" s="8"/>
      <c r="D93" s="8"/>
      <c r="E93" s="8"/>
      <c r="F93" s="8"/>
      <c r="G93" s="8"/>
      <c r="H93" s="8"/>
      <c r="I93" s="8"/>
      <c r="J93" s="8"/>
    </row>
    <row r="94" spans="1:10">
      <c r="A94" s="8"/>
      <c r="B94" s="8"/>
      <c r="C94" s="8"/>
      <c r="D94" s="8"/>
      <c r="E94" s="8"/>
      <c r="F94" s="8"/>
      <c r="G94" s="8"/>
      <c r="H94" s="8"/>
      <c r="I94" s="8"/>
      <c r="J94" s="8"/>
    </row>
    <row r="95" spans="1:10">
      <c r="A95" s="8"/>
      <c r="B95" s="8"/>
      <c r="C95" s="8"/>
      <c r="D95" s="8"/>
      <c r="E95" s="8"/>
      <c r="F95" s="8"/>
      <c r="G95" s="8"/>
      <c r="H95" s="8"/>
      <c r="I95" s="8"/>
      <c r="J95" s="8"/>
    </row>
    <row r="96" spans="1:10">
      <c r="A96" s="8"/>
      <c r="B96" s="8"/>
      <c r="C96" s="8"/>
      <c r="D96" s="8"/>
      <c r="E96" s="8"/>
      <c r="F96" s="8"/>
      <c r="G96" s="8"/>
      <c r="H96" s="8"/>
      <c r="I96" s="8"/>
      <c r="J96" s="8"/>
    </row>
    <row r="97" spans="1:10">
      <c r="A97" s="8"/>
      <c r="B97" s="8"/>
      <c r="C97" s="8"/>
      <c r="D97" s="8"/>
      <c r="E97" s="8"/>
      <c r="F97" s="8"/>
      <c r="G97" s="8"/>
      <c r="H97" s="8"/>
      <c r="I97" s="8"/>
      <c r="J97" s="8"/>
    </row>
    <row r="98" spans="1:10">
      <c r="A98" s="8"/>
      <c r="B98" s="8"/>
      <c r="C98" s="8"/>
      <c r="D98" s="8"/>
      <c r="E98" s="8"/>
      <c r="F98" s="8"/>
      <c r="G98" s="8"/>
      <c r="H98" s="8"/>
      <c r="I98" s="8"/>
      <c r="J98" s="8"/>
    </row>
    <row r="99" spans="1:10">
      <c r="A99" s="8"/>
      <c r="B99" s="8"/>
      <c r="C99" s="8"/>
      <c r="D99" s="8"/>
      <c r="E99" s="8"/>
      <c r="F99" s="8"/>
      <c r="G99" s="8"/>
      <c r="H99" s="8"/>
      <c r="I99" s="8"/>
      <c r="J99" s="8"/>
    </row>
    <row r="100" spans="1:10">
      <c r="A100" s="8"/>
      <c r="B100" s="8"/>
      <c r="C100" s="8"/>
      <c r="D100" s="8"/>
      <c r="E100" s="8"/>
      <c r="F100" s="8"/>
      <c r="G100" s="8"/>
      <c r="H100" s="8"/>
      <c r="I100" s="8"/>
      <c r="J100" s="8"/>
    </row>
  </sheetData>
  <mergeCells count="7">
    <mergeCell ref="B27:F27"/>
    <mergeCell ref="B4:F4"/>
    <mergeCell ref="B9:F9"/>
    <mergeCell ref="B2:F2"/>
    <mergeCell ref="B23:F23"/>
    <mergeCell ref="B14:F14"/>
    <mergeCell ref="B18:F18"/>
  </mergeCells>
  <pageMargins left="0.75" right="0.75" top="1" bottom="1" header="0.5" footer="0.5"/>
  <pageSetup paperSize="0" orientation="portrait" horizontalDpi="0" verticalDpi="0" copie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25"/>
  <dimension ref="A1:T101"/>
  <sheetViews>
    <sheetView workbookViewId="0"/>
  </sheetViews>
  <sheetFormatPr baseColWidth="10" defaultColWidth="9.140625" defaultRowHeight="15"/>
  <cols>
    <col min="1" max="1" width="9.42578125" bestFit="1" customWidth="1"/>
    <col min="2" max="2" width="21.42578125" bestFit="1" customWidth="1"/>
    <col min="3" max="4" width="14.140625" bestFit="1" customWidth="1"/>
    <col min="5" max="5" width="25.7109375" bestFit="1" customWidth="1"/>
    <col min="6" max="6" width="23.85546875" bestFit="1" customWidth="1"/>
    <col min="7" max="7" width="26" bestFit="1" customWidth="1"/>
    <col min="8" max="8" width="19" bestFit="1" customWidth="1"/>
    <col min="9" max="9" width="39.42578125" bestFit="1" customWidth="1"/>
    <col min="10" max="10" width="14" bestFit="1" customWidth="1"/>
    <col min="11" max="11" width="16.28515625" bestFit="1" customWidth="1"/>
    <col min="12" max="12" width="13.42578125" bestFit="1" customWidth="1"/>
    <col min="14" max="14" width="10.140625" bestFit="1" customWidth="1"/>
    <col min="15" max="15" width="13.85546875" bestFit="1" customWidth="1"/>
    <col min="16" max="16" width="11.140625" bestFit="1" customWidth="1"/>
    <col min="17" max="17" width="6.85546875" bestFit="1" customWidth="1"/>
    <col min="18" max="18" width="14.42578125" bestFit="1" customWidth="1"/>
    <col min="19" max="19" width="10.7109375" bestFit="1" customWidth="1"/>
    <col min="20" max="20" width="44.7109375" bestFit="1" customWidth="1"/>
  </cols>
  <sheetData>
    <row r="1" spans="1:20" ht="30" customHeight="1">
      <c r="A1" s="7" t="s">
        <v>1292</v>
      </c>
      <c r="B1" s="7" t="s">
        <v>1293</v>
      </c>
      <c r="C1" s="7" t="s">
        <v>1294</v>
      </c>
      <c r="D1" s="7" t="s">
        <v>1295</v>
      </c>
      <c r="E1" s="7" t="s">
        <v>1296</v>
      </c>
      <c r="F1" s="7" t="s">
        <v>1297</v>
      </c>
      <c r="G1" s="7" t="s">
        <v>1298</v>
      </c>
      <c r="H1" s="7" t="s">
        <v>83</v>
      </c>
      <c r="I1" s="7" t="s">
        <v>135</v>
      </c>
      <c r="J1" s="7" t="s">
        <v>79</v>
      </c>
      <c r="K1" s="7" t="s">
        <v>1299</v>
      </c>
      <c r="L1" s="7" t="s">
        <v>1300</v>
      </c>
      <c r="M1" s="7" t="s">
        <v>159</v>
      </c>
      <c r="N1" s="7" t="s">
        <v>160</v>
      </c>
      <c r="O1" s="7" t="s">
        <v>161</v>
      </c>
      <c r="P1" s="7" t="s">
        <v>1301</v>
      </c>
      <c r="Q1" s="7" t="s">
        <v>81</v>
      </c>
      <c r="R1" s="7" t="s">
        <v>1302</v>
      </c>
      <c r="S1" s="7" t="s">
        <v>1303</v>
      </c>
      <c r="T1" s="7" t="s">
        <v>1304</v>
      </c>
    </row>
    <row r="2" spans="1:20">
      <c r="A2" s="8" t="s">
        <v>1305</v>
      </c>
      <c r="B2" s="8" t="s">
        <v>1306</v>
      </c>
      <c r="C2" s="8" t="s">
        <v>1307</v>
      </c>
      <c r="D2" s="8" t="s">
        <v>1308</v>
      </c>
      <c r="E2" s="8" t="s">
        <v>1309</v>
      </c>
      <c r="F2" s="8" t="s">
        <v>1310</v>
      </c>
      <c r="G2" s="8" t="s">
        <v>1311</v>
      </c>
      <c r="H2" s="8" t="s">
        <v>940</v>
      </c>
      <c r="I2" s="8" t="s">
        <v>1312</v>
      </c>
      <c r="J2" s="8" t="s">
        <v>757</v>
      </c>
      <c r="K2" s="8" t="s">
        <v>1313</v>
      </c>
      <c r="L2" s="8" t="s">
        <v>1314</v>
      </c>
      <c r="M2" s="8" t="s">
        <v>150</v>
      </c>
      <c r="N2" s="8" t="s">
        <v>150</v>
      </c>
      <c r="O2" s="8" t="s">
        <v>150</v>
      </c>
      <c r="P2" s="9" t="s">
        <v>665</v>
      </c>
      <c r="Q2" s="8" t="s">
        <v>934</v>
      </c>
      <c r="R2" s="8" t="s">
        <v>51</v>
      </c>
      <c r="S2" s="8" t="s">
        <v>51</v>
      </c>
      <c r="T2" s="8" t="s">
        <v>1315</v>
      </c>
    </row>
    <row r="3" spans="1:20">
      <c r="A3" s="8" t="s">
        <v>1316</v>
      </c>
      <c r="B3" s="8" t="s">
        <v>1317</v>
      </c>
      <c r="C3" s="8" t="s">
        <v>1318</v>
      </c>
      <c r="D3" s="8" t="s">
        <v>1319</v>
      </c>
      <c r="E3" s="8" t="s">
        <v>1320</v>
      </c>
      <c r="F3" s="8" t="s">
        <v>1321</v>
      </c>
      <c r="G3" s="8" t="s">
        <v>1311</v>
      </c>
      <c r="H3" s="8" t="s">
        <v>940</v>
      </c>
      <c r="I3" s="8" t="s">
        <v>1322</v>
      </c>
      <c r="J3" s="8" t="s">
        <v>757</v>
      </c>
      <c r="K3" s="8" t="s">
        <v>948</v>
      </c>
      <c r="L3" s="8" t="s">
        <v>1323</v>
      </c>
      <c r="M3" s="8" t="s">
        <v>1324</v>
      </c>
      <c r="N3" s="8" t="s">
        <v>1324</v>
      </c>
      <c r="O3" s="8" t="s">
        <v>150</v>
      </c>
      <c r="P3" s="9" t="s">
        <v>665</v>
      </c>
      <c r="Q3" s="8" t="s">
        <v>934</v>
      </c>
      <c r="R3" s="8" t="s">
        <v>51</v>
      </c>
      <c r="S3" s="8" t="s">
        <v>51</v>
      </c>
      <c r="T3" s="8" t="s">
        <v>1325</v>
      </c>
    </row>
    <row r="4" spans="1:20">
      <c r="A4" s="8" t="s">
        <v>1326</v>
      </c>
      <c r="B4" s="8" t="s">
        <v>1327</v>
      </c>
      <c r="C4" s="8" t="s">
        <v>1307</v>
      </c>
      <c r="D4" s="8" t="s">
        <v>961</v>
      </c>
      <c r="E4" s="8" t="s">
        <v>1328</v>
      </c>
      <c r="F4" s="8" t="s">
        <v>1329</v>
      </c>
      <c r="G4" s="8" t="s">
        <v>1330</v>
      </c>
      <c r="H4" s="8" t="s">
        <v>1331</v>
      </c>
      <c r="I4" s="8" t="s">
        <v>1332</v>
      </c>
      <c r="J4" s="8" t="s">
        <v>1333</v>
      </c>
      <c r="K4" s="8" t="s">
        <v>1334</v>
      </c>
      <c r="L4" s="8" t="s">
        <v>1323</v>
      </c>
      <c r="M4" s="8" t="s">
        <v>146</v>
      </c>
      <c r="N4" s="8" t="s">
        <v>1324</v>
      </c>
      <c r="O4" s="8" t="s">
        <v>1324</v>
      </c>
      <c r="P4" s="9" t="s">
        <v>665</v>
      </c>
      <c r="Q4" s="8" t="s">
        <v>934</v>
      </c>
      <c r="R4" s="8" t="s">
        <v>51</v>
      </c>
      <c r="S4" s="8" t="s">
        <v>51</v>
      </c>
      <c r="T4" s="8" t="s">
        <v>1335</v>
      </c>
    </row>
    <row r="5" spans="1:20">
      <c r="A5" s="8"/>
      <c r="B5" s="8"/>
      <c r="C5" s="8"/>
      <c r="D5" s="8"/>
      <c r="E5" s="8"/>
      <c r="F5" s="8"/>
      <c r="G5" s="8"/>
      <c r="H5" s="8"/>
      <c r="I5" s="8"/>
      <c r="J5" s="8"/>
      <c r="K5" s="8"/>
      <c r="L5" s="8"/>
      <c r="M5" s="8"/>
      <c r="N5" s="8"/>
      <c r="O5" s="8"/>
      <c r="P5" s="8"/>
      <c r="Q5" s="8"/>
      <c r="R5" s="8"/>
      <c r="S5" s="8"/>
      <c r="T5" s="8"/>
    </row>
    <row r="6" spans="1:20">
      <c r="A6" s="8"/>
      <c r="B6" s="8"/>
      <c r="C6" s="8"/>
      <c r="D6" s="8"/>
      <c r="E6" s="8"/>
      <c r="F6" s="8"/>
      <c r="G6" s="8"/>
      <c r="H6" s="8"/>
      <c r="I6" s="8"/>
      <c r="J6" s="8"/>
      <c r="K6" s="8"/>
      <c r="L6" s="8"/>
      <c r="M6" s="8"/>
      <c r="N6" s="8"/>
      <c r="O6" s="8"/>
      <c r="P6" s="8"/>
      <c r="Q6" s="8"/>
      <c r="R6" s="8"/>
      <c r="S6" s="8"/>
      <c r="T6" s="8"/>
    </row>
    <row r="7" spans="1:20">
      <c r="A7" s="8"/>
      <c r="B7" s="8"/>
      <c r="C7" s="8"/>
      <c r="D7" s="8"/>
      <c r="E7" s="8"/>
      <c r="F7" s="8"/>
      <c r="G7" s="8"/>
      <c r="H7" s="8"/>
      <c r="I7" s="8"/>
      <c r="J7" s="8"/>
      <c r="K7" s="8"/>
      <c r="L7" s="8"/>
      <c r="M7" s="8"/>
      <c r="N7" s="8"/>
      <c r="O7" s="8"/>
      <c r="P7" s="8"/>
      <c r="Q7" s="8"/>
      <c r="R7" s="8"/>
      <c r="S7" s="8"/>
      <c r="T7" s="8"/>
    </row>
    <row r="8" spans="1:20">
      <c r="A8" s="8"/>
      <c r="B8" s="8"/>
      <c r="C8" s="8"/>
      <c r="D8" s="8"/>
      <c r="E8" s="8"/>
      <c r="F8" s="8"/>
      <c r="G8" s="8"/>
      <c r="H8" s="8"/>
      <c r="I8" s="8"/>
      <c r="J8" s="8"/>
      <c r="K8" s="8"/>
      <c r="L8" s="8"/>
      <c r="M8" s="8"/>
      <c r="N8" s="8"/>
      <c r="O8" s="8"/>
      <c r="P8" s="8"/>
      <c r="Q8" s="8"/>
      <c r="R8" s="8"/>
      <c r="S8" s="8"/>
      <c r="T8" s="8"/>
    </row>
    <row r="9" spans="1:20">
      <c r="A9" s="8"/>
      <c r="B9" s="8"/>
      <c r="C9" s="8"/>
      <c r="D9" s="8"/>
      <c r="E9" s="8"/>
      <c r="F9" s="8"/>
      <c r="G9" s="8"/>
      <c r="H9" s="8"/>
      <c r="I9" s="8"/>
      <c r="J9" s="8"/>
      <c r="K9" s="8"/>
      <c r="L9" s="8"/>
      <c r="M9" s="8"/>
      <c r="N9" s="8"/>
      <c r="O9" s="8"/>
      <c r="P9" s="8"/>
      <c r="Q9" s="8"/>
      <c r="R9" s="8"/>
      <c r="S9" s="8"/>
      <c r="T9" s="8"/>
    </row>
    <row r="10" spans="1:20">
      <c r="A10" s="8"/>
      <c r="B10" s="8"/>
      <c r="C10" s="8"/>
      <c r="D10" s="8"/>
      <c r="E10" s="8"/>
      <c r="F10" s="8"/>
      <c r="G10" s="8"/>
      <c r="H10" s="8"/>
      <c r="I10" s="8"/>
      <c r="J10" s="8"/>
      <c r="K10" s="8"/>
      <c r="L10" s="8"/>
      <c r="M10" s="8"/>
      <c r="N10" s="8"/>
      <c r="O10" s="8"/>
      <c r="P10" s="8"/>
      <c r="Q10" s="8"/>
      <c r="R10" s="8"/>
      <c r="S10" s="8"/>
      <c r="T10" s="8"/>
    </row>
    <row r="11" spans="1:20">
      <c r="A11" s="8"/>
      <c r="B11" s="8"/>
      <c r="C11" s="8"/>
      <c r="D11" s="8"/>
      <c r="E11" s="8"/>
      <c r="F11" s="8"/>
      <c r="G11" s="8"/>
      <c r="H11" s="8"/>
      <c r="I11" s="8"/>
      <c r="J11" s="8"/>
      <c r="K11" s="8"/>
      <c r="L11" s="8"/>
      <c r="M11" s="8"/>
      <c r="N11" s="8"/>
      <c r="O11" s="8"/>
      <c r="P11" s="8"/>
      <c r="Q11" s="8"/>
      <c r="R11" s="8"/>
      <c r="S11" s="8"/>
      <c r="T11" s="8"/>
    </row>
    <row r="12" spans="1:20">
      <c r="A12" s="8"/>
      <c r="B12" s="8"/>
      <c r="C12" s="8"/>
      <c r="D12" s="8"/>
      <c r="E12" s="8"/>
      <c r="F12" s="8"/>
      <c r="G12" s="8"/>
      <c r="H12" s="8"/>
      <c r="I12" s="8"/>
      <c r="J12" s="8"/>
      <c r="K12" s="8"/>
      <c r="L12" s="8"/>
      <c r="M12" s="8"/>
      <c r="N12" s="8"/>
      <c r="O12" s="8"/>
      <c r="P12" s="8"/>
      <c r="Q12" s="8"/>
      <c r="R12" s="8"/>
      <c r="S12" s="8"/>
      <c r="T12" s="8"/>
    </row>
    <row r="13" spans="1:20">
      <c r="A13" s="8"/>
      <c r="B13" s="8"/>
      <c r="C13" s="8"/>
      <c r="D13" s="8"/>
      <c r="E13" s="8"/>
      <c r="F13" s="8"/>
      <c r="G13" s="8"/>
      <c r="H13" s="8"/>
      <c r="I13" s="8"/>
      <c r="J13" s="8"/>
      <c r="K13" s="8"/>
      <c r="L13" s="8"/>
      <c r="M13" s="8"/>
      <c r="N13" s="8"/>
      <c r="O13" s="8"/>
      <c r="P13" s="8"/>
      <c r="Q13" s="8"/>
      <c r="R13" s="8"/>
      <c r="S13" s="8"/>
      <c r="T13" s="8"/>
    </row>
    <row r="14" spans="1:20">
      <c r="A14" s="8"/>
      <c r="B14" s="8"/>
      <c r="C14" s="8"/>
      <c r="D14" s="8"/>
      <c r="E14" s="8"/>
      <c r="F14" s="8"/>
      <c r="G14" s="8"/>
      <c r="H14" s="8"/>
      <c r="I14" s="8"/>
      <c r="J14" s="8"/>
      <c r="K14" s="8"/>
      <c r="L14" s="8"/>
      <c r="M14" s="8"/>
      <c r="N14" s="8"/>
      <c r="O14" s="8"/>
      <c r="P14" s="8"/>
      <c r="Q14" s="8"/>
      <c r="R14" s="8"/>
      <c r="S14" s="8"/>
      <c r="T14" s="8"/>
    </row>
    <row r="15" spans="1:20">
      <c r="A15" s="8"/>
      <c r="B15" s="8"/>
      <c r="C15" s="8"/>
      <c r="D15" s="8"/>
      <c r="E15" s="8"/>
      <c r="F15" s="8"/>
      <c r="G15" s="8"/>
      <c r="H15" s="8"/>
      <c r="I15" s="8"/>
      <c r="J15" s="8"/>
      <c r="K15" s="8"/>
      <c r="L15" s="8"/>
      <c r="M15" s="8"/>
      <c r="N15" s="8"/>
      <c r="O15" s="8"/>
      <c r="P15" s="8"/>
      <c r="Q15" s="8"/>
      <c r="R15" s="8"/>
      <c r="S15" s="8"/>
      <c r="T15" s="8"/>
    </row>
    <row r="16" spans="1:20">
      <c r="A16" s="8"/>
      <c r="B16" s="8"/>
      <c r="C16" s="8"/>
      <c r="D16" s="8"/>
      <c r="E16" s="8"/>
      <c r="F16" s="8"/>
      <c r="G16" s="8"/>
      <c r="H16" s="8"/>
      <c r="I16" s="8"/>
      <c r="J16" s="8"/>
      <c r="K16" s="8"/>
      <c r="L16" s="8"/>
      <c r="M16" s="8"/>
      <c r="N16" s="8"/>
      <c r="O16" s="8"/>
      <c r="P16" s="8"/>
      <c r="Q16" s="8"/>
      <c r="R16" s="8"/>
      <c r="S16" s="8"/>
      <c r="T16" s="8"/>
    </row>
    <row r="17" spans="1:20">
      <c r="A17" s="8"/>
      <c r="B17" s="8"/>
      <c r="C17" s="8"/>
      <c r="D17" s="8"/>
      <c r="E17" s="8"/>
      <c r="F17" s="8"/>
      <c r="G17" s="8"/>
      <c r="H17" s="8"/>
      <c r="I17" s="8"/>
      <c r="J17" s="8"/>
      <c r="K17" s="8"/>
      <c r="L17" s="8"/>
      <c r="M17" s="8"/>
      <c r="N17" s="8"/>
      <c r="O17" s="8"/>
      <c r="P17" s="8"/>
      <c r="Q17" s="8"/>
      <c r="R17" s="8"/>
      <c r="S17" s="8"/>
      <c r="T17" s="8"/>
    </row>
    <row r="18" spans="1:20">
      <c r="A18" s="8"/>
      <c r="B18" s="8"/>
      <c r="C18" s="8"/>
      <c r="D18" s="8"/>
      <c r="E18" s="8"/>
      <c r="F18" s="8"/>
      <c r="G18" s="8"/>
      <c r="H18" s="8"/>
      <c r="I18" s="8"/>
      <c r="J18" s="8"/>
      <c r="K18" s="8"/>
      <c r="L18" s="8"/>
      <c r="M18" s="8"/>
      <c r="N18" s="8"/>
      <c r="O18" s="8"/>
      <c r="P18" s="8"/>
      <c r="Q18" s="8"/>
      <c r="R18" s="8"/>
      <c r="S18" s="8"/>
      <c r="T18" s="8"/>
    </row>
    <row r="19" spans="1:20">
      <c r="A19" s="8"/>
      <c r="B19" s="8"/>
      <c r="C19" s="8"/>
      <c r="D19" s="8"/>
      <c r="E19" s="8"/>
      <c r="F19" s="8"/>
      <c r="G19" s="8"/>
      <c r="H19" s="8"/>
      <c r="I19" s="8"/>
      <c r="J19" s="8"/>
      <c r="K19" s="8"/>
      <c r="L19" s="8"/>
      <c r="M19" s="8"/>
      <c r="N19" s="8"/>
      <c r="O19" s="8"/>
      <c r="P19" s="8"/>
      <c r="Q19" s="8"/>
      <c r="R19" s="8"/>
      <c r="S19" s="8"/>
      <c r="T19" s="8"/>
    </row>
    <row r="20" spans="1:20">
      <c r="A20" s="8"/>
      <c r="B20" s="8"/>
      <c r="C20" s="8"/>
      <c r="D20" s="8"/>
      <c r="E20" s="8"/>
      <c r="F20" s="8"/>
      <c r="G20" s="8"/>
      <c r="H20" s="8"/>
      <c r="I20" s="8"/>
      <c r="J20" s="8"/>
      <c r="K20" s="8"/>
      <c r="L20" s="8"/>
      <c r="M20" s="8"/>
      <c r="N20" s="8"/>
      <c r="O20" s="8"/>
      <c r="P20" s="8"/>
      <c r="Q20" s="8"/>
      <c r="R20" s="8"/>
      <c r="S20" s="8"/>
      <c r="T20" s="8"/>
    </row>
    <row r="21" spans="1:20">
      <c r="A21" s="8"/>
      <c r="B21" s="8"/>
      <c r="C21" s="8"/>
      <c r="D21" s="8"/>
      <c r="E21" s="8"/>
      <c r="F21" s="8"/>
      <c r="G21" s="8"/>
      <c r="H21" s="8"/>
      <c r="I21" s="8"/>
      <c r="J21" s="8"/>
      <c r="K21" s="8"/>
      <c r="L21" s="8"/>
      <c r="M21" s="8"/>
      <c r="N21" s="8"/>
      <c r="O21" s="8"/>
      <c r="P21" s="8"/>
      <c r="Q21" s="8"/>
      <c r="R21" s="8"/>
      <c r="S21" s="8"/>
      <c r="T21" s="8"/>
    </row>
    <row r="22" spans="1:20">
      <c r="A22" s="8"/>
      <c r="B22" s="8"/>
      <c r="C22" s="8"/>
      <c r="D22" s="8"/>
      <c r="E22" s="8"/>
      <c r="F22" s="8"/>
      <c r="G22" s="8"/>
      <c r="H22" s="8"/>
      <c r="I22" s="8"/>
      <c r="J22" s="8"/>
      <c r="K22" s="8"/>
      <c r="L22" s="8"/>
      <c r="M22" s="8"/>
      <c r="N22" s="8"/>
      <c r="O22" s="8"/>
      <c r="P22" s="8"/>
      <c r="Q22" s="8"/>
      <c r="R22" s="8"/>
      <c r="S22" s="8"/>
      <c r="T22" s="8"/>
    </row>
    <row r="23" spans="1:20">
      <c r="A23" s="8"/>
      <c r="B23" s="8"/>
      <c r="C23" s="8"/>
      <c r="D23" s="8"/>
      <c r="E23" s="8"/>
      <c r="F23" s="8"/>
      <c r="G23" s="8"/>
      <c r="H23" s="8"/>
      <c r="I23" s="8"/>
      <c r="J23" s="8"/>
      <c r="K23" s="8"/>
      <c r="L23" s="8"/>
      <c r="M23" s="8"/>
      <c r="N23" s="8"/>
      <c r="O23" s="8"/>
      <c r="P23" s="8"/>
      <c r="Q23" s="8"/>
      <c r="R23" s="8"/>
      <c r="S23" s="8"/>
      <c r="T23" s="8"/>
    </row>
    <row r="24" spans="1:20">
      <c r="A24" s="8"/>
      <c r="B24" s="8"/>
      <c r="C24" s="8"/>
      <c r="D24" s="8"/>
      <c r="E24" s="8"/>
      <c r="F24" s="8"/>
      <c r="G24" s="8"/>
      <c r="H24" s="8"/>
      <c r="I24" s="8"/>
      <c r="J24" s="8"/>
      <c r="K24" s="8"/>
      <c r="L24" s="8"/>
      <c r="M24" s="8"/>
      <c r="N24" s="8"/>
      <c r="O24" s="8"/>
      <c r="P24" s="8"/>
      <c r="Q24" s="8"/>
      <c r="R24" s="8"/>
      <c r="S24" s="8"/>
      <c r="T24" s="8"/>
    </row>
    <row r="25" spans="1:20">
      <c r="A25" s="8"/>
      <c r="B25" s="8"/>
      <c r="C25" s="8"/>
      <c r="D25" s="8"/>
      <c r="E25" s="8"/>
      <c r="F25" s="8"/>
      <c r="G25" s="8"/>
      <c r="H25" s="8"/>
      <c r="I25" s="8"/>
      <c r="J25" s="8"/>
      <c r="K25" s="8"/>
      <c r="L25" s="8"/>
      <c r="M25" s="8"/>
      <c r="N25" s="8"/>
      <c r="O25" s="8"/>
      <c r="P25" s="8"/>
      <c r="Q25" s="8"/>
      <c r="R25" s="8"/>
      <c r="S25" s="8"/>
      <c r="T25" s="8"/>
    </row>
    <row r="26" spans="1:20">
      <c r="A26" s="8"/>
      <c r="B26" s="8"/>
      <c r="C26" s="8"/>
      <c r="D26" s="8"/>
      <c r="E26" s="8"/>
      <c r="F26" s="8"/>
      <c r="G26" s="8"/>
      <c r="H26" s="8"/>
      <c r="I26" s="8"/>
      <c r="J26" s="8"/>
      <c r="K26" s="8"/>
      <c r="L26" s="8"/>
      <c r="M26" s="8"/>
      <c r="N26" s="8"/>
      <c r="O26" s="8"/>
      <c r="P26" s="8"/>
      <c r="Q26" s="8"/>
      <c r="R26" s="8"/>
      <c r="S26" s="8"/>
      <c r="T26" s="8"/>
    </row>
    <row r="27" spans="1:20">
      <c r="A27" s="8"/>
      <c r="B27" s="8"/>
      <c r="C27" s="8"/>
      <c r="D27" s="8"/>
      <c r="E27" s="8"/>
      <c r="F27" s="8"/>
      <c r="G27" s="8"/>
      <c r="H27" s="8"/>
      <c r="I27" s="8"/>
      <c r="J27" s="8"/>
      <c r="K27" s="8"/>
      <c r="L27" s="8"/>
      <c r="M27" s="8"/>
      <c r="N27" s="8"/>
      <c r="O27" s="8"/>
      <c r="P27" s="8"/>
      <c r="Q27" s="8"/>
      <c r="R27" s="8"/>
      <c r="S27" s="8"/>
      <c r="T27" s="8"/>
    </row>
    <row r="28" spans="1:20">
      <c r="A28" s="8"/>
      <c r="B28" s="8"/>
      <c r="C28" s="8"/>
      <c r="D28" s="8"/>
      <c r="E28" s="8"/>
      <c r="F28" s="8"/>
      <c r="G28" s="8"/>
      <c r="H28" s="8"/>
      <c r="I28" s="8"/>
      <c r="J28" s="8"/>
      <c r="K28" s="8"/>
      <c r="L28" s="8"/>
      <c r="M28" s="8"/>
      <c r="N28" s="8"/>
      <c r="O28" s="8"/>
      <c r="P28" s="8"/>
      <c r="Q28" s="8"/>
      <c r="R28" s="8"/>
      <c r="S28" s="8"/>
      <c r="T28" s="8"/>
    </row>
    <row r="29" spans="1:20">
      <c r="A29" s="8"/>
      <c r="B29" s="8"/>
      <c r="C29" s="8"/>
      <c r="D29" s="8"/>
      <c r="E29" s="8"/>
      <c r="F29" s="8"/>
      <c r="G29" s="8"/>
      <c r="H29" s="8"/>
      <c r="I29" s="8"/>
      <c r="J29" s="8"/>
      <c r="K29" s="8"/>
      <c r="L29" s="8"/>
      <c r="M29" s="8"/>
      <c r="N29" s="8"/>
      <c r="O29" s="8"/>
      <c r="P29" s="8"/>
      <c r="Q29" s="8"/>
      <c r="R29" s="8"/>
      <c r="S29" s="8"/>
      <c r="T29" s="8"/>
    </row>
    <row r="30" spans="1:20">
      <c r="A30" s="8"/>
      <c r="B30" s="8"/>
      <c r="C30" s="8"/>
      <c r="D30" s="8"/>
      <c r="E30" s="8"/>
      <c r="F30" s="8"/>
      <c r="G30" s="8"/>
      <c r="H30" s="8"/>
      <c r="I30" s="8"/>
      <c r="J30" s="8"/>
      <c r="K30" s="8"/>
      <c r="L30" s="8"/>
      <c r="M30" s="8"/>
      <c r="N30" s="8"/>
      <c r="O30" s="8"/>
      <c r="P30" s="8"/>
      <c r="Q30" s="8"/>
      <c r="R30" s="8"/>
      <c r="S30" s="8"/>
      <c r="T30" s="8"/>
    </row>
    <row r="31" spans="1:20">
      <c r="A31" s="8"/>
      <c r="B31" s="8"/>
      <c r="C31" s="8"/>
      <c r="D31" s="8"/>
      <c r="E31" s="8"/>
      <c r="F31" s="8"/>
      <c r="G31" s="8"/>
      <c r="H31" s="8"/>
      <c r="I31" s="8"/>
      <c r="J31" s="8"/>
      <c r="K31" s="8"/>
      <c r="L31" s="8"/>
      <c r="M31" s="8"/>
      <c r="N31" s="8"/>
      <c r="O31" s="8"/>
      <c r="P31" s="8"/>
      <c r="Q31" s="8"/>
      <c r="R31" s="8"/>
      <c r="S31" s="8"/>
      <c r="T31" s="8"/>
    </row>
    <row r="32" spans="1:20">
      <c r="A32" s="8"/>
      <c r="B32" s="8"/>
      <c r="C32" s="8"/>
      <c r="D32" s="8"/>
      <c r="E32" s="8"/>
      <c r="F32" s="8"/>
      <c r="G32" s="8"/>
      <c r="H32" s="8"/>
      <c r="I32" s="8"/>
      <c r="J32" s="8"/>
      <c r="K32" s="8"/>
      <c r="L32" s="8"/>
      <c r="M32" s="8"/>
      <c r="N32" s="8"/>
      <c r="O32" s="8"/>
      <c r="P32" s="8"/>
      <c r="Q32" s="8"/>
      <c r="R32" s="8"/>
      <c r="S32" s="8"/>
      <c r="T32" s="8"/>
    </row>
    <row r="33" spans="1:20">
      <c r="A33" s="8"/>
      <c r="B33" s="8"/>
      <c r="C33" s="8"/>
      <c r="D33" s="8"/>
      <c r="E33" s="8"/>
      <c r="F33" s="8"/>
      <c r="G33" s="8"/>
      <c r="H33" s="8"/>
      <c r="I33" s="8"/>
      <c r="J33" s="8"/>
      <c r="K33" s="8"/>
      <c r="L33" s="8"/>
      <c r="M33" s="8"/>
      <c r="N33" s="8"/>
      <c r="O33" s="8"/>
      <c r="P33" s="8"/>
      <c r="Q33" s="8"/>
      <c r="R33" s="8"/>
      <c r="S33" s="8"/>
      <c r="T33" s="8"/>
    </row>
    <row r="34" spans="1:20">
      <c r="A34" s="8"/>
      <c r="B34" s="8"/>
      <c r="C34" s="8"/>
      <c r="D34" s="8"/>
      <c r="E34" s="8"/>
      <c r="F34" s="8"/>
      <c r="G34" s="8"/>
      <c r="H34" s="8"/>
      <c r="I34" s="8"/>
      <c r="J34" s="8"/>
      <c r="K34" s="8"/>
      <c r="L34" s="8"/>
      <c r="M34" s="8"/>
      <c r="N34" s="8"/>
      <c r="O34" s="8"/>
      <c r="P34" s="8"/>
      <c r="Q34" s="8"/>
      <c r="R34" s="8"/>
      <c r="S34" s="8"/>
      <c r="T34" s="8"/>
    </row>
    <row r="35" spans="1:20">
      <c r="A35" s="8"/>
      <c r="B35" s="8"/>
      <c r="C35" s="8"/>
      <c r="D35" s="8"/>
      <c r="E35" s="8"/>
      <c r="F35" s="8"/>
      <c r="G35" s="8"/>
      <c r="H35" s="8"/>
      <c r="I35" s="8"/>
      <c r="J35" s="8"/>
      <c r="K35" s="8"/>
      <c r="L35" s="8"/>
      <c r="M35" s="8"/>
      <c r="N35" s="8"/>
      <c r="O35" s="8"/>
      <c r="P35" s="8"/>
      <c r="Q35" s="8"/>
      <c r="R35" s="8"/>
      <c r="S35" s="8"/>
      <c r="T35" s="8"/>
    </row>
    <row r="36" spans="1:20">
      <c r="A36" s="8"/>
      <c r="B36" s="8"/>
      <c r="C36" s="8"/>
      <c r="D36" s="8"/>
      <c r="E36" s="8"/>
      <c r="F36" s="8"/>
      <c r="G36" s="8"/>
      <c r="H36" s="8"/>
      <c r="I36" s="8"/>
      <c r="J36" s="8"/>
      <c r="K36" s="8"/>
      <c r="L36" s="8"/>
      <c r="M36" s="8"/>
      <c r="N36" s="8"/>
      <c r="O36" s="8"/>
      <c r="P36" s="8"/>
      <c r="Q36" s="8"/>
      <c r="R36" s="8"/>
      <c r="S36" s="8"/>
      <c r="T36" s="8"/>
    </row>
    <row r="37" spans="1:20">
      <c r="A37" s="8"/>
      <c r="B37" s="8"/>
      <c r="C37" s="8"/>
      <c r="D37" s="8"/>
      <c r="E37" s="8"/>
      <c r="F37" s="8"/>
      <c r="G37" s="8"/>
      <c r="H37" s="8"/>
      <c r="I37" s="8"/>
      <c r="J37" s="8"/>
      <c r="K37" s="8"/>
      <c r="L37" s="8"/>
      <c r="M37" s="8"/>
      <c r="N37" s="8"/>
      <c r="O37" s="8"/>
      <c r="P37" s="8"/>
      <c r="Q37" s="8"/>
      <c r="R37" s="8"/>
      <c r="S37" s="8"/>
      <c r="T37" s="8"/>
    </row>
    <row r="38" spans="1:20">
      <c r="A38" s="8"/>
      <c r="B38" s="8"/>
      <c r="C38" s="8"/>
      <c r="D38" s="8"/>
      <c r="E38" s="8"/>
      <c r="F38" s="8"/>
      <c r="G38" s="8"/>
      <c r="H38" s="8"/>
      <c r="I38" s="8"/>
      <c r="J38" s="8"/>
      <c r="K38" s="8"/>
      <c r="L38" s="8"/>
      <c r="M38" s="8"/>
      <c r="N38" s="8"/>
      <c r="O38" s="8"/>
      <c r="P38" s="8"/>
      <c r="Q38" s="8"/>
      <c r="R38" s="8"/>
      <c r="S38" s="8"/>
      <c r="T38" s="8"/>
    </row>
    <row r="39" spans="1:20">
      <c r="A39" s="8"/>
      <c r="B39" s="8"/>
      <c r="C39" s="8"/>
      <c r="D39" s="8"/>
      <c r="E39" s="8"/>
      <c r="F39" s="8"/>
      <c r="G39" s="8"/>
      <c r="H39" s="8"/>
      <c r="I39" s="8"/>
      <c r="J39" s="8"/>
      <c r="K39" s="8"/>
      <c r="L39" s="8"/>
      <c r="M39" s="8"/>
      <c r="N39" s="8"/>
      <c r="O39" s="8"/>
      <c r="P39" s="8"/>
      <c r="Q39" s="8"/>
      <c r="R39" s="8"/>
      <c r="S39" s="8"/>
      <c r="T39" s="8"/>
    </row>
    <row r="40" spans="1:20">
      <c r="A40" s="8"/>
      <c r="B40" s="8"/>
      <c r="C40" s="8"/>
      <c r="D40" s="8"/>
      <c r="E40" s="8"/>
      <c r="F40" s="8"/>
      <c r="G40" s="8"/>
      <c r="H40" s="8"/>
      <c r="I40" s="8"/>
      <c r="J40" s="8"/>
      <c r="K40" s="8"/>
      <c r="L40" s="8"/>
      <c r="M40" s="8"/>
      <c r="N40" s="8"/>
      <c r="O40" s="8"/>
      <c r="P40" s="8"/>
      <c r="Q40" s="8"/>
      <c r="R40" s="8"/>
      <c r="S40" s="8"/>
      <c r="T40" s="8"/>
    </row>
    <row r="41" spans="1:20">
      <c r="A41" s="8"/>
      <c r="B41" s="8"/>
      <c r="C41" s="8"/>
      <c r="D41" s="8"/>
      <c r="E41" s="8"/>
      <c r="F41" s="8"/>
      <c r="G41" s="8"/>
      <c r="H41" s="8"/>
      <c r="I41" s="8"/>
      <c r="J41" s="8"/>
      <c r="K41" s="8"/>
      <c r="L41" s="8"/>
      <c r="M41" s="8"/>
      <c r="N41" s="8"/>
      <c r="O41" s="8"/>
      <c r="P41" s="8"/>
      <c r="Q41" s="8"/>
      <c r="R41" s="8"/>
      <c r="S41" s="8"/>
      <c r="T41" s="8"/>
    </row>
    <row r="42" spans="1:20">
      <c r="A42" s="8"/>
      <c r="B42" s="8"/>
      <c r="C42" s="8"/>
      <c r="D42" s="8"/>
      <c r="E42" s="8"/>
      <c r="F42" s="8"/>
      <c r="G42" s="8"/>
      <c r="H42" s="8"/>
      <c r="I42" s="8"/>
      <c r="J42" s="8"/>
      <c r="K42" s="8"/>
      <c r="L42" s="8"/>
      <c r="M42" s="8"/>
      <c r="N42" s="8"/>
      <c r="O42" s="8"/>
      <c r="P42" s="8"/>
      <c r="Q42" s="8"/>
      <c r="R42" s="8"/>
      <c r="S42" s="8"/>
      <c r="T42" s="8"/>
    </row>
    <row r="43" spans="1:20">
      <c r="A43" s="8"/>
      <c r="B43" s="8"/>
      <c r="C43" s="8"/>
      <c r="D43" s="8"/>
      <c r="E43" s="8"/>
      <c r="F43" s="8"/>
      <c r="G43" s="8"/>
      <c r="H43" s="8"/>
      <c r="I43" s="8"/>
      <c r="J43" s="8"/>
      <c r="K43" s="8"/>
      <c r="L43" s="8"/>
      <c r="M43" s="8"/>
      <c r="N43" s="8"/>
      <c r="O43" s="8"/>
      <c r="P43" s="8"/>
      <c r="Q43" s="8"/>
      <c r="R43" s="8"/>
      <c r="S43" s="8"/>
      <c r="T43" s="8"/>
    </row>
    <row r="44" spans="1:20">
      <c r="A44" s="8"/>
      <c r="B44" s="8"/>
      <c r="C44" s="8"/>
      <c r="D44" s="8"/>
      <c r="E44" s="8"/>
      <c r="F44" s="8"/>
      <c r="G44" s="8"/>
      <c r="H44" s="8"/>
      <c r="I44" s="8"/>
      <c r="J44" s="8"/>
      <c r="K44" s="8"/>
      <c r="L44" s="8"/>
      <c r="M44" s="8"/>
      <c r="N44" s="8"/>
      <c r="O44" s="8"/>
      <c r="P44" s="8"/>
      <c r="Q44" s="8"/>
      <c r="R44" s="8"/>
      <c r="S44" s="8"/>
      <c r="T44" s="8"/>
    </row>
    <row r="45" spans="1:20">
      <c r="A45" s="8"/>
      <c r="B45" s="8"/>
      <c r="C45" s="8"/>
      <c r="D45" s="8"/>
      <c r="E45" s="8"/>
      <c r="F45" s="8"/>
      <c r="G45" s="8"/>
      <c r="H45" s="8"/>
      <c r="I45" s="8"/>
      <c r="J45" s="8"/>
      <c r="K45" s="8"/>
      <c r="L45" s="8"/>
      <c r="M45" s="8"/>
      <c r="N45" s="8"/>
      <c r="O45" s="8"/>
      <c r="P45" s="8"/>
      <c r="Q45" s="8"/>
      <c r="R45" s="8"/>
      <c r="S45" s="8"/>
      <c r="T45" s="8"/>
    </row>
    <row r="46" spans="1:20">
      <c r="A46" s="8"/>
      <c r="B46" s="8"/>
      <c r="C46" s="8"/>
      <c r="D46" s="8"/>
      <c r="E46" s="8"/>
      <c r="F46" s="8"/>
      <c r="G46" s="8"/>
      <c r="H46" s="8"/>
      <c r="I46" s="8"/>
      <c r="J46" s="8"/>
      <c r="K46" s="8"/>
      <c r="L46" s="8"/>
      <c r="M46" s="8"/>
      <c r="N46" s="8"/>
      <c r="O46" s="8"/>
      <c r="P46" s="8"/>
      <c r="Q46" s="8"/>
      <c r="R46" s="8"/>
      <c r="S46" s="8"/>
      <c r="T46" s="8"/>
    </row>
    <row r="47" spans="1:20">
      <c r="A47" s="8"/>
      <c r="B47" s="8"/>
      <c r="C47" s="8"/>
      <c r="D47" s="8"/>
      <c r="E47" s="8"/>
      <c r="F47" s="8"/>
      <c r="G47" s="8"/>
      <c r="H47" s="8"/>
      <c r="I47" s="8"/>
      <c r="J47" s="8"/>
      <c r="K47" s="8"/>
      <c r="L47" s="8"/>
      <c r="M47" s="8"/>
      <c r="N47" s="8"/>
      <c r="O47" s="8"/>
      <c r="P47" s="8"/>
      <c r="Q47" s="8"/>
      <c r="R47" s="8"/>
      <c r="S47" s="8"/>
      <c r="T47" s="8"/>
    </row>
    <row r="48" spans="1:20">
      <c r="A48" s="8"/>
      <c r="B48" s="8"/>
      <c r="C48" s="8"/>
      <c r="D48" s="8"/>
      <c r="E48" s="8"/>
      <c r="F48" s="8"/>
      <c r="G48" s="8"/>
      <c r="H48" s="8"/>
      <c r="I48" s="8"/>
      <c r="J48" s="8"/>
      <c r="K48" s="8"/>
      <c r="L48" s="8"/>
      <c r="M48" s="8"/>
      <c r="N48" s="8"/>
      <c r="O48" s="8"/>
      <c r="P48" s="8"/>
      <c r="Q48" s="8"/>
      <c r="R48" s="8"/>
      <c r="S48" s="8"/>
      <c r="T48" s="8"/>
    </row>
    <row r="49" spans="1:20">
      <c r="A49" s="8"/>
      <c r="B49" s="8"/>
      <c r="C49" s="8"/>
      <c r="D49" s="8"/>
      <c r="E49" s="8"/>
      <c r="F49" s="8"/>
      <c r="G49" s="8"/>
      <c r="H49" s="8"/>
      <c r="I49" s="8"/>
      <c r="J49" s="8"/>
      <c r="K49" s="8"/>
      <c r="L49" s="8"/>
      <c r="M49" s="8"/>
      <c r="N49" s="8"/>
      <c r="O49" s="8"/>
      <c r="P49" s="8"/>
      <c r="Q49" s="8"/>
      <c r="R49" s="8"/>
      <c r="S49" s="8"/>
      <c r="T49" s="8"/>
    </row>
    <row r="50" spans="1:20">
      <c r="A50" s="8"/>
      <c r="B50" s="8"/>
      <c r="C50" s="8"/>
      <c r="D50" s="8"/>
      <c r="E50" s="8"/>
      <c r="F50" s="8"/>
      <c r="G50" s="8"/>
      <c r="H50" s="8"/>
      <c r="I50" s="8"/>
      <c r="J50" s="8"/>
      <c r="K50" s="8"/>
      <c r="L50" s="8"/>
      <c r="M50" s="8"/>
      <c r="N50" s="8"/>
      <c r="O50" s="8"/>
      <c r="P50" s="8"/>
      <c r="Q50" s="8"/>
      <c r="R50" s="8"/>
      <c r="S50" s="8"/>
      <c r="T50" s="8"/>
    </row>
    <row r="51" spans="1:20">
      <c r="A51" s="8"/>
      <c r="B51" s="8"/>
      <c r="C51" s="8"/>
      <c r="D51" s="8"/>
      <c r="E51" s="8"/>
      <c r="F51" s="8"/>
      <c r="G51" s="8"/>
      <c r="H51" s="8"/>
      <c r="I51" s="8"/>
      <c r="J51" s="8"/>
      <c r="K51" s="8"/>
      <c r="L51" s="8"/>
      <c r="M51" s="8"/>
      <c r="N51" s="8"/>
      <c r="O51" s="8"/>
      <c r="P51" s="8"/>
      <c r="Q51" s="8"/>
      <c r="R51" s="8"/>
      <c r="S51" s="8"/>
      <c r="T51" s="8"/>
    </row>
    <row r="52" spans="1:20">
      <c r="A52" s="8"/>
      <c r="B52" s="8"/>
      <c r="C52" s="8"/>
      <c r="D52" s="8"/>
      <c r="E52" s="8"/>
      <c r="F52" s="8"/>
      <c r="G52" s="8"/>
      <c r="H52" s="8"/>
      <c r="I52" s="8"/>
      <c r="J52" s="8"/>
      <c r="K52" s="8"/>
      <c r="L52" s="8"/>
      <c r="M52" s="8"/>
      <c r="N52" s="8"/>
      <c r="O52" s="8"/>
      <c r="P52" s="8"/>
      <c r="Q52" s="8"/>
      <c r="R52" s="8"/>
      <c r="S52" s="8"/>
      <c r="T52" s="8"/>
    </row>
    <row r="53" spans="1:20">
      <c r="A53" s="8"/>
      <c r="B53" s="8"/>
      <c r="C53" s="8"/>
      <c r="D53" s="8"/>
      <c r="E53" s="8"/>
      <c r="F53" s="8"/>
      <c r="G53" s="8"/>
      <c r="H53" s="8"/>
      <c r="I53" s="8"/>
      <c r="J53" s="8"/>
      <c r="K53" s="8"/>
      <c r="L53" s="8"/>
      <c r="M53" s="8"/>
      <c r="N53" s="8"/>
      <c r="O53" s="8"/>
      <c r="P53" s="8"/>
      <c r="Q53" s="8"/>
      <c r="R53" s="8"/>
      <c r="S53" s="8"/>
      <c r="T53" s="8"/>
    </row>
    <row r="54" spans="1:20">
      <c r="A54" s="8"/>
      <c r="B54" s="8"/>
      <c r="C54" s="8"/>
      <c r="D54" s="8"/>
      <c r="E54" s="8"/>
      <c r="F54" s="8"/>
      <c r="G54" s="8"/>
      <c r="H54" s="8"/>
      <c r="I54" s="8"/>
      <c r="J54" s="8"/>
      <c r="K54" s="8"/>
      <c r="L54" s="8"/>
      <c r="M54" s="8"/>
      <c r="N54" s="8"/>
      <c r="O54" s="8"/>
      <c r="P54" s="8"/>
      <c r="Q54" s="8"/>
      <c r="R54" s="8"/>
      <c r="S54" s="8"/>
      <c r="T54" s="8"/>
    </row>
    <row r="55" spans="1:20">
      <c r="A55" s="8"/>
      <c r="B55" s="8"/>
      <c r="C55" s="8"/>
      <c r="D55" s="8"/>
      <c r="E55" s="8"/>
      <c r="F55" s="8"/>
      <c r="G55" s="8"/>
      <c r="H55" s="8"/>
      <c r="I55" s="8"/>
      <c r="J55" s="8"/>
      <c r="K55" s="8"/>
      <c r="L55" s="8"/>
      <c r="M55" s="8"/>
      <c r="N55" s="8"/>
      <c r="O55" s="8"/>
      <c r="P55" s="8"/>
      <c r="Q55" s="8"/>
      <c r="R55" s="8"/>
      <c r="S55" s="8"/>
      <c r="T55" s="8"/>
    </row>
    <row r="56" spans="1:20">
      <c r="A56" s="8"/>
      <c r="B56" s="8"/>
      <c r="C56" s="8"/>
      <c r="D56" s="8"/>
      <c r="E56" s="8"/>
      <c r="F56" s="8"/>
      <c r="G56" s="8"/>
      <c r="H56" s="8"/>
      <c r="I56" s="8"/>
      <c r="J56" s="8"/>
      <c r="K56" s="8"/>
      <c r="L56" s="8"/>
      <c r="M56" s="8"/>
      <c r="N56" s="8"/>
      <c r="O56" s="8"/>
      <c r="P56" s="8"/>
      <c r="Q56" s="8"/>
      <c r="R56" s="8"/>
      <c r="S56" s="8"/>
      <c r="T56" s="8"/>
    </row>
    <row r="57" spans="1:20">
      <c r="A57" s="8"/>
      <c r="B57" s="8"/>
      <c r="C57" s="8"/>
      <c r="D57" s="8"/>
      <c r="E57" s="8"/>
      <c r="F57" s="8"/>
      <c r="G57" s="8"/>
      <c r="H57" s="8"/>
      <c r="I57" s="8"/>
      <c r="J57" s="8"/>
      <c r="K57" s="8"/>
      <c r="L57" s="8"/>
      <c r="M57" s="8"/>
      <c r="N57" s="8"/>
      <c r="O57" s="8"/>
      <c r="P57" s="8"/>
      <c r="Q57" s="8"/>
      <c r="R57" s="8"/>
      <c r="S57" s="8"/>
      <c r="T57" s="8"/>
    </row>
    <row r="58" spans="1:20">
      <c r="A58" s="8"/>
      <c r="B58" s="8"/>
      <c r="C58" s="8"/>
      <c r="D58" s="8"/>
      <c r="E58" s="8"/>
      <c r="F58" s="8"/>
      <c r="G58" s="8"/>
      <c r="H58" s="8"/>
      <c r="I58" s="8"/>
      <c r="J58" s="8"/>
      <c r="K58" s="8"/>
      <c r="L58" s="8"/>
      <c r="M58" s="8"/>
      <c r="N58" s="8"/>
      <c r="O58" s="8"/>
      <c r="P58" s="8"/>
      <c r="Q58" s="8"/>
      <c r="R58" s="8"/>
      <c r="S58" s="8"/>
      <c r="T58" s="8"/>
    </row>
    <row r="59" spans="1:20">
      <c r="A59" s="8"/>
      <c r="B59" s="8"/>
      <c r="C59" s="8"/>
      <c r="D59" s="8"/>
      <c r="E59" s="8"/>
      <c r="F59" s="8"/>
      <c r="G59" s="8"/>
      <c r="H59" s="8"/>
      <c r="I59" s="8"/>
      <c r="J59" s="8"/>
      <c r="K59" s="8"/>
      <c r="L59" s="8"/>
      <c r="M59" s="8"/>
      <c r="N59" s="8"/>
      <c r="O59" s="8"/>
      <c r="P59" s="8"/>
      <c r="Q59" s="8"/>
      <c r="R59" s="8"/>
      <c r="S59" s="8"/>
      <c r="T59" s="8"/>
    </row>
    <row r="60" spans="1:20">
      <c r="A60" s="8"/>
      <c r="B60" s="8"/>
      <c r="C60" s="8"/>
      <c r="D60" s="8"/>
      <c r="E60" s="8"/>
      <c r="F60" s="8"/>
      <c r="G60" s="8"/>
      <c r="H60" s="8"/>
      <c r="I60" s="8"/>
      <c r="J60" s="8"/>
      <c r="K60" s="8"/>
      <c r="L60" s="8"/>
      <c r="M60" s="8"/>
      <c r="N60" s="8"/>
      <c r="O60" s="8"/>
      <c r="P60" s="8"/>
      <c r="Q60" s="8"/>
      <c r="R60" s="8"/>
      <c r="S60" s="8"/>
      <c r="T60" s="8"/>
    </row>
    <row r="61" spans="1:20">
      <c r="A61" s="8"/>
      <c r="B61" s="8"/>
      <c r="C61" s="8"/>
      <c r="D61" s="8"/>
      <c r="E61" s="8"/>
      <c r="F61" s="8"/>
      <c r="G61" s="8"/>
      <c r="H61" s="8"/>
      <c r="I61" s="8"/>
      <c r="J61" s="8"/>
      <c r="K61" s="8"/>
      <c r="L61" s="8"/>
      <c r="M61" s="8"/>
      <c r="N61" s="8"/>
      <c r="O61" s="8"/>
      <c r="P61" s="8"/>
      <c r="Q61" s="8"/>
      <c r="R61" s="8"/>
      <c r="S61" s="8"/>
      <c r="T61" s="8"/>
    </row>
    <row r="62" spans="1:20">
      <c r="A62" s="8"/>
      <c r="B62" s="8"/>
      <c r="C62" s="8"/>
      <c r="D62" s="8"/>
      <c r="E62" s="8"/>
      <c r="F62" s="8"/>
      <c r="G62" s="8"/>
      <c r="H62" s="8"/>
      <c r="I62" s="8"/>
      <c r="J62" s="8"/>
      <c r="K62" s="8"/>
      <c r="L62" s="8"/>
      <c r="M62" s="8"/>
      <c r="N62" s="8"/>
      <c r="O62" s="8"/>
      <c r="P62" s="8"/>
      <c r="Q62" s="8"/>
      <c r="R62" s="8"/>
      <c r="S62" s="8"/>
      <c r="T62" s="8"/>
    </row>
    <row r="63" spans="1:20">
      <c r="A63" s="8"/>
      <c r="B63" s="8"/>
      <c r="C63" s="8"/>
      <c r="D63" s="8"/>
      <c r="E63" s="8"/>
      <c r="F63" s="8"/>
      <c r="G63" s="8"/>
      <c r="H63" s="8"/>
      <c r="I63" s="8"/>
      <c r="J63" s="8"/>
      <c r="K63" s="8"/>
      <c r="L63" s="8"/>
      <c r="M63" s="8"/>
      <c r="N63" s="8"/>
      <c r="O63" s="8"/>
      <c r="P63" s="8"/>
      <c r="Q63" s="8"/>
      <c r="R63" s="8"/>
      <c r="S63" s="8"/>
      <c r="T63" s="8"/>
    </row>
    <row r="64" spans="1:20">
      <c r="A64" s="8"/>
      <c r="B64" s="8"/>
      <c r="C64" s="8"/>
      <c r="D64" s="8"/>
      <c r="E64" s="8"/>
      <c r="F64" s="8"/>
      <c r="G64" s="8"/>
      <c r="H64" s="8"/>
      <c r="I64" s="8"/>
      <c r="J64" s="8"/>
      <c r="K64" s="8"/>
      <c r="L64" s="8"/>
      <c r="M64" s="8"/>
      <c r="N64" s="8"/>
      <c r="O64" s="8"/>
      <c r="P64" s="8"/>
      <c r="Q64" s="8"/>
      <c r="R64" s="8"/>
      <c r="S64" s="8"/>
      <c r="T64" s="8"/>
    </row>
    <row r="65" spans="1:20">
      <c r="A65" s="8"/>
      <c r="B65" s="8"/>
      <c r="C65" s="8"/>
      <c r="D65" s="8"/>
      <c r="E65" s="8"/>
      <c r="F65" s="8"/>
      <c r="G65" s="8"/>
      <c r="H65" s="8"/>
      <c r="I65" s="8"/>
      <c r="J65" s="8"/>
      <c r="K65" s="8"/>
      <c r="L65" s="8"/>
      <c r="M65" s="8"/>
      <c r="N65" s="8"/>
      <c r="O65" s="8"/>
      <c r="P65" s="8"/>
      <c r="Q65" s="8"/>
      <c r="R65" s="8"/>
      <c r="S65" s="8"/>
      <c r="T65" s="8"/>
    </row>
    <row r="66" spans="1:20">
      <c r="A66" s="8"/>
      <c r="B66" s="8"/>
      <c r="C66" s="8"/>
      <c r="D66" s="8"/>
      <c r="E66" s="8"/>
      <c r="F66" s="8"/>
      <c r="G66" s="8"/>
      <c r="H66" s="8"/>
      <c r="I66" s="8"/>
      <c r="J66" s="8"/>
      <c r="K66" s="8"/>
      <c r="L66" s="8"/>
      <c r="M66" s="8"/>
      <c r="N66" s="8"/>
      <c r="O66" s="8"/>
      <c r="P66" s="8"/>
      <c r="Q66" s="8"/>
      <c r="R66" s="8"/>
      <c r="S66" s="8"/>
      <c r="T66" s="8"/>
    </row>
    <row r="67" spans="1:20">
      <c r="A67" s="8"/>
      <c r="B67" s="8"/>
      <c r="C67" s="8"/>
      <c r="D67" s="8"/>
      <c r="E67" s="8"/>
      <c r="F67" s="8"/>
      <c r="G67" s="8"/>
      <c r="H67" s="8"/>
      <c r="I67" s="8"/>
      <c r="J67" s="8"/>
      <c r="K67" s="8"/>
      <c r="L67" s="8"/>
      <c r="M67" s="8"/>
      <c r="N67" s="8"/>
      <c r="O67" s="8"/>
      <c r="P67" s="8"/>
      <c r="Q67" s="8"/>
      <c r="R67" s="8"/>
      <c r="S67" s="8"/>
      <c r="T67" s="8"/>
    </row>
    <row r="68" spans="1:20">
      <c r="A68" s="8"/>
      <c r="B68" s="8"/>
      <c r="C68" s="8"/>
      <c r="D68" s="8"/>
      <c r="E68" s="8"/>
      <c r="F68" s="8"/>
      <c r="G68" s="8"/>
      <c r="H68" s="8"/>
      <c r="I68" s="8"/>
      <c r="J68" s="8"/>
      <c r="K68" s="8"/>
      <c r="L68" s="8"/>
      <c r="M68" s="8"/>
      <c r="N68" s="8"/>
      <c r="O68" s="8"/>
      <c r="P68" s="8"/>
      <c r="Q68" s="8"/>
      <c r="R68" s="8"/>
      <c r="S68" s="8"/>
      <c r="T68" s="8"/>
    </row>
    <row r="69" spans="1:20">
      <c r="A69" s="8"/>
      <c r="B69" s="8"/>
      <c r="C69" s="8"/>
      <c r="D69" s="8"/>
      <c r="E69" s="8"/>
      <c r="F69" s="8"/>
      <c r="G69" s="8"/>
      <c r="H69" s="8"/>
      <c r="I69" s="8"/>
      <c r="J69" s="8"/>
      <c r="K69" s="8"/>
      <c r="L69" s="8"/>
      <c r="M69" s="8"/>
      <c r="N69" s="8"/>
      <c r="O69" s="8"/>
      <c r="P69" s="8"/>
      <c r="Q69" s="8"/>
      <c r="R69" s="8"/>
      <c r="S69" s="8"/>
      <c r="T69" s="8"/>
    </row>
    <row r="70" spans="1:20">
      <c r="A70" s="8"/>
      <c r="B70" s="8"/>
      <c r="C70" s="8"/>
      <c r="D70" s="8"/>
      <c r="E70" s="8"/>
      <c r="F70" s="8"/>
      <c r="G70" s="8"/>
      <c r="H70" s="8"/>
      <c r="I70" s="8"/>
      <c r="J70" s="8"/>
      <c r="K70" s="8"/>
      <c r="L70" s="8"/>
      <c r="M70" s="8"/>
      <c r="N70" s="8"/>
      <c r="O70" s="8"/>
      <c r="P70" s="8"/>
      <c r="Q70" s="8"/>
      <c r="R70" s="8"/>
      <c r="S70" s="8"/>
      <c r="T70" s="8"/>
    </row>
    <row r="71" spans="1:20">
      <c r="A71" s="8"/>
      <c r="B71" s="8"/>
      <c r="C71" s="8"/>
      <c r="D71" s="8"/>
      <c r="E71" s="8"/>
      <c r="F71" s="8"/>
      <c r="G71" s="8"/>
      <c r="H71" s="8"/>
      <c r="I71" s="8"/>
      <c r="J71" s="8"/>
      <c r="K71" s="8"/>
      <c r="L71" s="8"/>
      <c r="M71" s="8"/>
      <c r="N71" s="8"/>
      <c r="O71" s="8"/>
      <c r="P71" s="8"/>
      <c r="Q71" s="8"/>
      <c r="R71" s="8"/>
      <c r="S71" s="8"/>
      <c r="T71" s="8"/>
    </row>
    <row r="72" spans="1:20">
      <c r="A72" s="8"/>
      <c r="B72" s="8"/>
      <c r="C72" s="8"/>
      <c r="D72" s="8"/>
      <c r="E72" s="8"/>
      <c r="F72" s="8"/>
      <c r="G72" s="8"/>
      <c r="H72" s="8"/>
      <c r="I72" s="8"/>
      <c r="J72" s="8"/>
      <c r="K72" s="8"/>
      <c r="L72" s="8"/>
      <c r="M72" s="8"/>
      <c r="N72" s="8"/>
      <c r="O72" s="8"/>
      <c r="P72" s="8"/>
      <c r="Q72" s="8"/>
      <c r="R72" s="8"/>
      <c r="S72" s="8"/>
      <c r="T72" s="8"/>
    </row>
    <row r="73" spans="1:20">
      <c r="A73" s="8"/>
      <c r="B73" s="8"/>
      <c r="C73" s="8"/>
      <c r="D73" s="8"/>
      <c r="E73" s="8"/>
      <c r="F73" s="8"/>
      <c r="G73" s="8"/>
      <c r="H73" s="8"/>
      <c r="I73" s="8"/>
      <c r="J73" s="8"/>
      <c r="K73" s="8"/>
      <c r="L73" s="8"/>
      <c r="M73" s="8"/>
      <c r="N73" s="8"/>
      <c r="O73" s="8"/>
      <c r="P73" s="8"/>
      <c r="Q73" s="8"/>
      <c r="R73" s="8"/>
      <c r="S73" s="8"/>
      <c r="T73" s="8"/>
    </row>
    <row r="74" spans="1:20">
      <c r="A74" s="8"/>
      <c r="B74" s="8"/>
      <c r="C74" s="8"/>
      <c r="D74" s="8"/>
      <c r="E74" s="8"/>
      <c r="F74" s="8"/>
      <c r="G74" s="8"/>
      <c r="H74" s="8"/>
      <c r="I74" s="8"/>
      <c r="J74" s="8"/>
      <c r="K74" s="8"/>
      <c r="L74" s="8"/>
      <c r="M74" s="8"/>
      <c r="N74" s="8"/>
      <c r="O74" s="8"/>
      <c r="P74" s="8"/>
      <c r="Q74" s="8"/>
      <c r="R74" s="8"/>
      <c r="S74" s="8"/>
      <c r="T74" s="8"/>
    </row>
    <row r="75" spans="1:20">
      <c r="A75" s="8"/>
      <c r="B75" s="8"/>
      <c r="C75" s="8"/>
      <c r="D75" s="8"/>
      <c r="E75" s="8"/>
      <c r="F75" s="8"/>
      <c r="G75" s="8"/>
      <c r="H75" s="8"/>
      <c r="I75" s="8"/>
      <c r="J75" s="8"/>
      <c r="K75" s="8"/>
      <c r="L75" s="8"/>
      <c r="M75" s="8"/>
      <c r="N75" s="8"/>
      <c r="O75" s="8"/>
      <c r="P75" s="8"/>
      <c r="Q75" s="8"/>
      <c r="R75" s="8"/>
      <c r="S75" s="8"/>
      <c r="T75" s="8"/>
    </row>
    <row r="76" spans="1:20">
      <c r="A76" s="8"/>
      <c r="B76" s="8"/>
      <c r="C76" s="8"/>
      <c r="D76" s="8"/>
      <c r="E76" s="8"/>
      <c r="F76" s="8"/>
      <c r="G76" s="8"/>
      <c r="H76" s="8"/>
      <c r="I76" s="8"/>
      <c r="J76" s="8"/>
      <c r="K76" s="8"/>
      <c r="L76" s="8"/>
      <c r="M76" s="8"/>
      <c r="N76" s="8"/>
      <c r="O76" s="8"/>
      <c r="P76" s="8"/>
      <c r="Q76" s="8"/>
      <c r="R76" s="8"/>
      <c r="S76" s="8"/>
      <c r="T76" s="8"/>
    </row>
    <row r="77" spans="1:20">
      <c r="A77" s="8"/>
      <c r="B77" s="8"/>
      <c r="C77" s="8"/>
      <c r="D77" s="8"/>
      <c r="E77" s="8"/>
      <c r="F77" s="8"/>
      <c r="G77" s="8"/>
      <c r="H77" s="8"/>
      <c r="I77" s="8"/>
      <c r="J77" s="8"/>
      <c r="K77" s="8"/>
      <c r="L77" s="8"/>
      <c r="M77" s="8"/>
      <c r="N77" s="8"/>
      <c r="O77" s="8"/>
      <c r="P77" s="8"/>
      <c r="Q77" s="8"/>
      <c r="R77" s="8"/>
      <c r="S77" s="8"/>
      <c r="T77" s="8"/>
    </row>
    <row r="78" spans="1:20">
      <c r="A78" s="8"/>
      <c r="B78" s="8"/>
      <c r="C78" s="8"/>
      <c r="D78" s="8"/>
      <c r="E78" s="8"/>
      <c r="F78" s="8"/>
      <c r="G78" s="8"/>
      <c r="H78" s="8"/>
      <c r="I78" s="8"/>
      <c r="J78" s="8"/>
      <c r="K78" s="8"/>
      <c r="L78" s="8"/>
      <c r="M78" s="8"/>
      <c r="N78" s="8"/>
      <c r="O78" s="8"/>
      <c r="P78" s="8"/>
      <c r="Q78" s="8"/>
      <c r="R78" s="8"/>
      <c r="S78" s="8"/>
      <c r="T78" s="8"/>
    </row>
    <row r="79" spans="1:20">
      <c r="A79" s="8"/>
      <c r="B79" s="8"/>
      <c r="C79" s="8"/>
      <c r="D79" s="8"/>
      <c r="E79" s="8"/>
      <c r="F79" s="8"/>
      <c r="G79" s="8"/>
      <c r="H79" s="8"/>
      <c r="I79" s="8"/>
      <c r="J79" s="8"/>
      <c r="K79" s="8"/>
      <c r="L79" s="8"/>
      <c r="M79" s="8"/>
      <c r="N79" s="8"/>
      <c r="O79" s="8"/>
      <c r="P79" s="8"/>
      <c r="Q79" s="8"/>
      <c r="R79" s="8"/>
      <c r="S79" s="8"/>
      <c r="T79" s="8"/>
    </row>
    <row r="80" spans="1:20">
      <c r="A80" s="8"/>
      <c r="B80" s="8"/>
      <c r="C80" s="8"/>
      <c r="D80" s="8"/>
      <c r="E80" s="8"/>
      <c r="F80" s="8"/>
      <c r="G80" s="8"/>
      <c r="H80" s="8"/>
      <c r="I80" s="8"/>
      <c r="J80" s="8"/>
      <c r="K80" s="8"/>
      <c r="L80" s="8"/>
      <c r="M80" s="8"/>
      <c r="N80" s="8"/>
      <c r="O80" s="8"/>
      <c r="P80" s="8"/>
      <c r="Q80" s="8"/>
      <c r="R80" s="8"/>
      <c r="S80" s="8"/>
      <c r="T80" s="8"/>
    </row>
    <row r="81" spans="1:20">
      <c r="A81" s="8"/>
      <c r="B81" s="8"/>
      <c r="C81" s="8"/>
      <c r="D81" s="8"/>
      <c r="E81" s="8"/>
      <c r="F81" s="8"/>
      <c r="G81" s="8"/>
      <c r="H81" s="8"/>
      <c r="I81" s="8"/>
      <c r="J81" s="8"/>
      <c r="K81" s="8"/>
      <c r="L81" s="8"/>
      <c r="M81" s="8"/>
      <c r="N81" s="8"/>
      <c r="O81" s="8"/>
      <c r="P81" s="8"/>
      <c r="Q81" s="8"/>
      <c r="R81" s="8"/>
      <c r="S81" s="8"/>
      <c r="T81" s="8"/>
    </row>
    <row r="82" spans="1:20">
      <c r="A82" s="8"/>
      <c r="B82" s="8"/>
      <c r="C82" s="8"/>
      <c r="D82" s="8"/>
      <c r="E82" s="8"/>
      <c r="F82" s="8"/>
      <c r="G82" s="8"/>
      <c r="H82" s="8"/>
      <c r="I82" s="8"/>
      <c r="J82" s="8"/>
      <c r="K82" s="8"/>
      <c r="L82" s="8"/>
      <c r="M82" s="8"/>
      <c r="N82" s="8"/>
      <c r="O82" s="8"/>
      <c r="P82" s="8"/>
      <c r="Q82" s="8"/>
      <c r="R82" s="8"/>
      <c r="S82" s="8"/>
      <c r="T82" s="8"/>
    </row>
    <row r="83" spans="1:20">
      <c r="A83" s="8"/>
      <c r="B83" s="8"/>
      <c r="C83" s="8"/>
      <c r="D83" s="8"/>
      <c r="E83" s="8"/>
      <c r="F83" s="8"/>
      <c r="G83" s="8"/>
      <c r="H83" s="8"/>
      <c r="I83" s="8"/>
      <c r="J83" s="8"/>
      <c r="K83" s="8"/>
      <c r="L83" s="8"/>
      <c r="M83" s="8"/>
      <c r="N83" s="8"/>
      <c r="O83" s="8"/>
      <c r="P83" s="8"/>
      <c r="Q83" s="8"/>
      <c r="R83" s="8"/>
      <c r="S83" s="8"/>
      <c r="T83" s="8"/>
    </row>
    <row r="84" spans="1:20">
      <c r="A84" s="8"/>
      <c r="B84" s="8"/>
      <c r="C84" s="8"/>
      <c r="D84" s="8"/>
      <c r="E84" s="8"/>
      <c r="F84" s="8"/>
      <c r="G84" s="8"/>
      <c r="H84" s="8"/>
      <c r="I84" s="8"/>
      <c r="J84" s="8"/>
      <c r="K84" s="8"/>
      <c r="L84" s="8"/>
      <c r="M84" s="8"/>
      <c r="N84" s="8"/>
      <c r="O84" s="8"/>
      <c r="P84" s="8"/>
      <c r="Q84" s="8"/>
      <c r="R84" s="8"/>
      <c r="S84" s="8"/>
      <c r="T84" s="8"/>
    </row>
    <row r="85" spans="1:20">
      <c r="A85" s="8"/>
      <c r="B85" s="8"/>
      <c r="C85" s="8"/>
      <c r="D85" s="8"/>
      <c r="E85" s="8"/>
      <c r="F85" s="8"/>
      <c r="G85" s="8"/>
      <c r="H85" s="8"/>
      <c r="I85" s="8"/>
      <c r="J85" s="8"/>
      <c r="K85" s="8"/>
      <c r="L85" s="8"/>
      <c r="M85" s="8"/>
      <c r="N85" s="8"/>
      <c r="O85" s="8"/>
      <c r="P85" s="8"/>
      <c r="Q85" s="8"/>
      <c r="R85" s="8"/>
      <c r="S85" s="8"/>
      <c r="T85" s="8"/>
    </row>
    <row r="86" spans="1:20">
      <c r="A86" s="8"/>
      <c r="B86" s="8"/>
      <c r="C86" s="8"/>
      <c r="D86" s="8"/>
      <c r="E86" s="8"/>
      <c r="F86" s="8"/>
      <c r="G86" s="8"/>
      <c r="H86" s="8"/>
      <c r="I86" s="8"/>
      <c r="J86" s="8"/>
      <c r="K86" s="8"/>
      <c r="L86" s="8"/>
      <c r="M86" s="8"/>
      <c r="N86" s="8"/>
      <c r="O86" s="8"/>
      <c r="P86" s="8"/>
      <c r="Q86" s="8"/>
      <c r="R86" s="8"/>
      <c r="S86" s="8"/>
      <c r="T86" s="8"/>
    </row>
    <row r="87" spans="1:20">
      <c r="A87" s="8"/>
      <c r="B87" s="8"/>
      <c r="C87" s="8"/>
      <c r="D87" s="8"/>
      <c r="E87" s="8"/>
      <c r="F87" s="8"/>
      <c r="G87" s="8"/>
      <c r="H87" s="8"/>
      <c r="I87" s="8"/>
      <c r="J87" s="8"/>
      <c r="K87" s="8"/>
      <c r="L87" s="8"/>
      <c r="M87" s="8"/>
      <c r="N87" s="8"/>
      <c r="O87" s="8"/>
      <c r="P87" s="8"/>
      <c r="Q87" s="8"/>
      <c r="R87" s="8"/>
      <c r="S87" s="8"/>
      <c r="T87" s="8"/>
    </row>
    <row r="88" spans="1:20">
      <c r="A88" s="8"/>
      <c r="B88" s="8"/>
      <c r="C88" s="8"/>
      <c r="D88" s="8"/>
      <c r="E88" s="8"/>
      <c r="F88" s="8"/>
      <c r="G88" s="8"/>
      <c r="H88" s="8"/>
      <c r="I88" s="8"/>
      <c r="J88" s="8"/>
      <c r="K88" s="8"/>
      <c r="L88" s="8"/>
      <c r="M88" s="8"/>
      <c r="N88" s="8"/>
      <c r="O88" s="8"/>
      <c r="P88" s="8"/>
      <c r="Q88" s="8"/>
      <c r="R88" s="8"/>
      <c r="S88" s="8"/>
      <c r="T88" s="8"/>
    </row>
    <row r="89" spans="1:20">
      <c r="A89" s="8"/>
      <c r="B89" s="8"/>
      <c r="C89" s="8"/>
      <c r="D89" s="8"/>
      <c r="E89" s="8"/>
      <c r="F89" s="8"/>
      <c r="G89" s="8"/>
      <c r="H89" s="8"/>
      <c r="I89" s="8"/>
      <c r="J89" s="8"/>
      <c r="K89" s="8"/>
      <c r="L89" s="8"/>
      <c r="M89" s="8"/>
      <c r="N89" s="8"/>
      <c r="O89" s="8"/>
      <c r="P89" s="8"/>
      <c r="Q89" s="8"/>
      <c r="R89" s="8"/>
      <c r="S89" s="8"/>
      <c r="T89" s="8"/>
    </row>
    <row r="90" spans="1:20">
      <c r="A90" s="8"/>
      <c r="B90" s="8"/>
      <c r="C90" s="8"/>
      <c r="D90" s="8"/>
      <c r="E90" s="8"/>
      <c r="F90" s="8"/>
      <c r="G90" s="8"/>
      <c r="H90" s="8"/>
      <c r="I90" s="8"/>
      <c r="J90" s="8"/>
      <c r="K90" s="8"/>
      <c r="L90" s="8"/>
      <c r="M90" s="8"/>
      <c r="N90" s="8"/>
      <c r="O90" s="8"/>
      <c r="P90" s="8"/>
      <c r="Q90" s="8"/>
      <c r="R90" s="8"/>
      <c r="S90" s="8"/>
      <c r="T90" s="8"/>
    </row>
    <row r="91" spans="1:20">
      <c r="A91" s="8"/>
      <c r="B91" s="8"/>
      <c r="C91" s="8"/>
      <c r="D91" s="8"/>
      <c r="E91" s="8"/>
      <c r="F91" s="8"/>
      <c r="G91" s="8"/>
      <c r="H91" s="8"/>
      <c r="I91" s="8"/>
      <c r="J91" s="8"/>
      <c r="K91" s="8"/>
      <c r="L91" s="8"/>
      <c r="M91" s="8"/>
      <c r="N91" s="8"/>
      <c r="O91" s="8"/>
      <c r="P91" s="8"/>
      <c r="Q91" s="8"/>
      <c r="R91" s="8"/>
      <c r="S91" s="8"/>
      <c r="T91" s="8"/>
    </row>
    <row r="92" spans="1:20">
      <c r="A92" s="8"/>
      <c r="B92" s="8"/>
      <c r="C92" s="8"/>
      <c r="D92" s="8"/>
      <c r="E92" s="8"/>
      <c r="F92" s="8"/>
      <c r="G92" s="8"/>
      <c r="H92" s="8"/>
      <c r="I92" s="8"/>
      <c r="J92" s="8"/>
      <c r="K92" s="8"/>
      <c r="L92" s="8"/>
      <c r="M92" s="8"/>
      <c r="N92" s="8"/>
      <c r="O92" s="8"/>
      <c r="P92" s="8"/>
      <c r="Q92" s="8"/>
      <c r="R92" s="8"/>
      <c r="S92" s="8"/>
      <c r="T92" s="8"/>
    </row>
    <row r="93" spans="1:20">
      <c r="A93" s="8"/>
      <c r="B93" s="8"/>
      <c r="C93" s="8"/>
      <c r="D93" s="8"/>
      <c r="E93" s="8"/>
      <c r="F93" s="8"/>
      <c r="G93" s="8"/>
      <c r="H93" s="8"/>
      <c r="I93" s="8"/>
      <c r="J93" s="8"/>
      <c r="K93" s="8"/>
      <c r="L93" s="8"/>
      <c r="M93" s="8"/>
      <c r="N93" s="8"/>
      <c r="O93" s="8"/>
      <c r="P93" s="8"/>
      <c r="Q93" s="8"/>
      <c r="R93" s="8"/>
      <c r="S93" s="8"/>
      <c r="T93" s="8"/>
    </row>
    <row r="94" spans="1:20">
      <c r="A94" s="8"/>
      <c r="B94" s="8"/>
      <c r="C94" s="8"/>
      <c r="D94" s="8"/>
      <c r="E94" s="8"/>
      <c r="F94" s="8"/>
      <c r="G94" s="8"/>
      <c r="H94" s="8"/>
      <c r="I94" s="8"/>
      <c r="J94" s="8"/>
      <c r="K94" s="8"/>
      <c r="L94" s="8"/>
      <c r="M94" s="8"/>
      <c r="N94" s="8"/>
      <c r="O94" s="8"/>
      <c r="P94" s="8"/>
      <c r="Q94" s="8"/>
      <c r="R94" s="8"/>
      <c r="S94" s="8"/>
      <c r="T94" s="8"/>
    </row>
    <row r="95" spans="1:20">
      <c r="A95" s="8"/>
      <c r="B95" s="8"/>
      <c r="C95" s="8"/>
      <c r="D95" s="8"/>
      <c r="E95" s="8"/>
      <c r="F95" s="8"/>
      <c r="G95" s="8"/>
      <c r="H95" s="8"/>
      <c r="I95" s="8"/>
      <c r="J95" s="8"/>
      <c r="K95" s="8"/>
      <c r="L95" s="8"/>
      <c r="M95" s="8"/>
      <c r="N95" s="8"/>
      <c r="O95" s="8"/>
      <c r="P95" s="8"/>
      <c r="Q95" s="8"/>
      <c r="R95" s="8"/>
      <c r="S95" s="8"/>
      <c r="T95" s="8"/>
    </row>
    <row r="96" spans="1:20">
      <c r="A96" s="8"/>
      <c r="B96" s="8"/>
      <c r="C96" s="8"/>
      <c r="D96" s="8"/>
      <c r="E96" s="8"/>
      <c r="F96" s="8"/>
      <c r="G96" s="8"/>
      <c r="H96" s="8"/>
      <c r="I96" s="8"/>
      <c r="J96" s="8"/>
      <c r="K96" s="8"/>
      <c r="L96" s="8"/>
      <c r="M96" s="8"/>
      <c r="N96" s="8"/>
      <c r="O96" s="8"/>
      <c r="P96" s="8"/>
      <c r="Q96" s="8"/>
      <c r="R96" s="8"/>
      <c r="S96" s="8"/>
      <c r="T96" s="8"/>
    </row>
    <row r="97" spans="1:20">
      <c r="A97" s="8"/>
      <c r="B97" s="8"/>
      <c r="C97" s="8"/>
      <c r="D97" s="8"/>
      <c r="E97" s="8"/>
      <c r="F97" s="8"/>
      <c r="G97" s="8"/>
      <c r="H97" s="8"/>
      <c r="I97" s="8"/>
      <c r="J97" s="8"/>
      <c r="K97" s="8"/>
      <c r="L97" s="8"/>
      <c r="M97" s="8"/>
      <c r="N97" s="8"/>
      <c r="O97" s="8"/>
      <c r="P97" s="8"/>
      <c r="Q97" s="8"/>
      <c r="R97" s="8"/>
      <c r="S97" s="8"/>
      <c r="T97" s="8"/>
    </row>
    <row r="98" spans="1:20">
      <c r="A98" s="8"/>
      <c r="B98" s="8"/>
      <c r="C98" s="8"/>
      <c r="D98" s="8"/>
      <c r="E98" s="8"/>
      <c r="F98" s="8"/>
      <c r="G98" s="8"/>
      <c r="H98" s="8"/>
      <c r="I98" s="8"/>
      <c r="J98" s="8"/>
      <c r="K98" s="8"/>
      <c r="L98" s="8"/>
      <c r="M98" s="8"/>
      <c r="N98" s="8"/>
      <c r="O98" s="8"/>
      <c r="P98" s="8"/>
      <c r="Q98" s="8"/>
      <c r="R98" s="8"/>
      <c r="S98" s="8"/>
      <c r="T98" s="8"/>
    </row>
    <row r="99" spans="1:20">
      <c r="A99" s="8"/>
      <c r="B99" s="8"/>
      <c r="C99" s="8"/>
      <c r="D99" s="8"/>
      <c r="E99" s="8"/>
      <c r="F99" s="8"/>
      <c r="G99" s="8"/>
      <c r="H99" s="8"/>
      <c r="I99" s="8"/>
      <c r="J99" s="8"/>
      <c r="K99" s="8"/>
      <c r="L99" s="8"/>
      <c r="M99" s="8"/>
      <c r="N99" s="8"/>
      <c r="O99" s="8"/>
      <c r="P99" s="8"/>
      <c r="Q99" s="8"/>
      <c r="R99" s="8"/>
      <c r="S99" s="8"/>
      <c r="T99" s="8"/>
    </row>
    <row r="100" spans="1:20">
      <c r="A100" s="8"/>
      <c r="B100" s="8"/>
      <c r="C100" s="8"/>
      <c r="D100" s="8"/>
      <c r="E100" s="8"/>
      <c r="F100" s="8"/>
      <c r="G100" s="8"/>
      <c r="H100" s="8"/>
      <c r="I100" s="8"/>
      <c r="J100" s="8"/>
      <c r="K100" s="8"/>
      <c r="L100" s="8"/>
      <c r="M100" s="8"/>
      <c r="N100" s="8"/>
      <c r="O100" s="8"/>
      <c r="P100" s="8"/>
      <c r="Q100" s="8"/>
      <c r="R100" s="8"/>
      <c r="S100" s="8"/>
      <c r="T100" s="8"/>
    </row>
    <row r="101" spans="1:20">
      <c r="A101" s="8" t="s">
        <v>1336</v>
      </c>
      <c r="B101" s="8"/>
      <c r="C101" s="8"/>
      <c r="D101" s="8"/>
      <c r="E101" s="8"/>
      <c r="F101" s="8"/>
      <c r="G101" s="8"/>
      <c r="H101" s="8"/>
      <c r="I101" s="8"/>
      <c r="J101" s="8"/>
      <c r="K101" s="8"/>
      <c r="L101" s="8"/>
      <c r="M101" s="8"/>
      <c r="N101" s="8"/>
      <c r="O101" s="8"/>
      <c r="P101" s="8"/>
      <c r="Q101" s="8" t="s">
        <v>934</v>
      </c>
      <c r="R101" s="61">
        <v>45965</v>
      </c>
      <c r="S101" s="61">
        <v>45965</v>
      </c>
      <c r="T101" s="8"/>
    </row>
  </sheetData>
  <pageMargins left="0.75" right="0.75" top="1" bottom="1" header="0.5" footer="0.5"/>
  <pageSetup paperSize="0" orientation="portrait" horizontalDpi="0" verticalDpi="0" copie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26"/>
  <dimension ref="A1:K100"/>
  <sheetViews>
    <sheetView workbookViewId="0"/>
  </sheetViews>
  <sheetFormatPr baseColWidth="10" defaultColWidth="9.140625" defaultRowHeight="15"/>
  <cols>
    <col min="2" max="2" width="15.5703125" bestFit="1" customWidth="1"/>
    <col min="3" max="3" width="20.140625" bestFit="1" customWidth="1"/>
    <col min="4" max="4" width="50.7109375" customWidth="1"/>
    <col min="6" max="6" width="12.28515625" bestFit="1" customWidth="1"/>
    <col min="7" max="7" width="11.85546875" bestFit="1" customWidth="1"/>
    <col min="8" max="8" width="50.7109375" customWidth="1"/>
    <col min="10" max="10" width="6.7109375" bestFit="1" customWidth="1"/>
    <col min="11" max="11" width="9" bestFit="1" customWidth="1"/>
  </cols>
  <sheetData>
    <row r="1" spans="1:11">
      <c r="A1" s="8"/>
      <c r="B1" s="8"/>
      <c r="C1" s="8"/>
      <c r="D1" s="8"/>
      <c r="E1" s="8"/>
      <c r="F1" s="8"/>
      <c r="G1" s="8"/>
      <c r="H1" s="8"/>
      <c r="I1" s="8"/>
      <c r="J1" s="8"/>
    </row>
    <row r="2" spans="1:11" ht="18.75" customHeight="1">
      <c r="A2" s="8"/>
      <c r="B2" s="133" t="s">
        <v>1337</v>
      </c>
      <c r="C2" s="93"/>
      <c r="D2" s="93"/>
      <c r="E2" s="93"/>
      <c r="F2" s="93"/>
      <c r="G2" s="93"/>
      <c r="H2" s="93"/>
      <c r="I2" s="8"/>
      <c r="J2" s="8"/>
    </row>
    <row r="3" spans="1:11">
      <c r="A3" s="8"/>
      <c r="B3" s="8"/>
      <c r="C3" s="8"/>
      <c r="D3" s="8"/>
      <c r="E3" s="8"/>
      <c r="F3" s="8"/>
      <c r="G3" s="8"/>
      <c r="H3" s="8"/>
      <c r="I3" s="8"/>
      <c r="J3" s="8"/>
    </row>
    <row r="4" spans="1:11" ht="15.75" customHeight="1">
      <c r="A4" s="8"/>
      <c r="B4" s="135" t="s">
        <v>1338</v>
      </c>
      <c r="C4" s="93"/>
      <c r="D4" s="8"/>
      <c r="E4" s="8"/>
      <c r="F4" s="134" t="s">
        <v>1339</v>
      </c>
      <c r="G4" s="93"/>
      <c r="H4" s="93"/>
      <c r="I4" s="93"/>
      <c r="J4" s="93"/>
      <c r="K4" s="81"/>
    </row>
    <row r="5" spans="1:11" ht="45" customHeight="1">
      <c r="A5" s="8"/>
      <c r="B5" s="60" t="s">
        <v>134</v>
      </c>
      <c r="C5" s="60" t="s">
        <v>135</v>
      </c>
      <c r="D5" s="60" t="s">
        <v>1130</v>
      </c>
      <c r="E5" s="8"/>
      <c r="F5" s="62" t="s">
        <v>1340</v>
      </c>
      <c r="G5" s="63" t="s">
        <v>1341</v>
      </c>
      <c r="H5" s="63" t="s">
        <v>1342</v>
      </c>
      <c r="I5" s="63" t="s">
        <v>1343</v>
      </c>
      <c r="J5" s="63" t="s">
        <v>1344</v>
      </c>
      <c r="K5" s="10" t="s">
        <v>1345</v>
      </c>
    </row>
    <row r="6" spans="1:11" ht="15.75" customHeight="1">
      <c r="A6" s="8"/>
      <c r="B6" s="8" t="s">
        <v>1346</v>
      </c>
      <c r="C6" s="8" t="s">
        <v>1347</v>
      </c>
      <c r="D6" s="8" t="s">
        <v>1348</v>
      </c>
      <c r="E6" s="8"/>
      <c r="F6" s="64" t="s">
        <v>1349</v>
      </c>
      <c r="G6" s="11">
        <v>5</v>
      </c>
      <c r="H6" s="12">
        <v>10</v>
      </c>
      <c r="I6" s="13">
        <v>15</v>
      </c>
      <c r="J6" s="13">
        <v>20</v>
      </c>
      <c r="K6" s="13">
        <v>25</v>
      </c>
    </row>
    <row r="7" spans="1:11" ht="15.75" customHeight="1">
      <c r="A7" s="8"/>
      <c r="B7" s="8" t="s">
        <v>1350</v>
      </c>
      <c r="C7" s="8" t="s">
        <v>1351</v>
      </c>
      <c r="D7" s="8" t="s">
        <v>1352</v>
      </c>
      <c r="E7" s="8"/>
      <c r="F7" s="64" t="s">
        <v>1353</v>
      </c>
      <c r="G7" s="11">
        <v>4</v>
      </c>
      <c r="H7" s="14">
        <v>8</v>
      </c>
      <c r="I7" s="12">
        <v>12</v>
      </c>
      <c r="J7" s="13">
        <v>16</v>
      </c>
      <c r="K7" s="13">
        <v>20</v>
      </c>
    </row>
    <row r="8" spans="1:11" ht="15.75" customHeight="1">
      <c r="A8" s="8"/>
      <c r="B8" s="8" t="s">
        <v>1354</v>
      </c>
      <c r="C8" s="8" t="s">
        <v>1355</v>
      </c>
      <c r="D8" s="8" t="s">
        <v>1356</v>
      </c>
      <c r="E8" s="8"/>
      <c r="F8" s="64" t="s">
        <v>1357</v>
      </c>
      <c r="G8" s="11">
        <v>3</v>
      </c>
      <c r="H8" s="14">
        <v>6</v>
      </c>
      <c r="I8" s="14">
        <v>9</v>
      </c>
      <c r="J8" s="12">
        <v>12</v>
      </c>
      <c r="K8" s="13">
        <v>15</v>
      </c>
    </row>
    <row r="9" spans="1:11" ht="15.75" customHeight="1">
      <c r="A9" s="8"/>
      <c r="B9" s="8" t="s">
        <v>1358</v>
      </c>
      <c r="C9" s="8" t="s">
        <v>1359</v>
      </c>
      <c r="D9" s="8" t="s">
        <v>1360</v>
      </c>
      <c r="E9" s="8"/>
      <c r="F9" s="64" t="s">
        <v>1361</v>
      </c>
      <c r="G9" s="15">
        <v>2</v>
      </c>
      <c r="H9" s="11">
        <v>4</v>
      </c>
      <c r="I9" s="14">
        <v>6</v>
      </c>
      <c r="J9" s="14">
        <v>8</v>
      </c>
      <c r="K9" s="12">
        <v>10</v>
      </c>
    </row>
    <row r="10" spans="1:11" ht="15.75" customHeight="1">
      <c r="A10" s="8"/>
      <c r="B10" s="8" t="s">
        <v>1362</v>
      </c>
      <c r="C10" s="8" t="s">
        <v>1363</v>
      </c>
      <c r="D10" s="8" t="s">
        <v>1364</v>
      </c>
      <c r="E10" s="8"/>
      <c r="F10" s="64" t="s">
        <v>1365</v>
      </c>
      <c r="G10" s="15">
        <v>1</v>
      </c>
      <c r="H10" s="15">
        <v>2</v>
      </c>
      <c r="I10" s="11">
        <v>3</v>
      </c>
      <c r="J10" s="11">
        <v>4</v>
      </c>
      <c r="K10" s="11">
        <v>5</v>
      </c>
    </row>
    <row r="11" spans="1:11">
      <c r="A11" s="8"/>
      <c r="B11" s="8"/>
      <c r="C11" s="8"/>
      <c r="D11" s="8"/>
      <c r="E11" s="8"/>
      <c r="F11" s="8"/>
      <c r="G11" s="8"/>
      <c r="H11" s="8"/>
      <c r="I11" s="8"/>
      <c r="J11" s="8"/>
    </row>
    <row r="12" spans="1:11">
      <c r="A12" s="8"/>
      <c r="B12" s="135" t="s">
        <v>1366</v>
      </c>
      <c r="C12" s="93"/>
      <c r="D12" s="8"/>
      <c r="E12" s="8"/>
      <c r="F12" s="135" t="s">
        <v>1367</v>
      </c>
      <c r="G12" s="93"/>
      <c r="H12" s="93"/>
      <c r="I12" s="8"/>
      <c r="J12" s="8"/>
    </row>
    <row r="13" spans="1:11">
      <c r="A13" s="8"/>
      <c r="B13" s="60" t="s">
        <v>134</v>
      </c>
      <c r="C13" s="60" t="s">
        <v>135</v>
      </c>
      <c r="D13" s="60" t="s">
        <v>1368</v>
      </c>
      <c r="E13" s="8"/>
      <c r="F13" s="60" t="s">
        <v>134</v>
      </c>
      <c r="G13" s="60" t="s">
        <v>183</v>
      </c>
      <c r="H13" s="60" t="s">
        <v>1369</v>
      </c>
      <c r="I13" s="8"/>
      <c r="J13" s="8"/>
    </row>
    <row r="14" spans="1:11">
      <c r="A14" s="8"/>
      <c r="B14" s="8" t="s">
        <v>1370</v>
      </c>
      <c r="C14" s="8" t="s">
        <v>1371</v>
      </c>
      <c r="D14" s="8" t="s">
        <v>1372</v>
      </c>
      <c r="E14" s="8"/>
      <c r="F14" s="65" t="s">
        <v>665</v>
      </c>
      <c r="G14" s="8" t="s">
        <v>1373</v>
      </c>
      <c r="H14" s="8" t="s">
        <v>1374</v>
      </c>
      <c r="I14" s="8"/>
      <c r="J14" s="8"/>
    </row>
    <row r="15" spans="1:11">
      <c r="A15" s="8"/>
      <c r="B15" s="8" t="s">
        <v>1375</v>
      </c>
      <c r="C15" s="8" t="s">
        <v>175</v>
      </c>
      <c r="D15" s="8" t="s">
        <v>1376</v>
      </c>
      <c r="E15" s="8"/>
      <c r="F15" s="9" t="s">
        <v>174</v>
      </c>
      <c r="G15" s="8" t="s">
        <v>194</v>
      </c>
      <c r="H15" s="8" t="s">
        <v>1377</v>
      </c>
      <c r="I15" s="8"/>
      <c r="J15" s="8"/>
    </row>
    <row r="16" spans="1:11">
      <c r="A16" s="8"/>
      <c r="B16" s="8" t="s">
        <v>1378</v>
      </c>
      <c r="C16" s="8" t="s">
        <v>1379</v>
      </c>
      <c r="D16" s="8" t="s">
        <v>1380</v>
      </c>
      <c r="E16" s="8"/>
      <c r="F16" s="16" t="s">
        <v>170</v>
      </c>
      <c r="G16" s="8" t="s">
        <v>1381</v>
      </c>
      <c r="H16" s="8" t="s">
        <v>1382</v>
      </c>
      <c r="I16" s="8"/>
      <c r="J16" s="8"/>
    </row>
    <row r="17" spans="1:10">
      <c r="A17" s="8"/>
      <c r="B17" s="8" t="s">
        <v>1383</v>
      </c>
      <c r="C17" s="8" t="s">
        <v>167</v>
      </c>
      <c r="D17" s="8" t="s">
        <v>1384</v>
      </c>
      <c r="E17" s="8"/>
      <c r="F17" s="66" t="s">
        <v>166</v>
      </c>
      <c r="G17" s="8" t="s">
        <v>1385</v>
      </c>
      <c r="H17" s="8" t="s">
        <v>1386</v>
      </c>
      <c r="I17" s="8"/>
      <c r="J17" s="8"/>
    </row>
    <row r="18" spans="1:10">
      <c r="A18" s="8"/>
      <c r="B18" s="8" t="s">
        <v>1387</v>
      </c>
      <c r="C18" s="8" t="s">
        <v>1388</v>
      </c>
      <c r="D18" s="8" t="s">
        <v>1389</v>
      </c>
      <c r="E18" s="8"/>
      <c r="F18" s="67" t="s">
        <v>162</v>
      </c>
      <c r="G18" s="8" t="s">
        <v>1390</v>
      </c>
      <c r="H18" s="8" t="s">
        <v>1391</v>
      </c>
      <c r="I18" s="8"/>
      <c r="J18" s="8"/>
    </row>
    <row r="19" spans="1:10">
      <c r="A19" s="8"/>
      <c r="B19" s="8"/>
      <c r="C19" s="8"/>
      <c r="D19" s="8"/>
      <c r="E19" s="8"/>
      <c r="F19" s="8"/>
      <c r="G19" s="8"/>
      <c r="H19" s="8"/>
      <c r="I19" s="8"/>
      <c r="J19" s="8"/>
    </row>
    <row r="20" spans="1:10">
      <c r="A20" s="8"/>
      <c r="B20" s="8"/>
      <c r="C20" s="8"/>
      <c r="D20" s="8"/>
      <c r="E20" s="8"/>
      <c r="F20" s="8"/>
      <c r="G20" s="8"/>
      <c r="H20" s="8"/>
      <c r="I20" s="8"/>
      <c r="J20" s="8"/>
    </row>
    <row r="21" spans="1:10">
      <c r="A21" s="8"/>
      <c r="B21" s="8"/>
      <c r="C21" s="8"/>
      <c r="D21" s="8"/>
      <c r="E21" s="8"/>
      <c r="F21" s="8"/>
      <c r="G21" s="8"/>
      <c r="H21" s="8"/>
      <c r="I21" s="8"/>
      <c r="J21" s="8"/>
    </row>
    <row r="22" spans="1:10">
      <c r="A22" s="8"/>
      <c r="B22" s="8"/>
      <c r="C22" s="8"/>
      <c r="D22" s="8"/>
      <c r="E22" s="8"/>
      <c r="F22" s="8"/>
      <c r="G22" s="8"/>
      <c r="H22" s="8"/>
      <c r="I22" s="8"/>
      <c r="J22" s="8"/>
    </row>
    <row r="23" spans="1:10">
      <c r="A23" s="8"/>
      <c r="B23" s="8"/>
      <c r="C23" s="8"/>
      <c r="D23" s="8"/>
      <c r="E23" s="8"/>
      <c r="F23" s="8"/>
      <c r="G23" s="8"/>
      <c r="H23" s="8"/>
      <c r="I23" s="8"/>
      <c r="J23" s="8"/>
    </row>
    <row r="24" spans="1:10">
      <c r="A24" s="8"/>
      <c r="B24" s="8"/>
      <c r="C24" s="8"/>
      <c r="D24" s="8"/>
      <c r="E24" s="8"/>
      <c r="F24" s="8"/>
      <c r="G24" s="8"/>
      <c r="H24" s="8"/>
      <c r="I24" s="8"/>
      <c r="J24" s="8"/>
    </row>
    <row r="25" spans="1:10">
      <c r="A25" s="8"/>
      <c r="B25" s="8"/>
      <c r="C25" s="8"/>
      <c r="D25" s="8"/>
      <c r="E25" s="8"/>
      <c r="F25" s="8"/>
      <c r="G25" s="8"/>
      <c r="H25" s="8"/>
      <c r="I25" s="8"/>
      <c r="J25" s="8"/>
    </row>
    <row r="26" spans="1:10">
      <c r="A26" s="8"/>
      <c r="B26" s="8"/>
      <c r="C26" s="8"/>
      <c r="D26" s="8"/>
      <c r="E26" s="8"/>
      <c r="F26" s="8"/>
      <c r="G26" s="8"/>
      <c r="H26" s="8"/>
      <c r="I26" s="8"/>
      <c r="J26" s="8"/>
    </row>
    <row r="27" spans="1:10">
      <c r="A27" s="8"/>
      <c r="B27" s="8"/>
      <c r="C27" s="8"/>
      <c r="D27" s="8"/>
      <c r="E27" s="8"/>
      <c r="F27" s="8"/>
      <c r="G27" s="8"/>
      <c r="H27" s="8"/>
      <c r="I27" s="8"/>
      <c r="J27" s="8"/>
    </row>
    <row r="28" spans="1:10">
      <c r="A28" s="8"/>
      <c r="B28" s="8"/>
      <c r="C28" s="8"/>
      <c r="D28" s="8"/>
      <c r="E28" s="8"/>
      <c r="F28" s="8"/>
      <c r="G28" s="8"/>
      <c r="H28" s="8"/>
      <c r="I28" s="8"/>
      <c r="J28" s="8"/>
    </row>
    <row r="29" spans="1:10">
      <c r="A29" s="8"/>
      <c r="B29" s="8"/>
      <c r="C29" s="8"/>
      <c r="D29" s="8"/>
      <c r="E29" s="8"/>
      <c r="F29" s="8"/>
      <c r="G29" s="8"/>
      <c r="H29" s="8"/>
      <c r="I29" s="8"/>
      <c r="J29" s="8"/>
    </row>
    <row r="30" spans="1:10">
      <c r="A30" s="8"/>
      <c r="B30" s="8"/>
      <c r="C30" s="8"/>
      <c r="D30" s="8"/>
      <c r="E30" s="8"/>
      <c r="F30" s="8"/>
      <c r="G30" s="8"/>
      <c r="H30" s="8"/>
      <c r="I30" s="8"/>
      <c r="J30" s="8"/>
    </row>
    <row r="31" spans="1:10">
      <c r="A31" s="8"/>
      <c r="B31" s="8"/>
      <c r="C31" s="8"/>
      <c r="D31" s="8"/>
      <c r="E31" s="8"/>
      <c r="F31" s="8"/>
      <c r="G31" s="8"/>
      <c r="H31" s="8"/>
      <c r="I31" s="8"/>
      <c r="J31" s="8"/>
    </row>
    <row r="32" spans="1:10">
      <c r="A32" s="8"/>
      <c r="B32" s="8"/>
      <c r="C32" s="8"/>
      <c r="D32" s="8"/>
      <c r="E32" s="8"/>
      <c r="F32" s="8"/>
      <c r="G32" s="8"/>
      <c r="H32" s="8"/>
      <c r="I32" s="8"/>
      <c r="J32" s="8"/>
    </row>
    <row r="33" spans="1:10">
      <c r="A33" s="8"/>
      <c r="B33" s="8"/>
      <c r="C33" s="8"/>
      <c r="D33" s="8"/>
      <c r="E33" s="8"/>
      <c r="F33" s="8"/>
      <c r="G33" s="8"/>
      <c r="H33" s="8"/>
      <c r="I33" s="8"/>
      <c r="J33" s="8"/>
    </row>
    <row r="34" spans="1:10">
      <c r="A34" s="8"/>
      <c r="B34" s="8"/>
      <c r="C34" s="8"/>
      <c r="D34" s="8"/>
      <c r="E34" s="8"/>
      <c r="F34" s="8"/>
      <c r="G34" s="8"/>
      <c r="H34" s="8"/>
      <c r="I34" s="8"/>
      <c r="J34" s="8"/>
    </row>
    <row r="35" spans="1:10">
      <c r="A35" s="8"/>
      <c r="B35" s="8"/>
      <c r="C35" s="8"/>
      <c r="D35" s="8"/>
      <c r="E35" s="8"/>
      <c r="F35" s="8"/>
      <c r="G35" s="8"/>
      <c r="H35" s="8"/>
      <c r="I35" s="8"/>
      <c r="J35" s="8"/>
    </row>
    <row r="36" spans="1:10">
      <c r="A36" s="8"/>
      <c r="B36" s="8"/>
      <c r="C36" s="8"/>
      <c r="D36" s="8"/>
      <c r="E36" s="8"/>
      <c r="F36" s="8"/>
      <c r="G36" s="8"/>
      <c r="H36" s="8"/>
      <c r="I36" s="8"/>
      <c r="J36" s="8"/>
    </row>
    <row r="37" spans="1:10">
      <c r="A37" s="8"/>
      <c r="B37" s="8"/>
      <c r="C37" s="8"/>
      <c r="D37" s="8"/>
      <c r="E37" s="8"/>
      <c r="F37" s="8"/>
      <c r="G37" s="8"/>
      <c r="H37" s="8"/>
      <c r="I37" s="8"/>
      <c r="J37" s="8"/>
    </row>
    <row r="38" spans="1:10">
      <c r="A38" s="8"/>
      <c r="B38" s="8"/>
      <c r="C38" s="8"/>
      <c r="D38" s="8"/>
      <c r="E38" s="8"/>
      <c r="F38" s="8"/>
      <c r="G38" s="8"/>
      <c r="H38" s="8"/>
      <c r="I38" s="8"/>
      <c r="J38" s="8"/>
    </row>
    <row r="39" spans="1:10">
      <c r="A39" s="8"/>
      <c r="B39" s="8"/>
      <c r="C39" s="8"/>
      <c r="D39" s="8"/>
      <c r="E39" s="8"/>
      <c r="F39" s="8"/>
      <c r="G39" s="8"/>
      <c r="H39" s="8"/>
      <c r="I39" s="8"/>
      <c r="J39" s="8"/>
    </row>
    <row r="40" spans="1:10">
      <c r="A40" s="8"/>
      <c r="B40" s="8"/>
      <c r="C40" s="8"/>
      <c r="D40" s="8"/>
      <c r="E40" s="8"/>
      <c r="F40" s="8"/>
      <c r="G40" s="8"/>
      <c r="H40" s="8"/>
      <c r="I40" s="8"/>
      <c r="J40" s="8"/>
    </row>
    <row r="41" spans="1:10">
      <c r="A41" s="8"/>
      <c r="B41" s="8"/>
      <c r="C41" s="8"/>
      <c r="D41" s="8"/>
      <c r="E41" s="8"/>
      <c r="F41" s="8"/>
      <c r="G41" s="8"/>
      <c r="H41" s="8"/>
      <c r="I41" s="8"/>
      <c r="J41" s="8"/>
    </row>
    <row r="42" spans="1:10">
      <c r="A42" s="8"/>
      <c r="B42" s="8"/>
      <c r="C42" s="8"/>
      <c r="D42" s="8"/>
      <c r="E42" s="8"/>
      <c r="F42" s="8"/>
      <c r="G42" s="8"/>
      <c r="H42" s="8"/>
      <c r="I42" s="8"/>
      <c r="J42" s="8"/>
    </row>
    <row r="43" spans="1:10">
      <c r="A43" s="8"/>
      <c r="B43" s="8"/>
      <c r="C43" s="8"/>
      <c r="D43" s="8"/>
      <c r="E43" s="8"/>
      <c r="F43" s="8"/>
      <c r="G43" s="8"/>
      <c r="H43" s="8"/>
      <c r="I43" s="8"/>
      <c r="J43" s="8"/>
    </row>
    <row r="44" spans="1:10">
      <c r="A44" s="8"/>
      <c r="B44" s="8"/>
      <c r="C44" s="8"/>
      <c r="D44" s="8"/>
      <c r="E44" s="8"/>
      <c r="F44" s="8"/>
      <c r="G44" s="8"/>
      <c r="H44" s="8"/>
      <c r="I44" s="8"/>
      <c r="J44" s="8"/>
    </row>
    <row r="45" spans="1:10">
      <c r="A45" s="8"/>
      <c r="B45" s="8"/>
      <c r="C45" s="8"/>
      <c r="D45" s="8"/>
      <c r="E45" s="8"/>
      <c r="F45" s="8"/>
      <c r="G45" s="8"/>
      <c r="H45" s="8"/>
      <c r="I45" s="8"/>
      <c r="J45" s="8"/>
    </row>
    <row r="46" spans="1:10">
      <c r="A46" s="8"/>
      <c r="B46" s="8"/>
      <c r="C46" s="8"/>
      <c r="D46" s="8"/>
      <c r="E46" s="8"/>
      <c r="F46" s="8"/>
      <c r="G46" s="8"/>
      <c r="H46" s="8"/>
      <c r="I46" s="8"/>
      <c r="J46" s="8"/>
    </row>
    <row r="47" spans="1:10">
      <c r="A47" s="8"/>
      <c r="B47" s="8"/>
      <c r="C47" s="8"/>
      <c r="D47" s="8"/>
      <c r="E47" s="8"/>
      <c r="F47" s="8"/>
      <c r="G47" s="8"/>
      <c r="H47" s="8"/>
      <c r="I47" s="8"/>
      <c r="J47" s="8"/>
    </row>
    <row r="48" spans="1:10">
      <c r="A48" s="8"/>
      <c r="B48" s="8"/>
      <c r="C48" s="8"/>
      <c r="D48" s="8"/>
      <c r="E48" s="8"/>
      <c r="F48" s="8"/>
      <c r="G48" s="8"/>
      <c r="H48" s="8"/>
      <c r="I48" s="8"/>
      <c r="J48" s="8"/>
    </row>
    <row r="49" spans="1:10">
      <c r="A49" s="8"/>
      <c r="B49" s="8"/>
      <c r="C49" s="8"/>
      <c r="D49" s="8"/>
      <c r="E49" s="8"/>
      <c r="F49" s="8"/>
      <c r="G49" s="8"/>
      <c r="H49" s="8"/>
      <c r="I49" s="8"/>
      <c r="J49" s="8"/>
    </row>
    <row r="50" spans="1:10">
      <c r="A50" s="8"/>
      <c r="B50" s="8"/>
      <c r="C50" s="8"/>
      <c r="D50" s="8"/>
      <c r="E50" s="8"/>
      <c r="F50" s="8"/>
      <c r="G50" s="8"/>
      <c r="H50" s="8"/>
      <c r="I50" s="8"/>
      <c r="J50" s="8"/>
    </row>
    <row r="51" spans="1:10">
      <c r="A51" s="8"/>
      <c r="B51" s="8"/>
      <c r="C51" s="8"/>
      <c r="D51" s="8"/>
      <c r="E51" s="8"/>
      <c r="F51" s="8"/>
      <c r="G51" s="8"/>
      <c r="H51" s="8"/>
      <c r="I51" s="8"/>
      <c r="J51" s="8"/>
    </row>
    <row r="52" spans="1:10">
      <c r="A52" s="8"/>
      <c r="B52" s="8"/>
      <c r="C52" s="8"/>
      <c r="D52" s="8"/>
      <c r="E52" s="8"/>
      <c r="F52" s="8"/>
      <c r="G52" s="8"/>
      <c r="H52" s="8"/>
      <c r="I52" s="8"/>
      <c r="J52" s="8"/>
    </row>
    <row r="53" spans="1:10">
      <c r="A53" s="8"/>
      <c r="B53" s="8"/>
      <c r="C53" s="8"/>
      <c r="D53" s="8"/>
      <c r="E53" s="8"/>
      <c r="F53" s="8"/>
      <c r="G53" s="8"/>
      <c r="H53" s="8"/>
      <c r="I53" s="8"/>
      <c r="J53" s="8"/>
    </row>
    <row r="54" spans="1:10">
      <c r="A54" s="8"/>
      <c r="B54" s="8"/>
      <c r="C54" s="8"/>
      <c r="D54" s="8"/>
      <c r="E54" s="8"/>
      <c r="F54" s="8"/>
      <c r="G54" s="8"/>
      <c r="H54" s="8"/>
      <c r="I54" s="8"/>
      <c r="J54" s="8"/>
    </row>
    <row r="55" spans="1:10">
      <c r="A55" s="8"/>
      <c r="B55" s="8"/>
      <c r="C55" s="8"/>
      <c r="D55" s="8"/>
      <c r="E55" s="8"/>
      <c r="F55" s="8"/>
      <c r="G55" s="8"/>
      <c r="H55" s="8"/>
      <c r="I55" s="8"/>
      <c r="J55" s="8"/>
    </row>
    <row r="56" spans="1:10">
      <c r="A56" s="8"/>
      <c r="B56" s="8"/>
      <c r="C56" s="8"/>
      <c r="D56" s="8"/>
      <c r="E56" s="8"/>
      <c r="F56" s="8"/>
      <c r="G56" s="8"/>
      <c r="H56" s="8"/>
      <c r="I56" s="8"/>
      <c r="J56" s="8"/>
    </row>
    <row r="57" spans="1:10">
      <c r="A57" s="8"/>
      <c r="B57" s="8"/>
      <c r="C57" s="8"/>
      <c r="D57" s="8"/>
      <c r="E57" s="8"/>
      <c r="F57" s="8"/>
      <c r="G57" s="8"/>
      <c r="H57" s="8"/>
      <c r="I57" s="8"/>
      <c r="J57" s="8"/>
    </row>
    <row r="58" spans="1:10">
      <c r="A58" s="8"/>
      <c r="B58" s="8"/>
      <c r="C58" s="8"/>
      <c r="D58" s="8"/>
      <c r="E58" s="8"/>
      <c r="F58" s="8"/>
      <c r="G58" s="8"/>
      <c r="H58" s="8"/>
      <c r="I58" s="8"/>
      <c r="J58" s="8"/>
    </row>
    <row r="59" spans="1:10">
      <c r="A59" s="8"/>
      <c r="B59" s="8"/>
      <c r="C59" s="8"/>
      <c r="D59" s="8"/>
      <c r="E59" s="8"/>
      <c r="F59" s="8"/>
      <c r="G59" s="8"/>
      <c r="H59" s="8"/>
      <c r="I59" s="8"/>
      <c r="J59" s="8"/>
    </row>
    <row r="60" spans="1:10">
      <c r="A60" s="8"/>
      <c r="B60" s="8"/>
      <c r="C60" s="8"/>
      <c r="D60" s="8"/>
      <c r="E60" s="8"/>
      <c r="F60" s="8"/>
      <c r="G60" s="8"/>
      <c r="H60" s="8"/>
      <c r="I60" s="8"/>
      <c r="J60" s="8"/>
    </row>
    <row r="61" spans="1:10">
      <c r="A61" s="8"/>
      <c r="B61" s="8"/>
      <c r="C61" s="8"/>
      <c r="D61" s="8"/>
      <c r="E61" s="8"/>
      <c r="F61" s="8"/>
      <c r="G61" s="8"/>
      <c r="H61" s="8"/>
      <c r="I61" s="8"/>
      <c r="J61" s="8"/>
    </row>
    <row r="62" spans="1:10">
      <c r="A62" s="8"/>
      <c r="B62" s="8"/>
      <c r="C62" s="8"/>
      <c r="D62" s="8"/>
      <c r="E62" s="8"/>
      <c r="F62" s="8"/>
      <c r="G62" s="8"/>
      <c r="H62" s="8"/>
      <c r="I62" s="8"/>
      <c r="J62" s="8"/>
    </row>
    <row r="63" spans="1:10">
      <c r="A63" s="8"/>
      <c r="B63" s="8"/>
      <c r="C63" s="8"/>
      <c r="D63" s="8"/>
      <c r="E63" s="8"/>
      <c r="F63" s="8"/>
      <c r="G63" s="8"/>
      <c r="H63" s="8"/>
      <c r="I63" s="8"/>
      <c r="J63" s="8"/>
    </row>
    <row r="64" spans="1:10">
      <c r="A64" s="8"/>
      <c r="B64" s="8"/>
      <c r="C64" s="8"/>
      <c r="D64" s="8"/>
      <c r="E64" s="8"/>
      <c r="F64" s="8"/>
      <c r="G64" s="8"/>
      <c r="H64" s="8"/>
      <c r="I64" s="8"/>
      <c r="J64" s="8"/>
    </row>
    <row r="65" spans="1:10">
      <c r="A65" s="8"/>
      <c r="B65" s="8"/>
      <c r="C65" s="8"/>
      <c r="D65" s="8"/>
      <c r="E65" s="8"/>
      <c r="F65" s="8"/>
      <c r="G65" s="8"/>
      <c r="H65" s="8"/>
      <c r="I65" s="8"/>
      <c r="J65" s="8"/>
    </row>
    <row r="66" spans="1:10">
      <c r="A66" s="8"/>
      <c r="B66" s="8"/>
      <c r="C66" s="8"/>
      <c r="D66" s="8"/>
      <c r="E66" s="8"/>
      <c r="F66" s="8"/>
      <c r="G66" s="8"/>
      <c r="H66" s="8"/>
      <c r="I66" s="8"/>
      <c r="J66" s="8"/>
    </row>
    <row r="67" spans="1:10">
      <c r="A67" s="8"/>
      <c r="B67" s="8"/>
      <c r="C67" s="8"/>
      <c r="D67" s="8"/>
      <c r="E67" s="8"/>
      <c r="F67" s="8"/>
      <c r="G67" s="8"/>
      <c r="H67" s="8"/>
      <c r="I67" s="8"/>
      <c r="J67" s="8"/>
    </row>
    <row r="68" spans="1:10">
      <c r="A68" s="8"/>
      <c r="B68" s="8"/>
      <c r="C68" s="8"/>
      <c r="D68" s="8"/>
      <c r="E68" s="8"/>
      <c r="F68" s="8"/>
      <c r="G68" s="8"/>
      <c r="H68" s="8"/>
      <c r="I68" s="8"/>
      <c r="J68" s="8"/>
    </row>
    <row r="69" spans="1:10">
      <c r="A69" s="8"/>
      <c r="B69" s="8"/>
      <c r="C69" s="8"/>
      <c r="D69" s="8"/>
      <c r="E69" s="8"/>
      <c r="F69" s="8"/>
      <c r="G69" s="8"/>
      <c r="H69" s="8"/>
      <c r="I69" s="8"/>
      <c r="J69" s="8"/>
    </row>
    <row r="70" spans="1:10">
      <c r="A70" s="8"/>
      <c r="B70" s="8"/>
      <c r="C70" s="8"/>
      <c r="D70" s="8"/>
      <c r="E70" s="8"/>
      <c r="F70" s="8"/>
      <c r="G70" s="8"/>
      <c r="H70" s="8"/>
      <c r="I70" s="8"/>
      <c r="J70" s="8"/>
    </row>
    <row r="71" spans="1:10">
      <c r="A71" s="8"/>
      <c r="B71" s="8"/>
      <c r="C71" s="8"/>
      <c r="D71" s="8"/>
      <c r="E71" s="8"/>
      <c r="F71" s="8"/>
      <c r="G71" s="8"/>
      <c r="H71" s="8"/>
      <c r="I71" s="8"/>
      <c r="J71" s="8"/>
    </row>
    <row r="72" spans="1:10">
      <c r="A72" s="8"/>
      <c r="B72" s="8"/>
      <c r="C72" s="8"/>
      <c r="D72" s="8"/>
      <c r="E72" s="8"/>
      <c r="F72" s="8"/>
      <c r="G72" s="8"/>
      <c r="H72" s="8"/>
      <c r="I72" s="8"/>
      <c r="J72" s="8"/>
    </row>
    <row r="73" spans="1:10">
      <c r="A73" s="8"/>
      <c r="B73" s="8"/>
      <c r="C73" s="8"/>
      <c r="D73" s="8"/>
      <c r="E73" s="8"/>
      <c r="F73" s="8"/>
      <c r="G73" s="8"/>
      <c r="H73" s="8"/>
      <c r="I73" s="8"/>
      <c r="J73" s="8"/>
    </row>
    <row r="74" spans="1:10">
      <c r="A74" s="8"/>
      <c r="B74" s="8"/>
      <c r="C74" s="8"/>
      <c r="D74" s="8"/>
      <c r="E74" s="8"/>
      <c r="F74" s="8"/>
      <c r="G74" s="8"/>
      <c r="H74" s="8"/>
      <c r="I74" s="8"/>
      <c r="J74" s="8"/>
    </row>
    <row r="75" spans="1:10">
      <c r="A75" s="8"/>
      <c r="B75" s="8"/>
      <c r="C75" s="8"/>
      <c r="D75" s="8"/>
      <c r="E75" s="8"/>
      <c r="F75" s="8"/>
      <c r="G75" s="8"/>
      <c r="H75" s="8"/>
      <c r="I75" s="8"/>
      <c r="J75" s="8"/>
    </row>
    <row r="76" spans="1:10">
      <c r="A76" s="8"/>
      <c r="B76" s="8"/>
      <c r="C76" s="8"/>
      <c r="D76" s="8"/>
      <c r="E76" s="8"/>
      <c r="F76" s="8"/>
      <c r="G76" s="8"/>
      <c r="H76" s="8"/>
      <c r="I76" s="8"/>
      <c r="J76" s="8"/>
    </row>
    <row r="77" spans="1:10">
      <c r="A77" s="8"/>
      <c r="B77" s="8"/>
      <c r="C77" s="8"/>
      <c r="D77" s="8"/>
      <c r="E77" s="8"/>
      <c r="F77" s="8"/>
      <c r="G77" s="8"/>
      <c r="H77" s="8"/>
      <c r="I77" s="8"/>
      <c r="J77" s="8"/>
    </row>
    <row r="78" spans="1:10">
      <c r="A78" s="8"/>
      <c r="B78" s="8"/>
      <c r="C78" s="8"/>
      <c r="D78" s="8"/>
      <c r="E78" s="8"/>
      <c r="F78" s="8"/>
      <c r="G78" s="8"/>
      <c r="H78" s="8"/>
      <c r="I78" s="8"/>
      <c r="J78" s="8"/>
    </row>
    <row r="79" spans="1:10">
      <c r="A79" s="8"/>
      <c r="B79" s="8"/>
      <c r="C79" s="8"/>
      <c r="D79" s="8"/>
      <c r="E79" s="8"/>
      <c r="F79" s="8"/>
      <c r="G79" s="8"/>
      <c r="H79" s="8"/>
      <c r="I79" s="8"/>
      <c r="J79" s="8"/>
    </row>
    <row r="80" spans="1:10">
      <c r="A80" s="8"/>
      <c r="B80" s="8"/>
      <c r="C80" s="8"/>
      <c r="D80" s="8"/>
      <c r="E80" s="8"/>
      <c r="F80" s="8"/>
      <c r="G80" s="8"/>
      <c r="H80" s="8"/>
      <c r="I80" s="8"/>
      <c r="J80" s="8"/>
    </row>
    <row r="81" spans="1:10">
      <c r="A81" s="8"/>
      <c r="B81" s="8"/>
      <c r="C81" s="8"/>
      <c r="D81" s="8"/>
      <c r="E81" s="8"/>
      <c r="F81" s="8"/>
      <c r="G81" s="8"/>
      <c r="H81" s="8"/>
      <c r="I81" s="8"/>
      <c r="J81" s="8"/>
    </row>
    <row r="82" spans="1:10">
      <c r="A82" s="8"/>
      <c r="B82" s="8"/>
      <c r="C82" s="8"/>
      <c r="D82" s="8"/>
      <c r="E82" s="8"/>
      <c r="F82" s="8"/>
      <c r="G82" s="8"/>
      <c r="H82" s="8"/>
      <c r="I82" s="8"/>
      <c r="J82" s="8"/>
    </row>
    <row r="83" spans="1:10">
      <c r="A83" s="8"/>
      <c r="B83" s="8"/>
      <c r="C83" s="8"/>
      <c r="D83" s="8"/>
      <c r="E83" s="8"/>
      <c r="F83" s="8"/>
      <c r="G83" s="8"/>
      <c r="H83" s="8"/>
      <c r="I83" s="8"/>
      <c r="J83" s="8"/>
    </row>
    <row r="84" spans="1:10">
      <c r="A84" s="8"/>
      <c r="B84" s="8"/>
      <c r="C84" s="8"/>
      <c r="D84" s="8"/>
      <c r="E84" s="8"/>
      <c r="F84" s="8"/>
      <c r="G84" s="8"/>
      <c r="H84" s="8"/>
      <c r="I84" s="8"/>
      <c r="J84" s="8"/>
    </row>
    <row r="85" spans="1:10">
      <c r="A85" s="8"/>
      <c r="B85" s="8"/>
      <c r="C85" s="8"/>
      <c r="D85" s="8"/>
      <c r="E85" s="8"/>
      <c r="F85" s="8"/>
      <c r="G85" s="8"/>
      <c r="H85" s="8"/>
      <c r="I85" s="8"/>
      <c r="J85" s="8"/>
    </row>
    <row r="86" spans="1:10">
      <c r="A86" s="8"/>
      <c r="B86" s="8"/>
      <c r="C86" s="8"/>
      <c r="D86" s="8"/>
      <c r="E86" s="8"/>
      <c r="F86" s="8"/>
      <c r="G86" s="8"/>
      <c r="H86" s="8"/>
      <c r="I86" s="8"/>
      <c r="J86" s="8"/>
    </row>
    <row r="87" spans="1:10">
      <c r="A87" s="8"/>
      <c r="B87" s="8"/>
      <c r="C87" s="8"/>
      <c r="D87" s="8"/>
      <c r="E87" s="8"/>
      <c r="F87" s="8"/>
      <c r="G87" s="8"/>
      <c r="H87" s="8"/>
      <c r="I87" s="8"/>
      <c r="J87" s="8"/>
    </row>
    <row r="88" spans="1:10">
      <c r="A88" s="8"/>
      <c r="B88" s="8"/>
      <c r="C88" s="8"/>
      <c r="D88" s="8"/>
      <c r="E88" s="8"/>
      <c r="F88" s="8"/>
      <c r="G88" s="8"/>
      <c r="H88" s="8"/>
      <c r="I88" s="8"/>
      <c r="J88" s="8"/>
    </row>
    <row r="89" spans="1:10">
      <c r="A89" s="8"/>
      <c r="B89" s="8"/>
      <c r="C89" s="8"/>
      <c r="D89" s="8"/>
      <c r="E89" s="8"/>
      <c r="F89" s="8"/>
      <c r="G89" s="8"/>
      <c r="H89" s="8"/>
      <c r="I89" s="8"/>
      <c r="J89" s="8"/>
    </row>
    <row r="90" spans="1:10">
      <c r="A90" s="8"/>
      <c r="B90" s="8"/>
      <c r="C90" s="8"/>
      <c r="D90" s="8"/>
      <c r="E90" s="8"/>
      <c r="F90" s="8"/>
      <c r="G90" s="8"/>
      <c r="H90" s="8"/>
      <c r="I90" s="8"/>
      <c r="J90" s="8"/>
    </row>
    <row r="91" spans="1:10">
      <c r="A91" s="8"/>
      <c r="B91" s="8"/>
      <c r="C91" s="8"/>
      <c r="D91" s="8"/>
      <c r="E91" s="8"/>
      <c r="F91" s="8"/>
      <c r="G91" s="8"/>
      <c r="H91" s="8"/>
      <c r="I91" s="8"/>
      <c r="J91" s="8"/>
    </row>
    <row r="92" spans="1:10">
      <c r="A92" s="8"/>
      <c r="B92" s="8"/>
      <c r="C92" s="8"/>
      <c r="D92" s="8"/>
      <c r="E92" s="8"/>
      <c r="F92" s="8"/>
      <c r="G92" s="8"/>
      <c r="H92" s="8"/>
      <c r="I92" s="8"/>
      <c r="J92" s="8"/>
    </row>
    <row r="93" spans="1:10">
      <c r="A93" s="8"/>
      <c r="B93" s="8"/>
      <c r="C93" s="8"/>
      <c r="D93" s="8"/>
      <c r="E93" s="8"/>
      <c r="F93" s="8"/>
      <c r="G93" s="8"/>
      <c r="H93" s="8"/>
      <c r="I93" s="8"/>
      <c r="J93" s="8"/>
    </row>
    <row r="94" spans="1:10">
      <c r="A94" s="8"/>
      <c r="B94" s="8"/>
      <c r="C94" s="8"/>
      <c r="D94" s="8"/>
      <c r="E94" s="8"/>
      <c r="F94" s="8"/>
      <c r="G94" s="8"/>
      <c r="H94" s="8"/>
      <c r="I94" s="8"/>
      <c r="J94" s="8"/>
    </row>
    <row r="95" spans="1:10">
      <c r="A95" s="8"/>
      <c r="B95" s="8"/>
      <c r="C95" s="8"/>
      <c r="D95" s="8"/>
      <c r="E95" s="8"/>
      <c r="F95" s="8"/>
      <c r="G95" s="8"/>
      <c r="H95" s="8"/>
      <c r="I95" s="8"/>
      <c r="J95" s="8"/>
    </row>
    <row r="96" spans="1:10">
      <c r="A96" s="8"/>
      <c r="B96" s="8"/>
      <c r="C96" s="8"/>
      <c r="D96" s="8"/>
      <c r="E96" s="8"/>
      <c r="F96" s="8"/>
      <c r="G96" s="8"/>
      <c r="H96" s="8"/>
      <c r="I96" s="8"/>
      <c r="J96" s="8"/>
    </row>
    <row r="97" spans="1:10">
      <c r="A97" s="8"/>
      <c r="B97" s="8"/>
      <c r="C97" s="8"/>
      <c r="D97" s="8"/>
      <c r="E97" s="8"/>
      <c r="F97" s="8"/>
      <c r="G97" s="8"/>
      <c r="H97" s="8"/>
      <c r="I97" s="8"/>
      <c r="J97" s="8"/>
    </row>
    <row r="98" spans="1:10">
      <c r="A98" s="8"/>
      <c r="B98" s="8"/>
      <c r="C98" s="8"/>
      <c r="D98" s="8"/>
      <c r="E98" s="8"/>
      <c r="F98" s="8"/>
      <c r="G98" s="8"/>
      <c r="H98" s="8"/>
      <c r="I98" s="8"/>
      <c r="J98" s="8"/>
    </row>
    <row r="99" spans="1:10">
      <c r="A99" s="8"/>
      <c r="B99" s="8"/>
      <c r="C99" s="8"/>
      <c r="D99" s="8"/>
      <c r="E99" s="8"/>
      <c r="F99" s="8"/>
      <c r="G99" s="8"/>
      <c r="H99" s="8"/>
      <c r="I99" s="8"/>
      <c r="J99" s="8"/>
    </row>
    <row r="100" spans="1:10">
      <c r="A100" s="8"/>
      <c r="B100" s="8"/>
      <c r="C100" s="8"/>
      <c r="D100" s="8"/>
      <c r="E100" s="8"/>
      <c r="F100" s="8"/>
      <c r="G100" s="8"/>
      <c r="H100" s="8"/>
      <c r="I100" s="8"/>
      <c r="J100" s="8"/>
    </row>
  </sheetData>
  <mergeCells count="5">
    <mergeCell ref="B2:H2"/>
    <mergeCell ref="F12:H12"/>
    <mergeCell ref="F4:K4"/>
    <mergeCell ref="B4:C4"/>
    <mergeCell ref="B12:C12"/>
  </mergeCells>
  <pageMargins left="0.75" right="0.75" top="1" bottom="1" header="0.5" footer="0.5"/>
  <pageSetup paperSize="0" orientation="portrait" horizontalDpi="0" verticalDpi="0" copie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27"/>
  <dimension ref="A1:G84"/>
  <sheetViews>
    <sheetView workbookViewId="0"/>
  </sheetViews>
  <sheetFormatPr baseColWidth="10" defaultColWidth="9.140625" defaultRowHeight="15"/>
  <cols>
    <col min="1" max="1" width="13.7109375" bestFit="1" customWidth="1"/>
    <col min="2" max="2" width="50.7109375" customWidth="1"/>
    <col min="3" max="3" width="35.7109375" bestFit="1" customWidth="1"/>
    <col min="4" max="4" width="50.7109375" customWidth="1"/>
    <col min="5" max="5" width="39.28515625" bestFit="1" customWidth="1"/>
    <col min="6" max="6" width="12.5703125" bestFit="1" customWidth="1"/>
    <col min="7" max="7" width="17.85546875" bestFit="1" customWidth="1"/>
  </cols>
  <sheetData>
    <row r="1" spans="1:7">
      <c r="A1" s="7" t="s">
        <v>1392</v>
      </c>
      <c r="B1" s="7" t="s">
        <v>1393</v>
      </c>
      <c r="C1" s="7" t="s">
        <v>1394</v>
      </c>
      <c r="D1" s="7" t="s">
        <v>135</v>
      </c>
      <c r="E1" s="7" t="s">
        <v>1395</v>
      </c>
      <c r="F1" s="7" t="s">
        <v>1396</v>
      </c>
      <c r="G1" s="7" t="s">
        <v>1397</v>
      </c>
    </row>
    <row r="2" spans="1:7">
      <c r="A2" s="8" t="s">
        <v>1398</v>
      </c>
      <c r="B2" s="8" t="s">
        <v>1399</v>
      </c>
      <c r="C2" s="8" t="s">
        <v>1400</v>
      </c>
      <c r="D2" s="8" t="s">
        <v>1401</v>
      </c>
      <c r="E2" s="8" t="s">
        <v>1402</v>
      </c>
      <c r="F2" s="8" t="s">
        <v>174</v>
      </c>
      <c r="G2" s="8" t="s">
        <v>1403</v>
      </c>
    </row>
    <row r="3" spans="1:7">
      <c r="A3" s="8" t="s">
        <v>1404</v>
      </c>
      <c r="B3" s="8" t="s">
        <v>1405</v>
      </c>
      <c r="C3" s="8" t="s">
        <v>1406</v>
      </c>
      <c r="D3" s="8" t="s">
        <v>1407</v>
      </c>
      <c r="E3" s="8" t="s">
        <v>1408</v>
      </c>
      <c r="F3" s="8" t="s">
        <v>174</v>
      </c>
      <c r="G3" s="8" t="s">
        <v>1403</v>
      </c>
    </row>
    <row r="4" spans="1:7">
      <c r="A4" s="8" t="s">
        <v>1409</v>
      </c>
      <c r="B4" s="8" t="s">
        <v>1410</v>
      </c>
      <c r="C4" s="8" t="s">
        <v>1411</v>
      </c>
      <c r="D4" s="8" t="s">
        <v>1412</v>
      </c>
      <c r="E4" s="8" t="s">
        <v>1413</v>
      </c>
      <c r="F4" s="8" t="s">
        <v>174</v>
      </c>
      <c r="G4" s="8" t="s">
        <v>1403</v>
      </c>
    </row>
    <row r="5" spans="1:7">
      <c r="A5" s="8" t="s">
        <v>1414</v>
      </c>
      <c r="B5" s="8" t="s">
        <v>1415</v>
      </c>
      <c r="C5" s="8" t="s">
        <v>1416</v>
      </c>
      <c r="D5" s="8" t="s">
        <v>1417</v>
      </c>
      <c r="E5" s="8" t="s">
        <v>1418</v>
      </c>
      <c r="F5" s="8" t="s">
        <v>174</v>
      </c>
      <c r="G5" s="8" t="s">
        <v>1403</v>
      </c>
    </row>
    <row r="6" spans="1:7">
      <c r="A6" s="8" t="s">
        <v>1419</v>
      </c>
      <c r="B6" s="8" t="s">
        <v>1420</v>
      </c>
      <c r="C6" s="8" t="s">
        <v>1421</v>
      </c>
      <c r="D6" s="8" t="s">
        <v>1422</v>
      </c>
      <c r="E6" s="8" t="s">
        <v>1423</v>
      </c>
      <c r="F6" s="8" t="s">
        <v>174</v>
      </c>
      <c r="G6" s="8" t="s">
        <v>1424</v>
      </c>
    </row>
    <row r="7" spans="1:7">
      <c r="A7" s="8" t="s">
        <v>1425</v>
      </c>
      <c r="B7" s="8" t="s">
        <v>1426</v>
      </c>
      <c r="C7" s="8" t="s">
        <v>1427</v>
      </c>
      <c r="D7" s="8" t="s">
        <v>1428</v>
      </c>
      <c r="E7" s="8" t="s">
        <v>1429</v>
      </c>
      <c r="F7" s="8" t="s">
        <v>174</v>
      </c>
      <c r="G7" s="8" t="s">
        <v>1403</v>
      </c>
    </row>
    <row r="8" spans="1:7">
      <c r="A8" s="8" t="s">
        <v>1430</v>
      </c>
      <c r="B8" s="8" t="s">
        <v>1431</v>
      </c>
      <c r="C8" s="8" t="s">
        <v>1432</v>
      </c>
      <c r="D8" s="8" t="s">
        <v>1433</v>
      </c>
      <c r="E8" s="8" t="s">
        <v>1434</v>
      </c>
      <c r="F8" s="8" t="s">
        <v>174</v>
      </c>
      <c r="G8" s="8" t="s">
        <v>1403</v>
      </c>
    </row>
    <row r="9" spans="1:7">
      <c r="A9" s="8" t="s">
        <v>1435</v>
      </c>
      <c r="B9" s="8" t="s">
        <v>1436</v>
      </c>
      <c r="C9" s="8" t="s">
        <v>1437</v>
      </c>
      <c r="D9" s="8" t="s">
        <v>1438</v>
      </c>
      <c r="E9" s="8" t="s">
        <v>1439</v>
      </c>
      <c r="F9" s="8" t="s">
        <v>174</v>
      </c>
      <c r="G9" s="8" t="s">
        <v>1403</v>
      </c>
    </row>
    <row r="10" spans="1:7">
      <c r="A10" s="8" t="s">
        <v>1440</v>
      </c>
      <c r="B10" s="8" t="s">
        <v>1441</v>
      </c>
      <c r="C10" s="8" t="s">
        <v>1442</v>
      </c>
      <c r="D10" s="8" t="s">
        <v>1443</v>
      </c>
      <c r="E10" s="8" t="s">
        <v>1444</v>
      </c>
      <c r="F10" s="8" t="s">
        <v>174</v>
      </c>
      <c r="G10" s="8" t="s">
        <v>1403</v>
      </c>
    </row>
    <row r="11" spans="1:7">
      <c r="A11" s="8" t="s">
        <v>1445</v>
      </c>
      <c r="B11" s="8" t="s">
        <v>1446</v>
      </c>
      <c r="C11" s="8" t="s">
        <v>1447</v>
      </c>
      <c r="D11" s="8" t="s">
        <v>1448</v>
      </c>
      <c r="E11" s="8" t="s">
        <v>1449</v>
      </c>
      <c r="F11" s="8" t="s">
        <v>174</v>
      </c>
      <c r="G11" s="8" t="s">
        <v>1450</v>
      </c>
    </row>
    <row r="12" spans="1:7">
      <c r="A12" s="8" t="s">
        <v>1451</v>
      </c>
      <c r="B12" s="8" t="s">
        <v>1452</v>
      </c>
      <c r="C12" s="8" t="s">
        <v>1453</v>
      </c>
      <c r="D12" s="8" t="s">
        <v>1454</v>
      </c>
      <c r="E12" s="8" t="s">
        <v>1455</v>
      </c>
      <c r="F12" s="8" t="s">
        <v>174</v>
      </c>
      <c r="G12" s="8" t="s">
        <v>1403</v>
      </c>
    </row>
    <row r="13" spans="1:7">
      <c r="A13" s="8" t="s">
        <v>1456</v>
      </c>
      <c r="B13" s="8" t="s">
        <v>1457</v>
      </c>
      <c r="C13" s="8" t="s">
        <v>1458</v>
      </c>
      <c r="D13" s="8" t="s">
        <v>1459</v>
      </c>
      <c r="E13" s="8" t="s">
        <v>1460</v>
      </c>
      <c r="F13" s="8" t="s">
        <v>174</v>
      </c>
      <c r="G13" s="8" t="s">
        <v>1403</v>
      </c>
    </row>
    <row r="14" spans="1:7">
      <c r="A14" s="8" t="s">
        <v>1461</v>
      </c>
      <c r="B14" s="8" t="s">
        <v>1462</v>
      </c>
      <c r="C14" s="8" t="s">
        <v>1463</v>
      </c>
      <c r="D14" s="8" t="s">
        <v>1464</v>
      </c>
      <c r="E14" s="8" t="s">
        <v>1465</v>
      </c>
      <c r="F14" s="8" t="s">
        <v>174</v>
      </c>
      <c r="G14" s="8" t="s">
        <v>1403</v>
      </c>
    </row>
    <row r="15" spans="1:7">
      <c r="A15" s="8" t="s">
        <v>1466</v>
      </c>
      <c r="B15" s="8" t="s">
        <v>1467</v>
      </c>
      <c r="C15" s="8" t="s">
        <v>1468</v>
      </c>
      <c r="D15" s="8" t="s">
        <v>1469</v>
      </c>
      <c r="E15" s="8" t="s">
        <v>1470</v>
      </c>
      <c r="F15" s="8" t="s">
        <v>174</v>
      </c>
      <c r="G15" s="8" t="s">
        <v>1403</v>
      </c>
    </row>
    <row r="16" spans="1:7">
      <c r="A16" s="8" t="s">
        <v>1471</v>
      </c>
      <c r="B16" s="8" t="s">
        <v>1472</v>
      </c>
      <c r="C16" s="8" t="s">
        <v>1473</v>
      </c>
      <c r="D16" s="8" t="s">
        <v>1474</v>
      </c>
      <c r="E16" s="8" t="s">
        <v>1475</v>
      </c>
      <c r="F16" s="8" t="s">
        <v>174</v>
      </c>
      <c r="G16" s="8" t="s">
        <v>1403</v>
      </c>
    </row>
    <row r="17" spans="1:7">
      <c r="A17" s="8" t="s">
        <v>1476</v>
      </c>
      <c r="B17" s="8" t="s">
        <v>1477</v>
      </c>
      <c r="C17" s="8" t="s">
        <v>1478</v>
      </c>
      <c r="D17" s="8" t="s">
        <v>1479</v>
      </c>
      <c r="E17" s="8" t="s">
        <v>1480</v>
      </c>
      <c r="F17" s="8" t="s">
        <v>174</v>
      </c>
      <c r="G17" s="8" t="s">
        <v>1403</v>
      </c>
    </row>
    <row r="18" spans="1:7">
      <c r="A18" s="8" t="s">
        <v>1481</v>
      </c>
      <c r="B18" s="8" t="s">
        <v>1482</v>
      </c>
      <c r="C18" s="8" t="s">
        <v>1483</v>
      </c>
      <c r="D18" s="8" t="s">
        <v>1484</v>
      </c>
      <c r="E18" s="8" t="s">
        <v>1485</v>
      </c>
      <c r="F18" s="8" t="s">
        <v>174</v>
      </c>
      <c r="G18" s="8" t="s">
        <v>1403</v>
      </c>
    </row>
    <row r="19" spans="1:7">
      <c r="A19" s="8" t="s">
        <v>1486</v>
      </c>
      <c r="B19" s="8" t="s">
        <v>1487</v>
      </c>
      <c r="C19" s="8" t="s">
        <v>1488</v>
      </c>
      <c r="D19" s="8" t="s">
        <v>1489</v>
      </c>
      <c r="E19" s="8" t="s">
        <v>1490</v>
      </c>
      <c r="F19" s="8" t="s">
        <v>174</v>
      </c>
      <c r="G19" s="8" t="s">
        <v>1450</v>
      </c>
    </row>
    <row r="20" spans="1:7">
      <c r="A20" s="8" t="s">
        <v>1491</v>
      </c>
      <c r="B20" s="8" t="s">
        <v>1492</v>
      </c>
      <c r="C20" s="8" t="s">
        <v>1493</v>
      </c>
      <c r="D20" s="8" t="s">
        <v>1494</v>
      </c>
      <c r="E20" s="8" t="s">
        <v>1495</v>
      </c>
      <c r="F20" s="8" t="s">
        <v>174</v>
      </c>
      <c r="G20" s="8" t="s">
        <v>1403</v>
      </c>
    </row>
    <row r="21" spans="1:7">
      <c r="A21" s="8" t="s">
        <v>1496</v>
      </c>
      <c r="B21" s="8" t="s">
        <v>1497</v>
      </c>
      <c r="C21" s="8" t="s">
        <v>1498</v>
      </c>
      <c r="D21" s="8" t="s">
        <v>1499</v>
      </c>
      <c r="E21" s="8" t="s">
        <v>1500</v>
      </c>
      <c r="F21" s="8" t="s">
        <v>174</v>
      </c>
      <c r="G21" s="8" t="s">
        <v>1403</v>
      </c>
    </row>
    <row r="22" spans="1:7">
      <c r="A22" s="8" t="s">
        <v>1501</v>
      </c>
      <c r="B22" s="8" t="s">
        <v>1502</v>
      </c>
      <c r="C22" s="8" t="s">
        <v>1503</v>
      </c>
      <c r="D22" s="8" t="s">
        <v>1504</v>
      </c>
      <c r="E22" s="8" t="s">
        <v>1505</v>
      </c>
      <c r="F22" s="8" t="s">
        <v>174</v>
      </c>
      <c r="G22" s="8" t="s">
        <v>1403</v>
      </c>
    </row>
    <row r="23" spans="1:7">
      <c r="A23" s="8" t="s">
        <v>1506</v>
      </c>
      <c r="B23" s="8" t="s">
        <v>1507</v>
      </c>
      <c r="C23" s="8" t="s">
        <v>1508</v>
      </c>
      <c r="D23" s="8" t="s">
        <v>1509</v>
      </c>
      <c r="E23" s="8" t="s">
        <v>1510</v>
      </c>
      <c r="F23" s="8" t="s">
        <v>174</v>
      </c>
      <c r="G23" s="8" t="s">
        <v>1403</v>
      </c>
    </row>
    <row r="24" spans="1:7">
      <c r="A24" s="8" t="s">
        <v>1511</v>
      </c>
      <c r="B24" s="8" t="s">
        <v>1512</v>
      </c>
      <c r="C24" s="8" t="s">
        <v>1513</v>
      </c>
      <c r="D24" s="8" t="s">
        <v>1514</v>
      </c>
      <c r="E24" s="8" t="s">
        <v>1515</v>
      </c>
      <c r="F24" s="8" t="s">
        <v>174</v>
      </c>
      <c r="G24" s="8" t="s">
        <v>1403</v>
      </c>
    </row>
    <row r="25" spans="1:7">
      <c r="A25" s="8" t="s">
        <v>1516</v>
      </c>
      <c r="B25" s="8" t="s">
        <v>1517</v>
      </c>
      <c r="C25" s="8" t="s">
        <v>1518</v>
      </c>
      <c r="D25" s="8" t="s">
        <v>1519</v>
      </c>
      <c r="E25" s="8" t="s">
        <v>1520</v>
      </c>
      <c r="F25" s="8" t="s">
        <v>174</v>
      </c>
      <c r="G25" s="8" t="s">
        <v>1403</v>
      </c>
    </row>
    <row r="26" spans="1:7">
      <c r="A26" s="8" t="s">
        <v>1521</v>
      </c>
      <c r="B26" s="8" t="s">
        <v>1522</v>
      </c>
      <c r="C26" s="8" t="s">
        <v>1523</v>
      </c>
      <c r="D26" s="8" t="s">
        <v>1524</v>
      </c>
      <c r="E26" s="8" t="s">
        <v>1525</v>
      </c>
      <c r="F26" s="8" t="s">
        <v>174</v>
      </c>
      <c r="G26" s="8" t="s">
        <v>1403</v>
      </c>
    </row>
    <row r="27" spans="1:7">
      <c r="A27" s="8" t="s">
        <v>1526</v>
      </c>
      <c r="B27" s="8" t="s">
        <v>1527</v>
      </c>
      <c r="C27" s="8" t="s">
        <v>1528</v>
      </c>
      <c r="D27" s="8" t="s">
        <v>1529</v>
      </c>
      <c r="E27" s="8" t="s">
        <v>1530</v>
      </c>
      <c r="F27" s="8" t="s">
        <v>174</v>
      </c>
      <c r="G27" s="8" t="s">
        <v>1403</v>
      </c>
    </row>
    <row r="28" spans="1:7">
      <c r="A28" s="8" t="s">
        <v>1531</v>
      </c>
      <c r="B28" s="8" t="s">
        <v>1532</v>
      </c>
      <c r="C28" s="8" t="s">
        <v>1533</v>
      </c>
      <c r="D28" s="8" t="s">
        <v>1534</v>
      </c>
      <c r="E28" s="8" t="s">
        <v>1535</v>
      </c>
      <c r="F28" s="8" t="s">
        <v>174</v>
      </c>
      <c r="G28" s="8" t="s">
        <v>1403</v>
      </c>
    </row>
    <row r="29" spans="1:7">
      <c r="A29" s="8" t="s">
        <v>1536</v>
      </c>
      <c r="B29" s="8" t="s">
        <v>1537</v>
      </c>
      <c r="C29" s="8" t="s">
        <v>1538</v>
      </c>
      <c r="D29" s="8" t="s">
        <v>1539</v>
      </c>
      <c r="E29" s="8" t="s">
        <v>1540</v>
      </c>
      <c r="F29" s="8" t="s">
        <v>174</v>
      </c>
      <c r="G29" s="8" t="s">
        <v>1403</v>
      </c>
    </row>
    <row r="30" spans="1:7">
      <c r="A30" s="8" t="s">
        <v>1541</v>
      </c>
      <c r="B30" s="8" t="s">
        <v>1542</v>
      </c>
      <c r="C30" s="8" t="s">
        <v>1543</v>
      </c>
      <c r="D30" s="8" t="s">
        <v>1544</v>
      </c>
      <c r="E30" s="8" t="s">
        <v>1545</v>
      </c>
      <c r="F30" s="8" t="s">
        <v>174</v>
      </c>
      <c r="G30" s="8" t="s">
        <v>1546</v>
      </c>
    </row>
    <row r="31" spans="1:7">
      <c r="A31" s="8" t="s">
        <v>1547</v>
      </c>
      <c r="B31" s="8" t="s">
        <v>1548</v>
      </c>
      <c r="C31" s="8" t="s">
        <v>1549</v>
      </c>
      <c r="D31" s="8" t="s">
        <v>1550</v>
      </c>
      <c r="E31" s="8" t="s">
        <v>1551</v>
      </c>
      <c r="F31" s="8" t="s">
        <v>174</v>
      </c>
      <c r="G31" s="8" t="s">
        <v>1403</v>
      </c>
    </row>
    <row r="32" spans="1:7">
      <c r="A32" s="8" t="s">
        <v>1552</v>
      </c>
      <c r="B32" s="8" t="s">
        <v>1553</v>
      </c>
      <c r="C32" s="8" t="s">
        <v>1554</v>
      </c>
      <c r="D32" s="8" t="s">
        <v>1555</v>
      </c>
      <c r="E32" s="8" t="s">
        <v>1556</v>
      </c>
      <c r="F32" s="8" t="s">
        <v>174</v>
      </c>
      <c r="G32" s="8" t="s">
        <v>1403</v>
      </c>
    </row>
    <row r="33" spans="1:7">
      <c r="A33" s="8" t="s">
        <v>1557</v>
      </c>
      <c r="B33" s="8" t="s">
        <v>1558</v>
      </c>
      <c r="C33" s="8" t="s">
        <v>1559</v>
      </c>
      <c r="D33" s="8" t="s">
        <v>1560</v>
      </c>
      <c r="E33" s="8" t="s">
        <v>1561</v>
      </c>
      <c r="F33" s="8" t="s">
        <v>174</v>
      </c>
      <c r="G33" s="8" t="s">
        <v>1403</v>
      </c>
    </row>
    <row r="34" spans="1:7">
      <c r="A34" s="8" t="s">
        <v>1562</v>
      </c>
      <c r="B34" s="8" t="s">
        <v>1563</v>
      </c>
      <c r="C34" s="8" t="s">
        <v>1564</v>
      </c>
      <c r="D34" s="8" t="s">
        <v>1565</v>
      </c>
      <c r="E34" s="8" t="s">
        <v>1566</v>
      </c>
      <c r="F34" s="8" t="s">
        <v>174</v>
      </c>
      <c r="G34" s="8" t="s">
        <v>1567</v>
      </c>
    </row>
    <row r="35" spans="1:7">
      <c r="A35" s="8" t="s">
        <v>1568</v>
      </c>
      <c r="B35" s="8" t="s">
        <v>1569</v>
      </c>
      <c r="C35" s="8" t="s">
        <v>1570</v>
      </c>
      <c r="D35" s="8" t="s">
        <v>1571</v>
      </c>
      <c r="E35" s="8" t="s">
        <v>1572</v>
      </c>
      <c r="F35" s="8" t="s">
        <v>174</v>
      </c>
      <c r="G35" s="8" t="s">
        <v>1403</v>
      </c>
    </row>
    <row r="36" spans="1:7">
      <c r="A36" s="8" t="s">
        <v>1573</v>
      </c>
      <c r="B36" s="8" t="s">
        <v>1574</v>
      </c>
      <c r="C36" s="8" t="s">
        <v>1575</v>
      </c>
      <c r="D36" s="8" t="s">
        <v>1576</v>
      </c>
      <c r="E36" s="8" t="s">
        <v>1577</v>
      </c>
      <c r="F36" s="8" t="s">
        <v>174</v>
      </c>
      <c r="G36" s="8" t="s">
        <v>1403</v>
      </c>
    </row>
    <row r="37" spans="1:7">
      <c r="A37" s="8" t="s">
        <v>1578</v>
      </c>
      <c r="B37" s="8" t="s">
        <v>1579</v>
      </c>
      <c r="C37" s="8" t="s">
        <v>1580</v>
      </c>
      <c r="D37" s="8" t="s">
        <v>1581</v>
      </c>
      <c r="E37" s="8" t="s">
        <v>1582</v>
      </c>
      <c r="F37" s="8" t="s">
        <v>174</v>
      </c>
      <c r="G37" s="8" t="s">
        <v>1403</v>
      </c>
    </row>
    <row r="38" spans="1:7">
      <c r="A38" s="8" t="s">
        <v>1583</v>
      </c>
      <c r="B38" s="8" t="s">
        <v>1584</v>
      </c>
      <c r="C38" s="8" t="s">
        <v>1585</v>
      </c>
      <c r="D38" s="8" t="s">
        <v>1586</v>
      </c>
      <c r="E38" s="8" t="s">
        <v>1587</v>
      </c>
      <c r="F38" s="8" t="s">
        <v>174</v>
      </c>
      <c r="G38" s="8" t="s">
        <v>1403</v>
      </c>
    </row>
    <row r="39" spans="1:7">
      <c r="A39" s="8" t="s">
        <v>1588</v>
      </c>
      <c r="B39" s="8" t="s">
        <v>1589</v>
      </c>
      <c r="C39" s="8" t="s">
        <v>1590</v>
      </c>
      <c r="D39" s="8" t="s">
        <v>1591</v>
      </c>
      <c r="E39" s="8" t="s">
        <v>1592</v>
      </c>
      <c r="F39" s="8" t="s">
        <v>174</v>
      </c>
      <c r="G39" s="8" t="s">
        <v>1403</v>
      </c>
    </row>
    <row r="40" spans="1:7">
      <c r="A40" s="8" t="s">
        <v>1593</v>
      </c>
      <c r="B40" s="8" t="s">
        <v>1594</v>
      </c>
      <c r="C40" s="8" t="s">
        <v>1595</v>
      </c>
      <c r="D40" s="8" t="s">
        <v>1596</v>
      </c>
      <c r="E40" s="8" t="s">
        <v>1597</v>
      </c>
      <c r="F40" s="8" t="s">
        <v>174</v>
      </c>
      <c r="G40" s="8" t="s">
        <v>1403</v>
      </c>
    </row>
    <row r="41" spans="1:7">
      <c r="A41" s="8" t="s">
        <v>1598</v>
      </c>
      <c r="B41" s="8" t="s">
        <v>1599</v>
      </c>
      <c r="C41" s="8" t="s">
        <v>1600</v>
      </c>
      <c r="D41" s="8" t="s">
        <v>1601</v>
      </c>
      <c r="E41" s="8" t="s">
        <v>1602</v>
      </c>
      <c r="F41" s="8" t="s">
        <v>174</v>
      </c>
      <c r="G41" s="8" t="s">
        <v>1403</v>
      </c>
    </row>
    <row r="42" spans="1:7">
      <c r="A42" s="8" t="s">
        <v>1603</v>
      </c>
      <c r="B42" s="8" t="s">
        <v>1604</v>
      </c>
      <c r="C42" s="8" t="s">
        <v>1605</v>
      </c>
      <c r="D42" s="8" t="s">
        <v>1606</v>
      </c>
      <c r="E42" s="8" t="s">
        <v>1607</v>
      </c>
      <c r="F42" s="8" t="s">
        <v>174</v>
      </c>
      <c r="G42" s="8" t="s">
        <v>1403</v>
      </c>
    </row>
    <row r="43" spans="1:7">
      <c r="A43" s="8" t="s">
        <v>1608</v>
      </c>
      <c r="B43" s="8" t="s">
        <v>1609</v>
      </c>
      <c r="C43" s="8" t="s">
        <v>1610</v>
      </c>
      <c r="D43" s="8" t="s">
        <v>1611</v>
      </c>
      <c r="E43" s="8" t="s">
        <v>1612</v>
      </c>
      <c r="F43" s="8" t="s">
        <v>174</v>
      </c>
      <c r="G43" s="8" t="s">
        <v>1613</v>
      </c>
    </row>
    <row r="44" spans="1:7">
      <c r="A44" s="8" t="s">
        <v>1614</v>
      </c>
      <c r="B44" s="8" t="s">
        <v>1615</v>
      </c>
      <c r="C44" s="8" t="s">
        <v>1616</v>
      </c>
      <c r="D44" s="8" t="s">
        <v>1617</v>
      </c>
      <c r="E44" s="8" t="s">
        <v>1618</v>
      </c>
      <c r="F44" s="8" t="s">
        <v>174</v>
      </c>
      <c r="G44" s="8" t="s">
        <v>1403</v>
      </c>
    </row>
    <row r="45" spans="1:7">
      <c r="A45" s="8" t="s">
        <v>1619</v>
      </c>
      <c r="B45" s="8" t="s">
        <v>1620</v>
      </c>
      <c r="C45" s="8" t="s">
        <v>1621</v>
      </c>
      <c r="D45" s="8" t="s">
        <v>1622</v>
      </c>
      <c r="E45" s="8" t="s">
        <v>1623</v>
      </c>
      <c r="F45" s="8" t="s">
        <v>174</v>
      </c>
      <c r="G45" s="8" t="s">
        <v>1403</v>
      </c>
    </row>
    <row r="46" spans="1:7">
      <c r="A46" s="8" t="s">
        <v>1624</v>
      </c>
      <c r="B46" s="8" t="s">
        <v>1625</v>
      </c>
      <c r="C46" s="8" t="s">
        <v>1626</v>
      </c>
      <c r="D46" s="8" t="s">
        <v>1627</v>
      </c>
      <c r="E46" s="8" t="s">
        <v>1628</v>
      </c>
      <c r="F46" s="8" t="s">
        <v>174</v>
      </c>
      <c r="G46" s="8" t="s">
        <v>1403</v>
      </c>
    </row>
    <row r="47" spans="1:7">
      <c r="A47" s="8" t="s">
        <v>1629</v>
      </c>
      <c r="B47" s="8" t="s">
        <v>1630</v>
      </c>
      <c r="C47" s="8" t="s">
        <v>1631</v>
      </c>
      <c r="D47" s="8" t="s">
        <v>1632</v>
      </c>
      <c r="E47" s="8" t="s">
        <v>1633</v>
      </c>
      <c r="F47" s="8" t="s">
        <v>174</v>
      </c>
      <c r="G47" s="8" t="s">
        <v>1403</v>
      </c>
    </row>
    <row r="48" spans="1:7">
      <c r="A48" s="8" t="s">
        <v>1634</v>
      </c>
      <c r="B48" s="8" t="s">
        <v>1635</v>
      </c>
      <c r="C48" s="8" t="s">
        <v>1636</v>
      </c>
      <c r="D48" s="8" t="s">
        <v>1637</v>
      </c>
      <c r="E48" s="8" t="s">
        <v>1638</v>
      </c>
      <c r="F48" s="8" t="s">
        <v>174</v>
      </c>
      <c r="G48" s="8" t="s">
        <v>1403</v>
      </c>
    </row>
    <row r="49" spans="1:7">
      <c r="A49" s="8" t="s">
        <v>1639</v>
      </c>
      <c r="B49" s="8" t="s">
        <v>1640</v>
      </c>
      <c r="C49" s="8" t="s">
        <v>1641</v>
      </c>
      <c r="D49" s="8" t="s">
        <v>1642</v>
      </c>
      <c r="E49" s="8" t="s">
        <v>1643</v>
      </c>
      <c r="F49" s="8" t="s">
        <v>174</v>
      </c>
      <c r="G49" s="8" t="s">
        <v>1403</v>
      </c>
    </row>
    <row r="50" spans="1:7">
      <c r="A50" s="8" t="s">
        <v>1644</v>
      </c>
      <c r="B50" s="8" t="s">
        <v>1645</v>
      </c>
      <c r="C50" s="8" t="s">
        <v>1646</v>
      </c>
      <c r="D50" s="8" t="s">
        <v>1647</v>
      </c>
      <c r="E50" s="8" t="s">
        <v>1648</v>
      </c>
      <c r="F50" s="8" t="s">
        <v>174</v>
      </c>
      <c r="G50" s="8" t="s">
        <v>1403</v>
      </c>
    </row>
    <row r="51" spans="1:7">
      <c r="A51" s="8" t="s">
        <v>1649</v>
      </c>
      <c r="B51" s="8" t="s">
        <v>1650</v>
      </c>
      <c r="C51" s="8" t="s">
        <v>1651</v>
      </c>
      <c r="D51" s="8" t="s">
        <v>1652</v>
      </c>
      <c r="E51" s="8" t="s">
        <v>1653</v>
      </c>
      <c r="F51" s="8" t="s">
        <v>174</v>
      </c>
      <c r="G51" s="8" t="s">
        <v>1546</v>
      </c>
    </row>
    <row r="52" spans="1:7">
      <c r="A52" s="8" t="s">
        <v>1654</v>
      </c>
      <c r="B52" s="8" t="s">
        <v>1655</v>
      </c>
      <c r="C52" s="8" t="s">
        <v>1656</v>
      </c>
      <c r="D52" s="8" t="s">
        <v>1657</v>
      </c>
      <c r="E52" s="8" t="s">
        <v>1658</v>
      </c>
      <c r="F52" s="8" t="s">
        <v>174</v>
      </c>
      <c r="G52" s="8" t="s">
        <v>1403</v>
      </c>
    </row>
    <row r="53" spans="1:7">
      <c r="A53" s="8" t="s">
        <v>1659</v>
      </c>
      <c r="B53" s="8" t="s">
        <v>1660</v>
      </c>
      <c r="C53" s="8" t="s">
        <v>1661</v>
      </c>
      <c r="D53" s="8" t="s">
        <v>1662</v>
      </c>
      <c r="E53" s="8" t="s">
        <v>1663</v>
      </c>
      <c r="F53" s="8" t="s">
        <v>174</v>
      </c>
      <c r="G53" s="8" t="s">
        <v>1546</v>
      </c>
    </row>
    <row r="54" spans="1:7">
      <c r="A54" s="8" t="s">
        <v>1664</v>
      </c>
      <c r="B54" s="8" t="s">
        <v>1665</v>
      </c>
      <c r="C54" s="8" t="s">
        <v>1666</v>
      </c>
      <c r="D54" s="8" t="s">
        <v>1667</v>
      </c>
      <c r="E54" s="8" t="s">
        <v>1668</v>
      </c>
      <c r="F54" s="8" t="s">
        <v>174</v>
      </c>
      <c r="G54" s="8" t="s">
        <v>1403</v>
      </c>
    </row>
    <row r="55" spans="1:7">
      <c r="A55" s="8" t="s">
        <v>1669</v>
      </c>
      <c r="B55" s="8" t="s">
        <v>1670</v>
      </c>
      <c r="C55" s="8" t="s">
        <v>1671</v>
      </c>
      <c r="D55" s="8" t="s">
        <v>1672</v>
      </c>
      <c r="E55" s="8" t="s">
        <v>1673</v>
      </c>
      <c r="F55" s="8" t="s">
        <v>174</v>
      </c>
      <c r="G55" s="8" t="s">
        <v>1403</v>
      </c>
    </row>
    <row r="56" spans="1:7">
      <c r="A56" s="8" t="s">
        <v>1674</v>
      </c>
      <c r="B56" s="8" t="s">
        <v>1675</v>
      </c>
      <c r="C56" s="8" t="s">
        <v>1676</v>
      </c>
      <c r="D56" s="8" t="s">
        <v>1677</v>
      </c>
      <c r="E56" s="8" t="s">
        <v>1678</v>
      </c>
      <c r="F56" s="8" t="s">
        <v>174</v>
      </c>
      <c r="G56" s="8" t="s">
        <v>1546</v>
      </c>
    </row>
    <row r="57" spans="1:7">
      <c r="A57" s="8" t="s">
        <v>1679</v>
      </c>
      <c r="B57" s="8" t="s">
        <v>1680</v>
      </c>
      <c r="C57" s="8" t="s">
        <v>1681</v>
      </c>
      <c r="D57" s="8" t="s">
        <v>1682</v>
      </c>
      <c r="E57" s="8" t="s">
        <v>1683</v>
      </c>
      <c r="F57" s="8" t="s">
        <v>174</v>
      </c>
      <c r="G57" s="8" t="s">
        <v>1403</v>
      </c>
    </row>
    <row r="58" spans="1:7">
      <c r="A58" s="8" t="s">
        <v>1684</v>
      </c>
      <c r="B58" s="8" t="s">
        <v>1685</v>
      </c>
      <c r="C58" s="8" t="s">
        <v>1686</v>
      </c>
      <c r="D58" s="8" t="s">
        <v>1687</v>
      </c>
      <c r="E58" s="8" t="s">
        <v>1688</v>
      </c>
      <c r="F58" s="8" t="s">
        <v>174</v>
      </c>
      <c r="G58" s="8" t="s">
        <v>1403</v>
      </c>
    </row>
    <row r="59" spans="1:7">
      <c r="A59" s="8" t="s">
        <v>1689</v>
      </c>
      <c r="B59" s="8" t="s">
        <v>1690</v>
      </c>
      <c r="C59" s="8" t="s">
        <v>1691</v>
      </c>
      <c r="D59" s="8" t="s">
        <v>1692</v>
      </c>
      <c r="E59" s="8" t="s">
        <v>1693</v>
      </c>
      <c r="F59" s="8" t="s">
        <v>174</v>
      </c>
      <c r="G59" s="8" t="s">
        <v>1403</v>
      </c>
    </row>
    <row r="60" spans="1:7">
      <c r="A60" s="8" t="s">
        <v>1694</v>
      </c>
      <c r="B60" s="8" t="s">
        <v>1695</v>
      </c>
      <c r="C60" s="8" t="s">
        <v>1696</v>
      </c>
      <c r="D60" s="8" t="s">
        <v>1697</v>
      </c>
      <c r="E60" s="8" t="s">
        <v>1698</v>
      </c>
      <c r="F60" s="8" t="s">
        <v>174</v>
      </c>
      <c r="G60" s="8" t="s">
        <v>1403</v>
      </c>
    </row>
    <row r="61" spans="1:7">
      <c r="A61" s="8" t="s">
        <v>1699</v>
      </c>
      <c r="B61" s="8" t="s">
        <v>1700</v>
      </c>
      <c r="C61" s="8" t="s">
        <v>1701</v>
      </c>
      <c r="D61" s="8" t="s">
        <v>1702</v>
      </c>
      <c r="E61" s="8" t="s">
        <v>1703</v>
      </c>
      <c r="F61" s="8" t="s">
        <v>174</v>
      </c>
      <c r="G61" s="8" t="s">
        <v>1403</v>
      </c>
    </row>
    <row r="62" spans="1:7">
      <c r="A62" s="8" t="s">
        <v>1704</v>
      </c>
      <c r="B62" s="8" t="s">
        <v>1705</v>
      </c>
      <c r="C62" s="8" t="s">
        <v>1706</v>
      </c>
      <c r="D62" s="8" t="s">
        <v>1707</v>
      </c>
      <c r="E62" s="8" t="s">
        <v>1708</v>
      </c>
      <c r="F62" s="8" t="s">
        <v>174</v>
      </c>
      <c r="G62" s="8" t="s">
        <v>1403</v>
      </c>
    </row>
    <row r="63" spans="1:7">
      <c r="A63" s="8" t="s">
        <v>1709</v>
      </c>
      <c r="B63" s="8" t="s">
        <v>1710</v>
      </c>
      <c r="C63" s="8" t="s">
        <v>1711</v>
      </c>
      <c r="D63" s="8" t="s">
        <v>1712</v>
      </c>
      <c r="E63" s="8" t="s">
        <v>1713</v>
      </c>
      <c r="F63" s="8" t="s">
        <v>174</v>
      </c>
      <c r="G63" s="8" t="s">
        <v>1613</v>
      </c>
    </row>
    <row r="64" spans="1:7">
      <c r="A64" s="8" t="s">
        <v>1714</v>
      </c>
      <c r="B64" s="8" t="s">
        <v>1715</v>
      </c>
      <c r="C64" s="8" t="s">
        <v>1716</v>
      </c>
      <c r="D64" s="8" t="s">
        <v>1717</v>
      </c>
      <c r="E64" s="8" t="s">
        <v>1718</v>
      </c>
      <c r="F64" s="8" t="s">
        <v>174</v>
      </c>
      <c r="G64" s="8" t="s">
        <v>1403</v>
      </c>
    </row>
    <row r="65" spans="1:7">
      <c r="A65" s="8" t="s">
        <v>1719</v>
      </c>
      <c r="B65" s="8" t="s">
        <v>1720</v>
      </c>
      <c r="C65" s="8" t="s">
        <v>1721</v>
      </c>
      <c r="D65" s="8" t="s">
        <v>1722</v>
      </c>
      <c r="E65" s="8" t="s">
        <v>1723</v>
      </c>
      <c r="F65" s="8" t="s">
        <v>174</v>
      </c>
      <c r="G65" s="8" t="s">
        <v>1546</v>
      </c>
    </row>
    <row r="66" spans="1:7">
      <c r="A66" s="8" t="s">
        <v>1724</v>
      </c>
      <c r="B66" s="8" t="s">
        <v>1725</v>
      </c>
      <c r="C66" s="8" t="s">
        <v>1726</v>
      </c>
      <c r="D66" s="8" t="s">
        <v>1727</v>
      </c>
      <c r="E66" s="8" t="s">
        <v>1728</v>
      </c>
      <c r="F66" s="8" t="s">
        <v>174</v>
      </c>
      <c r="G66" s="8" t="s">
        <v>1403</v>
      </c>
    </row>
    <row r="67" spans="1:7">
      <c r="A67" s="8" t="s">
        <v>1729</v>
      </c>
      <c r="B67" s="8" t="s">
        <v>1730</v>
      </c>
      <c r="C67" s="8" t="s">
        <v>1731</v>
      </c>
      <c r="D67" s="8" t="s">
        <v>1732</v>
      </c>
      <c r="E67" s="8" t="s">
        <v>1733</v>
      </c>
      <c r="F67" s="8" t="s">
        <v>174</v>
      </c>
      <c r="G67" s="8" t="s">
        <v>1403</v>
      </c>
    </row>
    <row r="68" spans="1:7">
      <c r="A68" s="8" t="s">
        <v>1734</v>
      </c>
      <c r="B68" s="8" t="s">
        <v>1735</v>
      </c>
      <c r="C68" s="8" t="s">
        <v>1736</v>
      </c>
      <c r="D68" s="8" t="s">
        <v>1737</v>
      </c>
      <c r="E68" s="8" t="s">
        <v>1738</v>
      </c>
      <c r="F68" s="8" t="s">
        <v>174</v>
      </c>
      <c r="G68" s="8" t="s">
        <v>1403</v>
      </c>
    </row>
    <row r="69" spans="1:7">
      <c r="A69" s="8" t="s">
        <v>1739</v>
      </c>
      <c r="B69" s="8" t="s">
        <v>1740</v>
      </c>
      <c r="C69" s="8" t="s">
        <v>1741</v>
      </c>
      <c r="D69" s="8" t="s">
        <v>1742</v>
      </c>
      <c r="E69" s="8" t="s">
        <v>1743</v>
      </c>
      <c r="F69" s="8" t="s">
        <v>174</v>
      </c>
      <c r="G69" s="8" t="s">
        <v>1403</v>
      </c>
    </row>
    <row r="70" spans="1:7">
      <c r="A70" s="8" t="s">
        <v>1744</v>
      </c>
      <c r="B70" s="8" t="s">
        <v>1745</v>
      </c>
      <c r="C70" s="8" t="s">
        <v>1746</v>
      </c>
      <c r="D70" s="8" t="s">
        <v>1747</v>
      </c>
      <c r="E70" s="8" t="s">
        <v>1748</v>
      </c>
      <c r="F70" s="8" t="s">
        <v>174</v>
      </c>
      <c r="G70" s="8" t="s">
        <v>1403</v>
      </c>
    </row>
    <row r="71" spans="1:7">
      <c r="A71" s="8" t="s">
        <v>1749</v>
      </c>
      <c r="B71" s="8" t="s">
        <v>1750</v>
      </c>
      <c r="C71" s="8" t="s">
        <v>1751</v>
      </c>
      <c r="D71" s="8" t="s">
        <v>1752</v>
      </c>
      <c r="E71" s="8" t="s">
        <v>1753</v>
      </c>
      <c r="F71" s="8" t="s">
        <v>174</v>
      </c>
      <c r="G71" s="8" t="s">
        <v>1403</v>
      </c>
    </row>
    <row r="72" spans="1:7">
      <c r="A72" s="8" t="s">
        <v>1754</v>
      </c>
      <c r="B72" s="8" t="s">
        <v>1755</v>
      </c>
      <c r="C72" s="8" t="s">
        <v>1756</v>
      </c>
      <c r="D72" s="8" t="s">
        <v>1757</v>
      </c>
      <c r="E72" s="8" t="s">
        <v>1758</v>
      </c>
      <c r="F72" s="8" t="s">
        <v>174</v>
      </c>
      <c r="G72" s="8" t="s">
        <v>1403</v>
      </c>
    </row>
    <row r="73" spans="1:7">
      <c r="A73" s="8" t="s">
        <v>1759</v>
      </c>
      <c r="B73" s="8" t="s">
        <v>1760</v>
      </c>
      <c r="C73" s="8" t="s">
        <v>1761</v>
      </c>
      <c r="D73" s="8" t="s">
        <v>1762</v>
      </c>
      <c r="E73" s="8" t="s">
        <v>1763</v>
      </c>
      <c r="F73" s="8" t="s">
        <v>174</v>
      </c>
      <c r="G73" s="8" t="s">
        <v>1403</v>
      </c>
    </row>
    <row r="74" spans="1:7">
      <c r="A74" s="8" t="s">
        <v>1764</v>
      </c>
      <c r="B74" s="8" t="s">
        <v>1765</v>
      </c>
      <c r="C74" s="8" t="s">
        <v>1766</v>
      </c>
      <c r="D74" s="8" t="s">
        <v>1767</v>
      </c>
      <c r="E74" s="8" t="s">
        <v>1768</v>
      </c>
      <c r="F74" s="8" t="s">
        <v>174</v>
      </c>
      <c r="G74" s="8" t="s">
        <v>1403</v>
      </c>
    </row>
    <row r="75" spans="1:7">
      <c r="A75" s="8" t="s">
        <v>1769</v>
      </c>
      <c r="B75" s="8" t="s">
        <v>1770</v>
      </c>
      <c r="C75" s="8" t="s">
        <v>1771</v>
      </c>
      <c r="D75" s="8" t="s">
        <v>1772</v>
      </c>
      <c r="E75" s="8" t="s">
        <v>1773</v>
      </c>
      <c r="F75" s="8" t="s">
        <v>174</v>
      </c>
      <c r="G75" s="8" t="s">
        <v>1403</v>
      </c>
    </row>
    <row r="76" spans="1:7">
      <c r="A76" s="8" t="s">
        <v>1774</v>
      </c>
      <c r="B76" s="8" t="s">
        <v>1775</v>
      </c>
      <c r="C76" s="8" t="s">
        <v>1776</v>
      </c>
      <c r="D76" s="8" t="s">
        <v>1777</v>
      </c>
      <c r="E76" s="8" t="s">
        <v>1778</v>
      </c>
      <c r="F76" s="8" t="s">
        <v>174</v>
      </c>
      <c r="G76" s="8" t="s">
        <v>1779</v>
      </c>
    </row>
    <row r="77" spans="1:7">
      <c r="A77" s="8" t="s">
        <v>1780</v>
      </c>
      <c r="B77" s="8" t="s">
        <v>1781</v>
      </c>
      <c r="C77" s="8" t="s">
        <v>1782</v>
      </c>
      <c r="D77" s="8" t="s">
        <v>1783</v>
      </c>
      <c r="E77" s="8" t="s">
        <v>1784</v>
      </c>
      <c r="F77" s="8" t="s">
        <v>174</v>
      </c>
      <c r="G77" s="8" t="s">
        <v>1403</v>
      </c>
    </row>
    <row r="78" spans="1:7">
      <c r="A78" s="8" t="s">
        <v>1785</v>
      </c>
      <c r="B78" s="8" t="s">
        <v>1786</v>
      </c>
      <c r="C78" s="8" t="s">
        <v>1787</v>
      </c>
      <c r="D78" s="8" t="s">
        <v>1788</v>
      </c>
      <c r="E78" s="8" t="s">
        <v>1789</v>
      </c>
      <c r="F78" s="8" t="s">
        <v>174</v>
      </c>
      <c r="G78" s="8" t="s">
        <v>1403</v>
      </c>
    </row>
    <row r="79" spans="1:7">
      <c r="A79" s="8" t="s">
        <v>1790</v>
      </c>
      <c r="B79" s="8" t="s">
        <v>1791</v>
      </c>
      <c r="C79" s="8" t="s">
        <v>1792</v>
      </c>
      <c r="D79" s="8" t="s">
        <v>1793</v>
      </c>
      <c r="E79" s="8" t="s">
        <v>1794</v>
      </c>
      <c r="F79" s="8" t="s">
        <v>174</v>
      </c>
      <c r="G79" s="8" t="s">
        <v>1795</v>
      </c>
    </row>
    <row r="80" spans="1:7">
      <c r="A80" s="8" t="s">
        <v>1796</v>
      </c>
      <c r="B80" s="8" t="s">
        <v>1797</v>
      </c>
      <c r="C80" s="8" t="s">
        <v>1798</v>
      </c>
      <c r="D80" s="8" t="s">
        <v>1799</v>
      </c>
      <c r="E80" s="8" t="s">
        <v>1800</v>
      </c>
      <c r="F80" s="8" t="s">
        <v>174</v>
      </c>
      <c r="G80" s="8" t="s">
        <v>1403</v>
      </c>
    </row>
    <row r="81" spans="1:7">
      <c r="A81" s="8" t="s">
        <v>1801</v>
      </c>
      <c r="B81" s="8" t="s">
        <v>1802</v>
      </c>
      <c r="C81" s="8" t="s">
        <v>1803</v>
      </c>
      <c r="D81" s="8" t="s">
        <v>1804</v>
      </c>
      <c r="E81" s="8" t="s">
        <v>1805</v>
      </c>
      <c r="F81" s="8" t="s">
        <v>174</v>
      </c>
      <c r="G81" s="8" t="s">
        <v>1403</v>
      </c>
    </row>
    <row r="82" spans="1:7">
      <c r="A82" s="8" t="s">
        <v>1806</v>
      </c>
      <c r="B82" s="8" t="s">
        <v>1807</v>
      </c>
      <c r="C82" s="8" t="s">
        <v>1808</v>
      </c>
      <c r="D82" s="8" t="s">
        <v>1809</v>
      </c>
      <c r="E82" s="8" t="s">
        <v>1810</v>
      </c>
      <c r="F82" s="8" t="s">
        <v>174</v>
      </c>
      <c r="G82" s="8" t="s">
        <v>1403</v>
      </c>
    </row>
    <row r="83" spans="1:7">
      <c r="A83" s="8" t="s">
        <v>1811</v>
      </c>
      <c r="B83" s="8" t="s">
        <v>1812</v>
      </c>
      <c r="C83" s="8" t="s">
        <v>1813</v>
      </c>
      <c r="D83" s="8" t="s">
        <v>1814</v>
      </c>
      <c r="E83" s="8" t="s">
        <v>1815</v>
      </c>
      <c r="F83" s="8" t="s">
        <v>174</v>
      </c>
      <c r="G83" s="8" t="s">
        <v>1403</v>
      </c>
    </row>
    <row r="84" spans="1:7">
      <c r="A84" s="8" t="s">
        <v>1816</v>
      </c>
      <c r="B84" s="8" t="s">
        <v>1817</v>
      </c>
      <c r="C84" s="8" t="s">
        <v>1818</v>
      </c>
      <c r="D84" s="8" t="s">
        <v>1819</v>
      </c>
      <c r="E84" s="8" t="s">
        <v>1820</v>
      </c>
      <c r="F84" s="8" t="s">
        <v>174</v>
      </c>
      <c r="G84" s="8" t="s">
        <v>1403</v>
      </c>
    </row>
  </sheetData>
  <pageMargins left="0.75" right="0.75" top="1" bottom="1" header="0.5" footer="0.5"/>
  <pageSetup paperSize="0" orientation="portrait" horizontalDpi="0" verticalDpi="0" copie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28"/>
  <dimension ref="A1:O1000"/>
  <sheetViews>
    <sheetView workbookViewId="0">
      <selection activeCell="N3" sqref="N3"/>
    </sheetView>
  </sheetViews>
  <sheetFormatPr baseColWidth="10" defaultColWidth="9.140625" defaultRowHeight="15"/>
  <cols>
    <col min="1" max="1" width="9.7109375" bestFit="1" customWidth="1"/>
    <col min="2" max="2" width="9.42578125" bestFit="1" customWidth="1"/>
    <col min="3" max="3" width="21.42578125" bestFit="1" customWidth="1"/>
    <col min="4" max="4" width="13.140625" bestFit="1" customWidth="1"/>
    <col min="5" max="5" width="13.7109375" bestFit="1" customWidth="1"/>
    <col min="6" max="6" width="31.85546875" bestFit="1" customWidth="1"/>
    <col min="7" max="7" width="12.28515625" bestFit="1" customWidth="1"/>
    <col min="8" max="8" width="8.140625" bestFit="1" customWidth="1"/>
    <col min="9" max="9" width="12" bestFit="1" customWidth="1"/>
    <col min="10" max="10" width="29.140625" bestFit="1" customWidth="1"/>
    <col min="11" max="11" width="17.140625" bestFit="1" customWidth="1"/>
    <col min="13" max="13" width="11.42578125" bestFit="1" customWidth="1"/>
    <col min="14" max="14" width="14.42578125" bestFit="1" customWidth="1"/>
    <col min="15" max="15" width="10.7109375" bestFit="1" customWidth="1"/>
  </cols>
  <sheetData>
    <row r="1" spans="1:15" ht="30" customHeight="1">
      <c r="A1" s="7" t="s">
        <v>1821</v>
      </c>
      <c r="B1" s="7" t="s">
        <v>1292</v>
      </c>
      <c r="C1" s="7" t="s">
        <v>1293</v>
      </c>
      <c r="D1" s="7" t="s">
        <v>1822</v>
      </c>
      <c r="E1" s="7" t="s">
        <v>1392</v>
      </c>
      <c r="F1" s="7" t="s">
        <v>1823</v>
      </c>
      <c r="G1" s="7" t="s">
        <v>1340</v>
      </c>
      <c r="H1" s="7" t="s">
        <v>1824</v>
      </c>
      <c r="I1" s="7" t="s">
        <v>1825</v>
      </c>
      <c r="J1" s="7" t="s">
        <v>1826</v>
      </c>
      <c r="K1" s="7" t="s">
        <v>1827</v>
      </c>
      <c r="L1" s="7" t="s">
        <v>1828</v>
      </c>
      <c r="M1" s="7" t="s">
        <v>1829</v>
      </c>
      <c r="N1" s="7" t="s">
        <v>1830</v>
      </c>
      <c r="O1" s="7" t="s">
        <v>1831</v>
      </c>
    </row>
    <row r="2" spans="1:15">
      <c r="A2" s="8" t="s">
        <v>1832</v>
      </c>
      <c r="B2" s="8" t="s">
        <v>1305</v>
      </c>
      <c r="C2" s="8" t="s">
        <v>1306</v>
      </c>
      <c r="D2" s="8" t="s">
        <v>1833</v>
      </c>
      <c r="E2" s="8" t="s">
        <v>1456</v>
      </c>
      <c r="F2" s="8" t="s">
        <v>1834</v>
      </c>
      <c r="G2" s="8">
        <v>4</v>
      </c>
      <c r="H2" s="8">
        <v>4</v>
      </c>
      <c r="I2" s="8">
        <f t="shared" ref="I2:I65" si="0">IF(AND(G2&lt;&gt;"", H2&lt;&gt;""), G2*H2, "")</f>
        <v>16</v>
      </c>
      <c r="J2" s="8" t="s">
        <v>1835</v>
      </c>
      <c r="K2" s="8">
        <v>2</v>
      </c>
      <c r="L2" s="8">
        <v>3</v>
      </c>
      <c r="M2" s="8">
        <f t="shared" ref="M2:M65" si="1">IF(AND(K2&lt;&gt;"", L2&lt;&gt;""), K2*L2, "")</f>
        <v>6</v>
      </c>
      <c r="N2" s="8" t="s">
        <v>1836</v>
      </c>
      <c r="O2" s="8" t="s">
        <v>51</v>
      </c>
    </row>
    <row r="3" spans="1:15">
      <c r="A3" s="8" t="s">
        <v>1837</v>
      </c>
      <c r="B3" s="8" t="s">
        <v>1316</v>
      </c>
      <c r="C3" s="8" t="s">
        <v>1317</v>
      </c>
      <c r="D3" s="8" t="s">
        <v>1838</v>
      </c>
      <c r="E3" s="8" t="s">
        <v>1440</v>
      </c>
      <c r="F3" s="8" t="s">
        <v>1839</v>
      </c>
      <c r="G3" s="8">
        <v>3</v>
      </c>
      <c r="H3" s="8">
        <v>5</v>
      </c>
      <c r="I3" s="8">
        <f t="shared" si="0"/>
        <v>15</v>
      </c>
      <c r="J3" s="8" t="s">
        <v>1840</v>
      </c>
      <c r="K3" s="8">
        <v>1</v>
      </c>
      <c r="L3" s="8">
        <v>4</v>
      </c>
      <c r="M3" s="8">
        <f t="shared" si="1"/>
        <v>4</v>
      </c>
      <c r="N3" s="8" t="s">
        <v>1841</v>
      </c>
      <c r="O3" s="8" t="s">
        <v>51</v>
      </c>
    </row>
    <row r="4" spans="1:15">
      <c r="A4" s="8"/>
      <c r="B4" s="8"/>
      <c r="C4" s="8"/>
      <c r="D4" s="8"/>
      <c r="E4" s="8"/>
      <c r="F4" s="8"/>
      <c r="G4" s="8"/>
      <c r="H4" s="8"/>
      <c r="I4" s="8" t="str">
        <f t="shared" si="0"/>
        <v/>
      </c>
      <c r="J4" s="8"/>
      <c r="K4" s="8"/>
      <c r="L4" s="8"/>
      <c r="M4" s="8" t="str">
        <f t="shared" si="1"/>
        <v/>
      </c>
      <c r="N4" s="8"/>
      <c r="O4" s="8"/>
    </row>
    <row r="5" spans="1:15">
      <c r="A5" s="8"/>
      <c r="B5" s="8"/>
      <c r="C5" s="8"/>
      <c r="D5" s="8"/>
      <c r="E5" s="8"/>
      <c r="F5" s="8"/>
      <c r="G5" s="8"/>
      <c r="H5" s="8"/>
      <c r="I5" s="8" t="str">
        <f t="shared" si="0"/>
        <v/>
      </c>
      <c r="J5" s="8"/>
      <c r="K5" s="8"/>
      <c r="L5" s="8"/>
      <c r="M5" s="8" t="str">
        <f t="shared" si="1"/>
        <v/>
      </c>
      <c r="N5" s="8"/>
      <c r="O5" s="8"/>
    </row>
    <row r="6" spans="1:15">
      <c r="A6" s="8"/>
      <c r="B6" s="8"/>
      <c r="C6" s="8"/>
      <c r="D6" s="8"/>
      <c r="E6" s="8"/>
      <c r="F6" s="8"/>
      <c r="G6" s="8"/>
      <c r="H6" s="8"/>
      <c r="I6" s="8" t="str">
        <f t="shared" si="0"/>
        <v/>
      </c>
      <c r="J6" s="8"/>
      <c r="K6" s="8"/>
      <c r="L6" s="8"/>
      <c r="M6" s="8" t="str">
        <f t="shared" si="1"/>
        <v/>
      </c>
      <c r="N6" s="8"/>
      <c r="O6" s="8"/>
    </row>
    <row r="7" spans="1:15">
      <c r="A7" s="8"/>
      <c r="B7" s="8"/>
      <c r="C7" s="8"/>
      <c r="D7" s="8"/>
      <c r="E7" s="8"/>
      <c r="F7" s="8"/>
      <c r="G7" s="8"/>
      <c r="H7" s="8"/>
      <c r="I7" s="8" t="str">
        <f t="shared" si="0"/>
        <v/>
      </c>
      <c r="J7" s="8"/>
      <c r="K7" s="8"/>
      <c r="L7" s="8"/>
      <c r="M7" s="8" t="str">
        <f t="shared" si="1"/>
        <v/>
      </c>
      <c r="N7" s="8"/>
      <c r="O7" s="8"/>
    </row>
    <row r="8" spans="1:15">
      <c r="A8" s="8"/>
      <c r="B8" s="8"/>
      <c r="C8" s="8"/>
      <c r="D8" s="8"/>
      <c r="E8" s="8"/>
      <c r="F8" s="8"/>
      <c r="G8" s="8"/>
      <c r="H8" s="8"/>
      <c r="I8" s="8" t="str">
        <f t="shared" si="0"/>
        <v/>
      </c>
      <c r="J8" s="8"/>
      <c r="K8" s="8"/>
      <c r="L8" s="8"/>
      <c r="M8" s="8" t="str">
        <f t="shared" si="1"/>
        <v/>
      </c>
      <c r="N8" s="8"/>
      <c r="O8" s="8"/>
    </row>
    <row r="9" spans="1:15">
      <c r="A9" s="8"/>
      <c r="B9" s="8"/>
      <c r="C9" s="8"/>
      <c r="D9" s="8"/>
      <c r="E9" s="8"/>
      <c r="F9" s="8"/>
      <c r="G9" s="8"/>
      <c r="H9" s="8"/>
      <c r="I9" s="8" t="str">
        <f t="shared" si="0"/>
        <v/>
      </c>
      <c r="J9" s="8"/>
      <c r="K9" s="8"/>
      <c r="L9" s="8"/>
      <c r="M9" s="8" t="str">
        <f t="shared" si="1"/>
        <v/>
      </c>
      <c r="N9" s="8"/>
      <c r="O9" s="8"/>
    </row>
    <row r="10" spans="1:15">
      <c r="A10" s="8"/>
      <c r="B10" s="8"/>
      <c r="C10" s="8"/>
      <c r="D10" s="8"/>
      <c r="E10" s="8"/>
      <c r="F10" s="8"/>
      <c r="G10" s="8"/>
      <c r="H10" s="8"/>
      <c r="I10" s="8" t="str">
        <f t="shared" si="0"/>
        <v/>
      </c>
      <c r="J10" s="8"/>
      <c r="K10" s="8"/>
      <c r="L10" s="8"/>
      <c r="M10" s="8" t="str">
        <f t="shared" si="1"/>
        <v/>
      </c>
      <c r="N10" s="8"/>
      <c r="O10" s="8"/>
    </row>
    <row r="11" spans="1:15">
      <c r="A11" s="8"/>
      <c r="B11" s="8"/>
      <c r="C11" s="8"/>
      <c r="D11" s="8"/>
      <c r="E11" s="8"/>
      <c r="F11" s="8"/>
      <c r="G11" s="8"/>
      <c r="H11" s="8"/>
      <c r="I11" s="8" t="str">
        <f t="shared" si="0"/>
        <v/>
      </c>
      <c r="J11" s="8"/>
      <c r="K11" s="8"/>
      <c r="L11" s="8"/>
      <c r="M11" s="8" t="str">
        <f t="shared" si="1"/>
        <v/>
      </c>
      <c r="N11" s="8"/>
      <c r="O11" s="8"/>
    </row>
    <row r="12" spans="1:15">
      <c r="A12" s="8"/>
      <c r="B12" s="8"/>
      <c r="C12" s="8"/>
      <c r="D12" s="8"/>
      <c r="E12" s="8"/>
      <c r="F12" s="8"/>
      <c r="G12" s="8"/>
      <c r="H12" s="8"/>
      <c r="I12" s="8" t="str">
        <f t="shared" si="0"/>
        <v/>
      </c>
      <c r="J12" s="8"/>
      <c r="K12" s="8"/>
      <c r="L12" s="8"/>
      <c r="M12" s="8" t="str">
        <f t="shared" si="1"/>
        <v/>
      </c>
      <c r="N12" s="8"/>
      <c r="O12" s="8"/>
    </row>
    <row r="13" spans="1:15">
      <c r="A13" s="8"/>
      <c r="B13" s="8"/>
      <c r="C13" s="8"/>
      <c r="D13" s="8"/>
      <c r="E13" s="8"/>
      <c r="F13" s="8"/>
      <c r="G13" s="8"/>
      <c r="H13" s="8"/>
      <c r="I13" s="8" t="str">
        <f t="shared" si="0"/>
        <v/>
      </c>
      <c r="J13" s="8"/>
      <c r="K13" s="8"/>
      <c r="L13" s="8"/>
      <c r="M13" s="8" t="str">
        <f t="shared" si="1"/>
        <v/>
      </c>
      <c r="N13" s="8"/>
      <c r="O13" s="8"/>
    </row>
    <row r="14" spans="1:15">
      <c r="A14" s="8"/>
      <c r="B14" s="8"/>
      <c r="C14" s="8"/>
      <c r="D14" s="8"/>
      <c r="E14" s="8"/>
      <c r="F14" s="8"/>
      <c r="G14" s="8"/>
      <c r="H14" s="8"/>
      <c r="I14" s="8" t="str">
        <f t="shared" si="0"/>
        <v/>
      </c>
      <c r="J14" s="8"/>
      <c r="K14" s="8"/>
      <c r="L14" s="8"/>
      <c r="M14" s="8" t="str">
        <f t="shared" si="1"/>
        <v/>
      </c>
      <c r="N14" s="8"/>
      <c r="O14" s="8"/>
    </row>
    <row r="15" spans="1:15">
      <c r="A15" s="8"/>
      <c r="B15" s="8"/>
      <c r="C15" s="8"/>
      <c r="D15" s="8"/>
      <c r="E15" s="8"/>
      <c r="F15" s="8"/>
      <c r="G15" s="8"/>
      <c r="H15" s="8"/>
      <c r="I15" s="8" t="str">
        <f t="shared" si="0"/>
        <v/>
      </c>
      <c r="J15" s="8"/>
      <c r="K15" s="8"/>
      <c r="L15" s="8"/>
      <c r="M15" s="8" t="str">
        <f t="shared" si="1"/>
        <v/>
      </c>
      <c r="N15" s="8"/>
      <c r="O15" s="8"/>
    </row>
    <row r="16" spans="1:15">
      <c r="A16" s="8"/>
      <c r="B16" s="8"/>
      <c r="C16" s="8"/>
      <c r="D16" s="8"/>
      <c r="E16" s="8"/>
      <c r="F16" s="8"/>
      <c r="G16" s="8"/>
      <c r="H16" s="8"/>
      <c r="I16" s="8" t="str">
        <f t="shared" si="0"/>
        <v/>
      </c>
      <c r="J16" s="8"/>
      <c r="K16" s="8"/>
      <c r="L16" s="8"/>
      <c r="M16" s="8" t="str">
        <f t="shared" si="1"/>
        <v/>
      </c>
      <c r="N16" s="8"/>
      <c r="O16" s="8"/>
    </row>
    <row r="17" spans="1:15">
      <c r="A17" s="8"/>
      <c r="B17" s="8"/>
      <c r="C17" s="8"/>
      <c r="D17" s="8"/>
      <c r="E17" s="8"/>
      <c r="F17" s="8"/>
      <c r="G17" s="8"/>
      <c r="H17" s="8"/>
      <c r="I17" s="8" t="str">
        <f t="shared" si="0"/>
        <v/>
      </c>
      <c r="J17" s="8"/>
      <c r="K17" s="8"/>
      <c r="L17" s="8"/>
      <c r="M17" s="8" t="str">
        <f t="shared" si="1"/>
        <v/>
      </c>
      <c r="N17" s="8"/>
      <c r="O17" s="8"/>
    </row>
    <row r="18" spans="1:15">
      <c r="A18" s="8"/>
      <c r="B18" s="8"/>
      <c r="C18" s="8"/>
      <c r="D18" s="8"/>
      <c r="E18" s="8"/>
      <c r="F18" s="8"/>
      <c r="G18" s="8"/>
      <c r="H18" s="8"/>
      <c r="I18" s="8" t="str">
        <f t="shared" si="0"/>
        <v/>
      </c>
      <c r="J18" s="8"/>
      <c r="K18" s="8"/>
      <c r="L18" s="8"/>
      <c r="M18" s="8" t="str">
        <f t="shared" si="1"/>
        <v/>
      </c>
      <c r="N18" s="8"/>
      <c r="O18" s="8"/>
    </row>
    <row r="19" spans="1:15">
      <c r="A19" s="8"/>
      <c r="B19" s="8"/>
      <c r="C19" s="8"/>
      <c r="D19" s="8"/>
      <c r="E19" s="8"/>
      <c r="F19" s="8"/>
      <c r="G19" s="8"/>
      <c r="H19" s="8"/>
      <c r="I19" s="8" t="str">
        <f t="shared" si="0"/>
        <v/>
      </c>
      <c r="J19" s="8"/>
      <c r="K19" s="8"/>
      <c r="L19" s="8"/>
      <c r="M19" s="8" t="str">
        <f t="shared" si="1"/>
        <v/>
      </c>
      <c r="N19" s="8"/>
      <c r="O19" s="8"/>
    </row>
    <row r="20" spans="1:15">
      <c r="A20" s="8"/>
      <c r="B20" s="8"/>
      <c r="C20" s="8"/>
      <c r="D20" s="8"/>
      <c r="E20" s="8"/>
      <c r="F20" s="8"/>
      <c r="G20" s="8"/>
      <c r="H20" s="8"/>
      <c r="I20" s="8" t="str">
        <f t="shared" si="0"/>
        <v/>
      </c>
      <c r="J20" s="8"/>
      <c r="K20" s="8"/>
      <c r="L20" s="8"/>
      <c r="M20" s="8" t="str">
        <f t="shared" si="1"/>
        <v/>
      </c>
      <c r="N20" s="8"/>
      <c r="O20" s="8"/>
    </row>
    <row r="21" spans="1:15">
      <c r="A21" s="8"/>
      <c r="B21" s="8"/>
      <c r="C21" s="8"/>
      <c r="D21" s="8"/>
      <c r="E21" s="8"/>
      <c r="F21" s="8"/>
      <c r="G21" s="8"/>
      <c r="H21" s="8"/>
      <c r="I21" s="8" t="str">
        <f t="shared" si="0"/>
        <v/>
      </c>
      <c r="J21" s="8"/>
      <c r="K21" s="8"/>
      <c r="L21" s="8"/>
      <c r="M21" s="8" t="str">
        <f t="shared" si="1"/>
        <v/>
      </c>
      <c r="N21" s="8"/>
      <c r="O21" s="8"/>
    </row>
    <row r="22" spans="1:15">
      <c r="A22" s="8"/>
      <c r="B22" s="8"/>
      <c r="C22" s="8"/>
      <c r="D22" s="8"/>
      <c r="E22" s="8"/>
      <c r="F22" s="8"/>
      <c r="G22" s="8"/>
      <c r="H22" s="8"/>
      <c r="I22" s="8" t="str">
        <f t="shared" si="0"/>
        <v/>
      </c>
      <c r="J22" s="8"/>
      <c r="K22" s="8"/>
      <c r="L22" s="8"/>
      <c r="M22" s="8" t="str">
        <f t="shared" si="1"/>
        <v/>
      </c>
      <c r="N22" s="8"/>
      <c r="O22" s="8"/>
    </row>
    <row r="23" spans="1:15">
      <c r="A23" s="8"/>
      <c r="B23" s="8"/>
      <c r="C23" s="8"/>
      <c r="D23" s="8"/>
      <c r="E23" s="8"/>
      <c r="F23" s="8"/>
      <c r="G23" s="8"/>
      <c r="H23" s="8"/>
      <c r="I23" s="8" t="str">
        <f t="shared" si="0"/>
        <v/>
      </c>
      <c r="J23" s="8"/>
      <c r="K23" s="8"/>
      <c r="L23" s="8"/>
      <c r="M23" s="8" t="str">
        <f t="shared" si="1"/>
        <v/>
      </c>
      <c r="N23" s="8"/>
      <c r="O23" s="8"/>
    </row>
    <row r="24" spans="1:15">
      <c r="A24" s="8"/>
      <c r="B24" s="8"/>
      <c r="C24" s="8"/>
      <c r="D24" s="8"/>
      <c r="E24" s="8"/>
      <c r="F24" s="8"/>
      <c r="G24" s="8"/>
      <c r="H24" s="8"/>
      <c r="I24" s="8" t="str">
        <f t="shared" si="0"/>
        <v/>
      </c>
      <c r="J24" s="8"/>
      <c r="K24" s="8"/>
      <c r="L24" s="8"/>
      <c r="M24" s="8" t="str">
        <f t="shared" si="1"/>
        <v/>
      </c>
      <c r="N24" s="8"/>
      <c r="O24" s="8"/>
    </row>
    <row r="25" spans="1:15">
      <c r="A25" s="8"/>
      <c r="B25" s="8"/>
      <c r="C25" s="8"/>
      <c r="D25" s="8"/>
      <c r="E25" s="8"/>
      <c r="F25" s="8"/>
      <c r="G25" s="8"/>
      <c r="H25" s="8"/>
      <c r="I25" s="8" t="str">
        <f t="shared" si="0"/>
        <v/>
      </c>
      <c r="J25" s="8"/>
      <c r="K25" s="8"/>
      <c r="L25" s="8"/>
      <c r="M25" s="8" t="str">
        <f t="shared" si="1"/>
        <v/>
      </c>
      <c r="N25" s="8"/>
      <c r="O25" s="8"/>
    </row>
    <row r="26" spans="1:15">
      <c r="A26" s="8"/>
      <c r="B26" s="8"/>
      <c r="C26" s="8"/>
      <c r="D26" s="8"/>
      <c r="E26" s="8"/>
      <c r="F26" s="8"/>
      <c r="G26" s="8"/>
      <c r="H26" s="8"/>
      <c r="I26" s="8" t="str">
        <f t="shared" si="0"/>
        <v/>
      </c>
      <c r="J26" s="8"/>
      <c r="K26" s="8"/>
      <c r="L26" s="8"/>
      <c r="M26" s="8" t="str">
        <f t="shared" si="1"/>
        <v/>
      </c>
      <c r="N26" s="8"/>
      <c r="O26" s="8"/>
    </row>
    <row r="27" spans="1:15">
      <c r="A27" s="8"/>
      <c r="B27" s="8"/>
      <c r="C27" s="8"/>
      <c r="D27" s="8"/>
      <c r="E27" s="8"/>
      <c r="F27" s="8"/>
      <c r="G27" s="8"/>
      <c r="H27" s="8"/>
      <c r="I27" s="8" t="str">
        <f t="shared" si="0"/>
        <v/>
      </c>
      <c r="J27" s="8"/>
      <c r="K27" s="8"/>
      <c r="L27" s="8"/>
      <c r="M27" s="8" t="str">
        <f t="shared" si="1"/>
        <v/>
      </c>
      <c r="N27" s="8"/>
      <c r="O27" s="8"/>
    </row>
    <row r="28" spans="1:15">
      <c r="A28" s="8"/>
      <c r="B28" s="8"/>
      <c r="C28" s="8"/>
      <c r="D28" s="8"/>
      <c r="E28" s="8"/>
      <c r="F28" s="8"/>
      <c r="G28" s="8"/>
      <c r="H28" s="8"/>
      <c r="I28" s="8" t="str">
        <f t="shared" si="0"/>
        <v/>
      </c>
      <c r="J28" s="8"/>
      <c r="K28" s="8"/>
      <c r="L28" s="8"/>
      <c r="M28" s="8" t="str">
        <f t="shared" si="1"/>
        <v/>
      </c>
      <c r="N28" s="8"/>
      <c r="O28" s="8"/>
    </row>
    <row r="29" spans="1:15">
      <c r="A29" s="8"/>
      <c r="B29" s="8"/>
      <c r="C29" s="8"/>
      <c r="D29" s="8"/>
      <c r="E29" s="8"/>
      <c r="F29" s="8"/>
      <c r="G29" s="8"/>
      <c r="H29" s="8"/>
      <c r="I29" s="8" t="str">
        <f t="shared" si="0"/>
        <v/>
      </c>
      <c r="J29" s="8"/>
      <c r="K29" s="8"/>
      <c r="L29" s="8"/>
      <c r="M29" s="8" t="str">
        <f t="shared" si="1"/>
        <v/>
      </c>
      <c r="N29" s="8"/>
      <c r="O29" s="8"/>
    </row>
    <row r="30" spans="1:15">
      <c r="A30" s="8"/>
      <c r="B30" s="8"/>
      <c r="C30" s="8"/>
      <c r="D30" s="8"/>
      <c r="E30" s="8"/>
      <c r="F30" s="8"/>
      <c r="G30" s="8"/>
      <c r="H30" s="8"/>
      <c r="I30" s="8" t="str">
        <f t="shared" si="0"/>
        <v/>
      </c>
      <c r="J30" s="8"/>
      <c r="K30" s="8"/>
      <c r="L30" s="8"/>
      <c r="M30" s="8" t="str">
        <f t="shared" si="1"/>
        <v/>
      </c>
      <c r="N30" s="8"/>
      <c r="O30" s="8"/>
    </row>
    <row r="31" spans="1:15">
      <c r="A31" s="8"/>
      <c r="B31" s="8"/>
      <c r="C31" s="8"/>
      <c r="D31" s="8"/>
      <c r="E31" s="8"/>
      <c r="F31" s="8"/>
      <c r="G31" s="8"/>
      <c r="H31" s="8"/>
      <c r="I31" s="8" t="str">
        <f t="shared" si="0"/>
        <v/>
      </c>
      <c r="J31" s="8"/>
      <c r="K31" s="8"/>
      <c r="L31" s="8"/>
      <c r="M31" s="8" t="str">
        <f t="shared" si="1"/>
        <v/>
      </c>
      <c r="N31" s="8"/>
      <c r="O31" s="8"/>
    </row>
    <row r="32" spans="1:15">
      <c r="A32" s="8"/>
      <c r="B32" s="8"/>
      <c r="C32" s="8"/>
      <c r="D32" s="8"/>
      <c r="E32" s="8"/>
      <c r="F32" s="8"/>
      <c r="G32" s="8"/>
      <c r="H32" s="8"/>
      <c r="I32" s="8" t="str">
        <f t="shared" si="0"/>
        <v/>
      </c>
      <c r="J32" s="8"/>
      <c r="K32" s="8"/>
      <c r="L32" s="8"/>
      <c r="M32" s="8" t="str">
        <f t="shared" si="1"/>
        <v/>
      </c>
      <c r="N32" s="8"/>
      <c r="O32" s="8"/>
    </row>
    <row r="33" spans="1:15">
      <c r="A33" s="8"/>
      <c r="B33" s="8"/>
      <c r="C33" s="8"/>
      <c r="D33" s="8"/>
      <c r="E33" s="8"/>
      <c r="F33" s="8"/>
      <c r="G33" s="8"/>
      <c r="H33" s="8"/>
      <c r="I33" s="8" t="str">
        <f t="shared" si="0"/>
        <v/>
      </c>
      <c r="J33" s="8"/>
      <c r="K33" s="8"/>
      <c r="L33" s="8"/>
      <c r="M33" s="8" t="str">
        <f t="shared" si="1"/>
        <v/>
      </c>
      <c r="N33" s="8"/>
      <c r="O33" s="8"/>
    </row>
    <row r="34" spans="1:15">
      <c r="A34" s="8"/>
      <c r="B34" s="8"/>
      <c r="C34" s="8"/>
      <c r="D34" s="8"/>
      <c r="E34" s="8"/>
      <c r="F34" s="8"/>
      <c r="G34" s="8"/>
      <c r="H34" s="8"/>
      <c r="I34" s="8" t="str">
        <f t="shared" si="0"/>
        <v/>
      </c>
      <c r="J34" s="8"/>
      <c r="K34" s="8"/>
      <c r="L34" s="8"/>
      <c r="M34" s="8" t="str">
        <f t="shared" si="1"/>
        <v/>
      </c>
      <c r="N34" s="8"/>
      <c r="O34" s="8"/>
    </row>
    <row r="35" spans="1:15">
      <c r="A35" s="8"/>
      <c r="B35" s="8"/>
      <c r="C35" s="8"/>
      <c r="D35" s="8"/>
      <c r="E35" s="8"/>
      <c r="F35" s="8"/>
      <c r="G35" s="8"/>
      <c r="H35" s="8"/>
      <c r="I35" s="8" t="str">
        <f t="shared" si="0"/>
        <v/>
      </c>
      <c r="J35" s="8"/>
      <c r="K35" s="8"/>
      <c r="L35" s="8"/>
      <c r="M35" s="8" t="str">
        <f t="shared" si="1"/>
        <v/>
      </c>
      <c r="N35" s="8"/>
      <c r="O35" s="8"/>
    </row>
    <row r="36" spans="1:15">
      <c r="A36" s="8"/>
      <c r="B36" s="8"/>
      <c r="C36" s="8"/>
      <c r="D36" s="8"/>
      <c r="E36" s="8"/>
      <c r="F36" s="8"/>
      <c r="G36" s="8"/>
      <c r="H36" s="8"/>
      <c r="I36" s="8" t="str">
        <f t="shared" si="0"/>
        <v/>
      </c>
      <c r="J36" s="8"/>
      <c r="K36" s="8"/>
      <c r="L36" s="8"/>
      <c r="M36" s="8" t="str">
        <f t="shared" si="1"/>
        <v/>
      </c>
      <c r="N36" s="8"/>
      <c r="O36" s="8"/>
    </row>
    <row r="37" spans="1:15">
      <c r="A37" s="8"/>
      <c r="B37" s="8"/>
      <c r="C37" s="8"/>
      <c r="D37" s="8"/>
      <c r="E37" s="8"/>
      <c r="F37" s="8"/>
      <c r="G37" s="8"/>
      <c r="H37" s="8"/>
      <c r="I37" s="8" t="str">
        <f t="shared" si="0"/>
        <v/>
      </c>
      <c r="J37" s="8"/>
      <c r="K37" s="8"/>
      <c r="L37" s="8"/>
      <c r="M37" s="8" t="str">
        <f t="shared" si="1"/>
        <v/>
      </c>
      <c r="N37" s="8"/>
      <c r="O37" s="8"/>
    </row>
    <row r="38" spans="1:15">
      <c r="A38" s="8"/>
      <c r="B38" s="8"/>
      <c r="C38" s="8"/>
      <c r="D38" s="8"/>
      <c r="E38" s="8"/>
      <c r="F38" s="8"/>
      <c r="G38" s="8"/>
      <c r="H38" s="8"/>
      <c r="I38" s="8" t="str">
        <f t="shared" si="0"/>
        <v/>
      </c>
      <c r="J38" s="8"/>
      <c r="K38" s="8"/>
      <c r="L38" s="8"/>
      <c r="M38" s="8" t="str">
        <f t="shared" si="1"/>
        <v/>
      </c>
      <c r="N38" s="8"/>
      <c r="O38" s="8"/>
    </row>
    <row r="39" spans="1:15">
      <c r="A39" s="8"/>
      <c r="B39" s="8"/>
      <c r="C39" s="8"/>
      <c r="D39" s="8"/>
      <c r="E39" s="8"/>
      <c r="F39" s="8"/>
      <c r="G39" s="8"/>
      <c r="H39" s="8"/>
      <c r="I39" s="8" t="str">
        <f t="shared" si="0"/>
        <v/>
      </c>
      <c r="J39" s="8"/>
      <c r="K39" s="8"/>
      <c r="L39" s="8"/>
      <c r="M39" s="8" t="str">
        <f t="shared" si="1"/>
        <v/>
      </c>
      <c r="N39" s="8"/>
      <c r="O39" s="8"/>
    </row>
    <row r="40" spans="1:15">
      <c r="A40" s="8"/>
      <c r="B40" s="8"/>
      <c r="C40" s="8"/>
      <c r="D40" s="8"/>
      <c r="E40" s="8"/>
      <c r="F40" s="8"/>
      <c r="G40" s="8"/>
      <c r="H40" s="8"/>
      <c r="I40" s="8" t="str">
        <f t="shared" si="0"/>
        <v/>
      </c>
      <c r="J40" s="8"/>
      <c r="K40" s="8"/>
      <c r="L40" s="8"/>
      <c r="M40" s="8" t="str">
        <f t="shared" si="1"/>
        <v/>
      </c>
      <c r="N40" s="8"/>
      <c r="O40" s="8"/>
    </row>
    <row r="41" spans="1:15">
      <c r="A41" s="8"/>
      <c r="B41" s="8"/>
      <c r="C41" s="8"/>
      <c r="D41" s="8"/>
      <c r="E41" s="8"/>
      <c r="F41" s="8"/>
      <c r="G41" s="8"/>
      <c r="H41" s="8"/>
      <c r="I41" s="8" t="str">
        <f t="shared" si="0"/>
        <v/>
      </c>
      <c r="J41" s="8"/>
      <c r="K41" s="8"/>
      <c r="L41" s="8"/>
      <c r="M41" s="8" t="str">
        <f t="shared" si="1"/>
        <v/>
      </c>
      <c r="N41" s="8"/>
      <c r="O41" s="8"/>
    </row>
    <row r="42" spans="1:15">
      <c r="A42" s="8"/>
      <c r="B42" s="8"/>
      <c r="C42" s="8"/>
      <c r="D42" s="8"/>
      <c r="E42" s="8"/>
      <c r="F42" s="8"/>
      <c r="G42" s="8"/>
      <c r="H42" s="8"/>
      <c r="I42" s="8" t="str">
        <f t="shared" si="0"/>
        <v/>
      </c>
      <c r="J42" s="8"/>
      <c r="K42" s="8"/>
      <c r="L42" s="8"/>
      <c r="M42" s="8" t="str">
        <f t="shared" si="1"/>
        <v/>
      </c>
      <c r="N42" s="8"/>
      <c r="O42" s="8"/>
    </row>
    <row r="43" spans="1:15">
      <c r="A43" s="8"/>
      <c r="B43" s="8"/>
      <c r="C43" s="8"/>
      <c r="D43" s="8"/>
      <c r="E43" s="8"/>
      <c r="F43" s="8"/>
      <c r="G43" s="8"/>
      <c r="H43" s="8"/>
      <c r="I43" s="8" t="str">
        <f t="shared" si="0"/>
        <v/>
      </c>
      <c r="J43" s="8"/>
      <c r="K43" s="8"/>
      <c r="L43" s="8"/>
      <c r="M43" s="8" t="str">
        <f t="shared" si="1"/>
        <v/>
      </c>
      <c r="N43" s="8"/>
      <c r="O43" s="8"/>
    </row>
    <row r="44" spans="1:15">
      <c r="A44" s="8"/>
      <c r="B44" s="8"/>
      <c r="C44" s="8"/>
      <c r="D44" s="8"/>
      <c r="E44" s="8"/>
      <c r="F44" s="8"/>
      <c r="G44" s="8"/>
      <c r="H44" s="8"/>
      <c r="I44" s="8" t="str">
        <f t="shared" si="0"/>
        <v/>
      </c>
      <c r="J44" s="8"/>
      <c r="K44" s="8"/>
      <c r="L44" s="8"/>
      <c r="M44" s="8" t="str">
        <f t="shared" si="1"/>
        <v/>
      </c>
      <c r="N44" s="8"/>
      <c r="O44" s="8"/>
    </row>
    <row r="45" spans="1:15">
      <c r="A45" s="8"/>
      <c r="B45" s="8"/>
      <c r="C45" s="8"/>
      <c r="D45" s="8"/>
      <c r="E45" s="8"/>
      <c r="F45" s="8"/>
      <c r="G45" s="8"/>
      <c r="H45" s="8"/>
      <c r="I45" s="8" t="str">
        <f t="shared" si="0"/>
        <v/>
      </c>
      <c r="J45" s="8"/>
      <c r="K45" s="8"/>
      <c r="L45" s="8"/>
      <c r="M45" s="8" t="str">
        <f t="shared" si="1"/>
        <v/>
      </c>
      <c r="N45" s="8"/>
      <c r="O45" s="8"/>
    </row>
    <row r="46" spans="1:15">
      <c r="A46" s="8"/>
      <c r="B46" s="8"/>
      <c r="C46" s="8"/>
      <c r="D46" s="8"/>
      <c r="E46" s="8"/>
      <c r="F46" s="8"/>
      <c r="G46" s="8"/>
      <c r="H46" s="8"/>
      <c r="I46" s="8" t="str">
        <f t="shared" si="0"/>
        <v/>
      </c>
      <c r="J46" s="8"/>
      <c r="K46" s="8"/>
      <c r="L46" s="8"/>
      <c r="M46" s="8" t="str">
        <f t="shared" si="1"/>
        <v/>
      </c>
      <c r="N46" s="8"/>
      <c r="O46" s="8"/>
    </row>
    <row r="47" spans="1:15">
      <c r="A47" s="8"/>
      <c r="B47" s="8"/>
      <c r="C47" s="8"/>
      <c r="D47" s="8"/>
      <c r="E47" s="8"/>
      <c r="F47" s="8"/>
      <c r="G47" s="8"/>
      <c r="H47" s="8"/>
      <c r="I47" s="8" t="str">
        <f t="shared" si="0"/>
        <v/>
      </c>
      <c r="J47" s="8"/>
      <c r="K47" s="8"/>
      <c r="L47" s="8"/>
      <c r="M47" s="8" t="str">
        <f t="shared" si="1"/>
        <v/>
      </c>
      <c r="N47" s="8"/>
      <c r="O47" s="8"/>
    </row>
    <row r="48" spans="1:15">
      <c r="A48" s="8"/>
      <c r="B48" s="8"/>
      <c r="C48" s="8"/>
      <c r="D48" s="8"/>
      <c r="E48" s="8"/>
      <c r="F48" s="8"/>
      <c r="G48" s="8"/>
      <c r="H48" s="8"/>
      <c r="I48" s="8" t="str">
        <f t="shared" si="0"/>
        <v/>
      </c>
      <c r="J48" s="8"/>
      <c r="K48" s="8"/>
      <c r="L48" s="8"/>
      <c r="M48" s="8" t="str">
        <f t="shared" si="1"/>
        <v/>
      </c>
      <c r="N48" s="8"/>
      <c r="O48" s="8"/>
    </row>
    <row r="49" spans="1:15">
      <c r="A49" s="8"/>
      <c r="B49" s="8"/>
      <c r="C49" s="8"/>
      <c r="D49" s="8"/>
      <c r="E49" s="8"/>
      <c r="F49" s="8"/>
      <c r="G49" s="8"/>
      <c r="H49" s="8"/>
      <c r="I49" s="8" t="str">
        <f t="shared" si="0"/>
        <v/>
      </c>
      <c r="J49" s="8"/>
      <c r="K49" s="8"/>
      <c r="L49" s="8"/>
      <c r="M49" s="8" t="str">
        <f t="shared" si="1"/>
        <v/>
      </c>
      <c r="N49" s="8"/>
      <c r="O49" s="8"/>
    </row>
    <row r="50" spans="1:15">
      <c r="A50" s="8"/>
      <c r="B50" s="8"/>
      <c r="C50" s="8"/>
      <c r="D50" s="8"/>
      <c r="E50" s="8"/>
      <c r="F50" s="8"/>
      <c r="G50" s="8"/>
      <c r="H50" s="8"/>
      <c r="I50" s="8" t="str">
        <f t="shared" si="0"/>
        <v/>
      </c>
      <c r="J50" s="8"/>
      <c r="K50" s="8"/>
      <c r="L50" s="8"/>
      <c r="M50" s="8" t="str">
        <f t="shared" si="1"/>
        <v/>
      </c>
      <c r="N50" s="8"/>
      <c r="O50" s="8"/>
    </row>
    <row r="51" spans="1:15">
      <c r="A51" s="8"/>
      <c r="B51" s="8"/>
      <c r="C51" s="8"/>
      <c r="D51" s="8"/>
      <c r="E51" s="8"/>
      <c r="F51" s="8"/>
      <c r="G51" s="8"/>
      <c r="H51" s="8"/>
      <c r="I51" s="8" t="str">
        <f t="shared" si="0"/>
        <v/>
      </c>
      <c r="J51" s="8"/>
      <c r="K51" s="8"/>
      <c r="L51" s="8"/>
      <c r="M51" s="8" t="str">
        <f t="shared" si="1"/>
        <v/>
      </c>
      <c r="N51" s="8"/>
      <c r="O51" s="8"/>
    </row>
    <row r="52" spans="1:15">
      <c r="A52" s="8"/>
      <c r="B52" s="8"/>
      <c r="C52" s="8"/>
      <c r="D52" s="8"/>
      <c r="E52" s="8"/>
      <c r="F52" s="8"/>
      <c r="G52" s="8"/>
      <c r="H52" s="8"/>
      <c r="I52" s="8" t="str">
        <f t="shared" si="0"/>
        <v/>
      </c>
      <c r="J52" s="8"/>
      <c r="K52" s="8"/>
      <c r="L52" s="8"/>
      <c r="M52" s="8" t="str">
        <f t="shared" si="1"/>
        <v/>
      </c>
      <c r="N52" s="8"/>
      <c r="O52" s="8"/>
    </row>
    <row r="53" spans="1:15">
      <c r="A53" s="8"/>
      <c r="B53" s="8"/>
      <c r="C53" s="8"/>
      <c r="D53" s="8"/>
      <c r="E53" s="8"/>
      <c r="F53" s="8"/>
      <c r="G53" s="8"/>
      <c r="H53" s="8"/>
      <c r="I53" s="8" t="str">
        <f t="shared" si="0"/>
        <v/>
      </c>
      <c r="J53" s="8"/>
      <c r="K53" s="8"/>
      <c r="L53" s="8"/>
      <c r="M53" s="8" t="str">
        <f t="shared" si="1"/>
        <v/>
      </c>
      <c r="N53" s="8"/>
      <c r="O53" s="8"/>
    </row>
    <row r="54" spans="1:15">
      <c r="A54" s="8"/>
      <c r="B54" s="8"/>
      <c r="C54" s="8"/>
      <c r="D54" s="8"/>
      <c r="E54" s="8"/>
      <c r="F54" s="8"/>
      <c r="G54" s="8"/>
      <c r="H54" s="8"/>
      <c r="I54" s="8" t="str">
        <f t="shared" si="0"/>
        <v/>
      </c>
      <c r="J54" s="8"/>
      <c r="K54" s="8"/>
      <c r="L54" s="8"/>
      <c r="M54" s="8" t="str">
        <f t="shared" si="1"/>
        <v/>
      </c>
      <c r="N54" s="8"/>
      <c r="O54" s="8"/>
    </row>
    <row r="55" spans="1:15">
      <c r="A55" s="8"/>
      <c r="B55" s="8"/>
      <c r="C55" s="8"/>
      <c r="D55" s="8"/>
      <c r="E55" s="8"/>
      <c r="F55" s="8"/>
      <c r="G55" s="8"/>
      <c r="H55" s="8"/>
      <c r="I55" s="8" t="str">
        <f t="shared" si="0"/>
        <v/>
      </c>
      <c r="J55" s="8"/>
      <c r="K55" s="8"/>
      <c r="L55" s="8"/>
      <c r="M55" s="8" t="str">
        <f t="shared" si="1"/>
        <v/>
      </c>
      <c r="N55" s="8"/>
      <c r="O55" s="8"/>
    </row>
    <row r="56" spans="1:15">
      <c r="A56" s="8"/>
      <c r="B56" s="8"/>
      <c r="C56" s="8"/>
      <c r="D56" s="8"/>
      <c r="E56" s="8"/>
      <c r="F56" s="8"/>
      <c r="G56" s="8"/>
      <c r="H56" s="8"/>
      <c r="I56" s="8" t="str">
        <f t="shared" si="0"/>
        <v/>
      </c>
      <c r="J56" s="8"/>
      <c r="K56" s="8"/>
      <c r="L56" s="8"/>
      <c r="M56" s="8" t="str">
        <f t="shared" si="1"/>
        <v/>
      </c>
      <c r="N56" s="8"/>
      <c r="O56" s="8"/>
    </row>
    <row r="57" spans="1:15">
      <c r="A57" s="8"/>
      <c r="B57" s="8"/>
      <c r="C57" s="8"/>
      <c r="D57" s="8"/>
      <c r="E57" s="8"/>
      <c r="F57" s="8"/>
      <c r="G57" s="8"/>
      <c r="H57" s="8"/>
      <c r="I57" s="8" t="str">
        <f t="shared" si="0"/>
        <v/>
      </c>
      <c r="J57" s="8"/>
      <c r="K57" s="8"/>
      <c r="L57" s="8"/>
      <c r="M57" s="8" t="str">
        <f t="shared" si="1"/>
        <v/>
      </c>
      <c r="N57" s="8"/>
      <c r="O57" s="8"/>
    </row>
    <row r="58" spans="1:15">
      <c r="A58" s="8"/>
      <c r="B58" s="8"/>
      <c r="C58" s="8"/>
      <c r="D58" s="8"/>
      <c r="E58" s="8"/>
      <c r="F58" s="8"/>
      <c r="G58" s="8"/>
      <c r="H58" s="8"/>
      <c r="I58" s="8" t="str">
        <f t="shared" si="0"/>
        <v/>
      </c>
      <c r="J58" s="8"/>
      <c r="K58" s="8"/>
      <c r="L58" s="8"/>
      <c r="M58" s="8" t="str">
        <f t="shared" si="1"/>
        <v/>
      </c>
      <c r="N58" s="8"/>
      <c r="O58" s="8"/>
    </row>
    <row r="59" spans="1:15">
      <c r="A59" s="8"/>
      <c r="B59" s="8"/>
      <c r="C59" s="8"/>
      <c r="D59" s="8"/>
      <c r="E59" s="8"/>
      <c r="F59" s="8"/>
      <c r="G59" s="8"/>
      <c r="H59" s="8"/>
      <c r="I59" s="8" t="str">
        <f t="shared" si="0"/>
        <v/>
      </c>
      <c r="J59" s="8"/>
      <c r="K59" s="8"/>
      <c r="L59" s="8"/>
      <c r="M59" s="8" t="str">
        <f t="shared" si="1"/>
        <v/>
      </c>
      <c r="N59" s="8"/>
      <c r="O59" s="8"/>
    </row>
    <row r="60" spans="1:15">
      <c r="A60" s="8"/>
      <c r="B60" s="8"/>
      <c r="C60" s="8"/>
      <c r="D60" s="8"/>
      <c r="E60" s="8"/>
      <c r="F60" s="8"/>
      <c r="G60" s="8"/>
      <c r="H60" s="8"/>
      <c r="I60" s="8" t="str">
        <f t="shared" si="0"/>
        <v/>
      </c>
      <c r="J60" s="8"/>
      <c r="K60" s="8"/>
      <c r="L60" s="8"/>
      <c r="M60" s="8" t="str">
        <f t="shared" si="1"/>
        <v/>
      </c>
      <c r="N60" s="8"/>
      <c r="O60" s="8"/>
    </row>
    <row r="61" spans="1:15">
      <c r="A61" s="8"/>
      <c r="B61" s="8"/>
      <c r="C61" s="8"/>
      <c r="D61" s="8"/>
      <c r="E61" s="8"/>
      <c r="F61" s="8"/>
      <c r="G61" s="8"/>
      <c r="H61" s="8"/>
      <c r="I61" s="8" t="str">
        <f t="shared" si="0"/>
        <v/>
      </c>
      <c r="J61" s="8"/>
      <c r="K61" s="8"/>
      <c r="L61" s="8"/>
      <c r="M61" s="8" t="str">
        <f t="shared" si="1"/>
        <v/>
      </c>
      <c r="N61" s="8"/>
      <c r="O61" s="8"/>
    </row>
    <row r="62" spans="1:15">
      <c r="A62" s="8"/>
      <c r="B62" s="8"/>
      <c r="C62" s="8"/>
      <c r="D62" s="8"/>
      <c r="E62" s="8"/>
      <c r="F62" s="8"/>
      <c r="G62" s="8"/>
      <c r="H62" s="8"/>
      <c r="I62" s="8" t="str">
        <f t="shared" si="0"/>
        <v/>
      </c>
      <c r="J62" s="8"/>
      <c r="K62" s="8"/>
      <c r="L62" s="8"/>
      <c r="M62" s="8" t="str">
        <f t="shared" si="1"/>
        <v/>
      </c>
      <c r="N62" s="8"/>
      <c r="O62" s="8"/>
    </row>
    <row r="63" spans="1:15">
      <c r="A63" s="8"/>
      <c r="B63" s="8"/>
      <c r="C63" s="8"/>
      <c r="D63" s="8"/>
      <c r="E63" s="8"/>
      <c r="F63" s="8"/>
      <c r="G63" s="8"/>
      <c r="H63" s="8"/>
      <c r="I63" s="8" t="str">
        <f t="shared" si="0"/>
        <v/>
      </c>
      <c r="J63" s="8"/>
      <c r="K63" s="8"/>
      <c r="L63" s="8"/>
      <c r="M63" s="8" t="str">
        <f t="shared" si="1"/>
        <v/>
      </c>
      <c r="N63" s="8"/>
      <c r="O63" s="8"/>
    </row>
    <row r="64" spans="1:15">
      <c r="A64" s="8"/>
      <c r="B64" s="8"/>
      <c r="C64" s="8"/>
      <c r="D64" s="8"/>
      <c r="E64" s="8"/>
      <c r="F64" s="8"/>
      <c r="G64" s="8"/>
      <c r="H64" s="8"/>
      <c r="I64" s="8" t="str">
        <f t="shared" si="0"/>
        <v/>
      </c>
      <c r="J64" s="8"/>
      <c r="K64" s="8"/>
      <c r="L64" s="8"/>
      <c r="M64" s="8" t="str">
        <f t="shared" si="1"/>
        <v/>
      </c>
      <c r="N64" s="8"/>
      <c r="O64" s="8"/>
    </row>
    <row r="65" spans="1:15">
      <c r="A65" s="8"/>
      <c r="B65" s="8"/>
      <c r="C65" s="8"/>
      <c r="D65" s="8"/>
      <c r="E65" s="8"/>
      <c r="F65" s="8"/>
      <c r="G65" s="8"/>
      <c r="H65" s="8"/>
      <c r="I65" s="8" t="str">
        <f t="shared" si="0"/>
        <v/>
      </c>
      <c r="J65" s="8"/>
      <c r="K65" s="8"/>
      <c r="L65" s="8"/>
      <c r="M65" s="8" t="str">
        <f t="shared" si="1"/>
        <v/>
      </c>
      <c r="N65" s="8"/>
      <c r="O65" s="8"/>
    </row>
    <row r="66" spans="1:15">
      <c r="A66" s="8"/>
      <c r="B66" s="8"/>
      <c r="C66" s="8"/>
      <c r="D66" s="8"/>
      <c r="E66" s="8"/>
      <c r="F66" s="8"/>
      <c r="G66" s="8"/>
      <c r="H66" s="8"/>
      <c r="I66" s="8" t="str">
        <f t="shared" ref="I66:I129" si="2">IF(AND(G66&lt;&gt;"", H66&lt;&gt;""), G66*H66, "")</f>
        <v/>
      </c>
      <c r="J66" s="8"/>
      <c r="K66" s="8"/>
      <c r="L66" s="8"/>
      <c r="M66" s="8" t="str">
        <f t="shared" ref="M66:M129" si="3">IF(AND(K66&lt;&gt;"", L66&lt;&gt;""), K66*L66, "")</f>
        <v/>
      </c>
      <c r="N66" s="8"/>
      <c r="O66" s="8"/>
    </row>
    <row r="67" spans="1:15">
      <c r="A67" s="8"/>
      <c r="B67" s="8"/>
      <c r="C67" s="8"/>
      <c r="D67" s="8"/>
      <c r="E67" s="8"/>
      <c r="F67" s="8"/>
      <c r="G67" s="8"/>
      <c r="H67" s="8"/>
      <c r="I67" s="8" t="str">
        <f t="shared" si="2"/>
        <v/>
      </c>
      <c r="J67" s="8"/>
      <c r="K67" s="8"/>
      <c r="L67" s="8"/>
      <c r="M67" s="8" t="str">
        <f t="shared" si="3"/>
        <v/>
      </c>
      <c r="N67" s="8"/>
      <c r="O67" s="8"/>
    </row>
    <row r="68" spans="1:15">
      <c r="A68" s="8"/>
      <c r="B68" s="8"/>
      <c r="C68" s="8"/>
      <c r="D68" s="8"/>
      <c r="E68" s="8"/>
      <c r="F68" s="8"/>
      <c r="G68" s="8"/>
      <c r="H68" s="8"/>
      <c r="I68" s="8" t="str">
        <f t="shared" si="2"/>
        <v/>
      </c>
      <c r="J68" s="8"/>
      <c r="K68" s="8"/>
      <c r="L68" s="8"/>
      <c r="M68" s="8" t="str">
        <f t="shared" si="3"/>
        <v/>
      </c>
      <c r="N68" s="8"/>
      <c r="O68" s="8"/>
    </row>
    <row r="69" spans="1:15">
      <c r="A69" s="8"/>
      <c r="B69" s="8"/>
      <c r="C69" s="8"/>
      <c r="D69" s="8"/>
      <c r="E69" s="8"/>
      <c r="F69" s="8"/>
      <c r="G69" s="8"/>
      <c r="H69" s="8"/>
      <c r="I69" s="8" t="str">
        <f t="shared" si="2"/>
        <v/>
      </c>
      <c r="J69" s="8"/>
      <c r="K69" s="8"/>
      <c r="L69" s="8"/>
      <c r="M69" s="8" t="str">
        <f t="shared" si="3"/>
        <v/>
      </c>
      <c r="N69" s="8"/>
      <c r="O69" s="8"/>
    </row>
    <row r="70" spans="1:15">
      <c r="A70" s="8"/>
      <c r="B70" s="8"/>
      <c r="C70" s="8"/>
      <c r="D70" s="8"/>
      <c r="E70" s="8"/>
      <c r="F70" s="8"/>
      <c r="G70" s="8"/>
      <c r="H70" s="8"/>
      <c r="I70" s="8" t="str">
        <f t="shared" si="2"/>
        <v/>
      </c>
      <c r="J70" s="8"/>
      <c r="K70" s="8"/>
      <c r="L70" s="8"/>
      <c r="M70" s="8" t="str">
        <f t="shared" si="3"/>
        <v/>
      </c>
      <c r="N70" s="8"/>
      <c r="O70" s="8"/>
    </row>
    <row r="71" spans="1:15">
      <c r="A71" s="8"/>
      <c r="B71" s="8"/>
      <c r="C71" s="8"/>
      <c r="D71" s="8"/>
      <c r="E71" s="8"/>
      <c r="F71" s="8"/>
      <c r="G71" s="8"/>
      <c r="H71" s="8"/>
      <c r="I71" s="8" t="str">
        <f t="shared" si="2"/>
        <v/>
      </c>
      <c r="J71" s="8"/>
      <c r="K71" s="8"/>
      <c r="L71" s="8"/>
      <c r="M71" s="8" t="str">
        <f t="shared" si="3"/>
        <v/>
      </c>
      <c r="N71" s="8"/>
      <c r="O71" s="8"/>
    </row>
    <row r="72" spans="1:15">
      <c r="A72" s="8"/>
      <c r="B72" s="8"/>
      <c r="C72" s="8"/>
      <c r="D72" s="8"/>
      <c r="E72" s="8"/>
      <c r="F72" s="8"/>
      <c r="G72" s="8"/>
      <c r="H72" s="8"/>
      <c r="I72" s="8" t="str">
        <f t="shared" si="2"/>
        <v/>
      </c>
      <c r="J72" s="8"/>
      <c r="K72" s="8"/>
      <c r="L72" s="8"/>
      <c r="M72" s="8" t="str">
        <f t="shared" si="3"/>
        <v/>
      </c>
      <c r="N72" s="8"/>
      <c r="O72" s="8"/>
    </row>
    <row r="73" spans="1:15">
      <c r="A73" s="8"/>
      <c r="B73" s="8"/>
      <c r="C73" s="8"/>
      <c r="D73" s="8"/>
      <c r="E73" s="8"/>
      <c r="F73" s="8"/>
      <c r="G73" s="8"/>
      <c r="H73" s="8"/>
      <c r="I73" s="8" t="str">
        <f t="shared" si="2"/>
        <v/>
      </c>
      <c r="J73" s="8"/>
      <c r="K73" s="8"/>
      <c r="L73" s="8"/>
      <c r="M73" s="8" t="str">
        <f t="shared" si="3"/>
        <v/>
      </c>
      <c r="N73" s="8"/>
      <c r="O73" s="8"/>
    </row>
    <row r="74" spans="1:15">
      <c r="A74" s="8"/>
      <c r="B74" s="8"/>
      <c r="C74" s="8"/>
      <c r="D74" s="8"/>
      <c r="E74" s="8"/>
      <c r="F74" s="8"/>
      <c r="G74" s="8"/>
      <c r="H74" s="8"/>
      <c r="I74" s="8" t="str">
        <f t="shared" si="2"/>
        <v/>
      </c>
      <c r="J74" s="8"/>
      <c r="K74" s="8"/>
      <c r="L74" s="8"/>
      <c r="M74" s="8" t="str">
        <f t="shared" si="3"/>
        <v/>
      </c>
      <c r="N74" s="8"/>
      <c r="O74" s="8"/>
    </row>
    <row r="75" spans="1:15">
      <c r="A75" s="8"/>
      <c r="B75" s="8"/>
      <c r="C75" s="8"/>
      <c r="D75" s="8"/>
      <c r="E75" s="8"/>
      <c r="F75" s="8"/>
      <c r="G75" s="8"/>
      <c r="H75" s="8"/>
      <c r="I75" s="8" t="str">
        <f t="shared" si="2"/>
        <v/>
      </c>
      <c r="J75" s="8"/>
      <c r="K75" s="8"/>
      <c r="L75" s="8"/>
      <c r="M75" s="8" t="str">
        <f t="shared" si="3"/>
        <v/>
      </c>
      <c r="N75" s="8"/>
      <c r="O75" s="8"/>
    </row>
    <row r="76" spans="1:15">
      <c r="A76" s="8"/>
      <c r="B76" s="8"/>
      <c r="C76" s="8"/>
      <c r="D76" s="8"/>
      <c r="E76" s="8"/>
      <c r="F76" s="8"/>
      <c r="G76" s="8"/>
      <c r="H76" s="8"/>
      <c r="I76" s="8" t="str">
        <f t="shared" si="2"/>
        <v/>
      </c>
      <c r="J76" s="8"/>
      <c r="K76" s="8"/>
      <c r="L76" s="8"/>
      <c r="M76" s="8" t="str">
        <f t="shared" si="3"/>
        <v/>
      </c>
      <c r="N76" s="8"/>
      <c r="O76" s="8"/>
    </row>
    <row r="77" spans="1:15">
      <c r="A77" s="8"/>
      <c r="B77" s="8"/>
      <c r="C77" s="8"/>
      <c r="D77" s="8"/>
      <c r="E77" s="8"/>
      <c r="F77" s="8"/>
      <c r="G77" s="8"/>
      <c r="H77" s="8"/>
      <c r="I77" s="8" t="str">
        <f t="shared" si="2"/>
        <v/>
      </c>
      <c r="J77" s="8"/>
      <c r="K77" s="8"/>
      <c r="L77" s="8"/>
      <c r="M77" s="8" t="str">
        <f t="shared" si="3"/>
        <v/>
      </c>
      <c r="N77" s="8"/>
      <c r="O77" s="8"/>
    </row>
    <row r="78" spans="1:15">
      <c r="A78" s="8"/>
      <c r="B78" s="8"/>
      <c r="C78" s="8"/>
      <c r="D78" s="8"/>
      <c r="E78" s="8"/>
      <c r="F78" s="8"/>
      <c r="G78" s="8"/>
      <c r="H78" s="8"/>
      <c r="I78" s="8" t="str">
        <f t="shared" si="2"/>
        <v/>
      </c>
      <c r="J78" s="8"/>
      <c r="K78" s="8"/>
      <c r="L78" s="8"/>
      <c r="M78" s="8" t="str">
        <f t="shared" si="3"/>
        <v/>
      </c>
      <c r="N78" s="8"/>
      <c r="O78" s="8"/>
    </row>
    <row r="79" spans="1:15">
      <c r="A79" s="8"/>
      <c r="B79" s="8"/>
      <c r="C79" s="8"/>
      <c r="D79" s="8"/>
      <c r="E79" s="8"/>
      <c r="F79" s="8"/>
      <c r="G79" s="8"/>
      <c r="H79" s="8"/>
      <c r="I79" s="8" t="str">
        <f t="shared" si="2"/>
        <v/>
      </c>
      <c r="J79" s="8"/>
      <c r="K79" s="8"/>
      <c r="L79" s="8"/>
      <c r="M79" s="8" t="str">
        <f t="shared" si="3"/>
        <v/>
      </c>
      <c r="N79" s="8"/>
      <c r="O79" s="8"/>
    </row>
    <row r="80" spans="1:15">
      <c r="A80" s="8"/>
      <c r="B80" s="8"/>
      <c r="C80" s="8"/>
      <c r="D80" s="8"/>
      <c r="E80" s="8"/>
      <c r="F80" s="8"/>
      <c r="G80" s="8"/>
      <c r="H80" s="8"/>
      <c r="I80" s="8" t="str">
        <f t="shared" si="2"/>
        <v/>
      </c>
      <c r="J80" s="8"/>
      <c r="K80" s="8"/>
      <c r="L80" s="8"/>
      <c r="M80" s="8" t="str">
        <f t="shared" si="3"/>
        <v/>
      </c>
      <c r="N80" s="8"/>
      <c r="O80" s="8"/>
    </row>
    <row r="81" spans="1:15">
      <c r="A81" s="8"/>
      <c r="B81" s="8"/>
      <c r="C81" s="8"/>
      <c r="D81" s="8"/>
      <c r="E81" s="8"/>
      <c r="F81" s="8"/>
      <c r="G81" s="8"/>
      <c r="H81" s="8"/>
      <c r="I81" s="8" t="str">
        <f t="shared" si="2"/>
        <v/>
      </c>
      <c r="J81" s="8"/>
      <c r="K81" s="8"/>
      <c r="L81" s="8"/>
      <c r="M81" s="8" t="str">
        <f t="shared" si="3"/>
        <v/>
      </c>
      <c r="N81" s="8"/>
      <c r="O81" s="8"/>
    </row>
    <row r="82" spans="1:15">
      <c r="A82" s="8"/>
      <c r="B82" s="8"/>
      <c r="C82" s="8"/>
      <c r="D82" s="8"/>
      <c r="E82" s="8"/>
      <c r="F82" s="8"/>
      <c r="G82" s="8"/>
      <c r="H82" s="8"/>
      <c r="I82" s="8" t="str">
        <f t="shared" si="2"/>
        <v/>
      </c>
      <c r="J82" s="8"/>
      <c r="K82" s="8"/>
      <c r="L82" s="8"/>
      <c r="M82" s="8" t="str">
        <f t="shared" si="3"/>
        <v/>
      </c>
      <c r="N82" s="8"/>
      <c r="O82" s="8"/>
    </row>
    <row r="83" spans="1:15">
      <c r="A83" s="8"/>
      <c r="B83" s="8"/>
      <c r="C83" s="8"/>
      <c r="D83" s="8"/>
      <c r="E83" s="8"/>
      <c r="F83" s="8"/>
      <c r="G83" s="8"/>
      <c r="H83" s="8"/>
      <c r="I83" s="8" t="str">
        <f t="shared" si="2"/>
        <v/>
      </c>
      <c r="J83" s="8"/>
      <c r="K83" s="8"/>
      <c r="L83" s="8"/>
      <c r="M83" s="8" t="str">
        <f t="shared" si="3"/>
        <v/>
      </c>
      <c r="N83" s="8"/>
      <c r="O83" s="8"/>
    </row>
    <row r="84" spans="1:15">
      <c r="A84" s="8"/>
      <c r="B84" s="8"/>
      <c r="C84" s="8"/>
      <c r="D84" s="8"/>
      <c r="E84" s="8"/>
      <c r="F84" s="8"/>
      <c r="G84" s="8"/>
      <c r="H84" s="8"/>
      <c r="I84" s="8" t="str">
        <f t="shared" si="2"/>
        <v/>
      </c>
      <c r="J84" s="8"/>
      <c r="K84" s="8"/>
      <c r="L84" s="8"/>
      <c r="M84" s="8" t="str">
        <f t="shared" si="3"/>
        <v/>
      </c>
      <c r="N84" s="8"/>
      <c r="O84" s="8"/>
    </row>
    <row r="85" spans="1:15">
      <c r="A85" s="8"/>
      <c r="B85" s="8"/>
      <c r="C85" s="8"/>
      <c r="D85" s="8"/>
      <c r="E85" s="8"/>
      <c r="F85" s="8"/>
      <c r="G85" s="8"/>
      <c r="H85" s="8"/>
      <c r="I85" s="8" t="str">
        <f t="shared" si="2"/>
        <v/>
      </c>
      <c r="J85" s="8"/>
      <c r="K85" s="8"/>
      <c r="L85" s="8"/>
      <c r="M85" s="8" t="str">
        <f t="shared" si="3"/>
        <v/>
      </c>
      <c r="N85" s="8"/>
      <c r="O85" s="8"/>
    </row>
    <row r="86" spans="1:15">
      <c r="A86" s="8"/>
      <c r="B86" s="8"/>
      <c r="C86" s="8"/>
      <c r="D86" s="8"/>
      <c r="E86" s="8"/>
      <c r="F86" s="8"/>
      <c r="G86" s="8"/>
      <c r="H86" s="8"/>
      <c r="I86" s="8" t="str">
        <f t="shared" si="2"/>
        <v/>
      </c>
      <c r="J86" s="8"/>
      <c r="K86" s="8"/>
      <c r="L86" s="8"/>
      <c r="M86" s="8" t="str">
        <f t="shared" si="3"/>
        <v/>
      </c>
      <c r="N86" s="8"/>
      <c r="O86" s="8"/>
    </row>
    <row r="87" spans="1:15">
      <c r="A87" s="8"/>
      <c r="B87" s="8"/>
      <c r="C87" s="8"/>
      <c r="D87" s="8"/>
      <c r="E87" s="8"/>
      <c r="F87" s="8"/>
      <c r="G87" s="8"/>
      <c r="H87" s="8"/>
      <c r="I87" s="8" t="str">
        <f t="shared" si="2"/>
        <v/>
      </c>
      <c r="J87" s="8"/>
      <c r="K87" s="8"/>
      <c r="L87" s="8"/>
      <c r="M87" s="8" t="str">
        <f t="shared" si="3"/>
        <v/>
      </c>
      <c r="N87" s="8"/>
      <c r="O87" s="8"/>
    </row>
    <row r="88" spans="1:15">
      <c r="A88" s="8"/>
      <c r="B88" s="8"/>
      <c r="C88" s="8"/>
      <c r="D88" s="8"/>
      <c r="E88" s="8"/>
      <c r="F88" s="8"/>
      <c r="G88" s="8"/>
      <c r="H88" s="8"/>
      <c r="I88" s="8" t="str">
        <f t="shared" si="2"/>
        <v/>
      </c>
      <c r="J88" s="8"/>
      <c r="K88" s="8"/>
      <c r="L88" s="8"/>
      <c r="M88" s="8" t="str">
        <f t="shared" si="3"/>
        <v/>
      </c>
      <c r="N88" s="8"/>
      <c r="O88" s="8"/>
    </row>
    <row r="89" spans="1:15">
      <c r="A89" s="8"/>
      <c r="B89" s="8"/>
      <c r="C89" s="8"/>
      <c r="D89" s="8"/>
      <c r="E89" s="8"/>
      <c r="F89" s="8"/>
      <c r="G89" s="8"/>
      <c r="H89" s="8"/>
      <c r="I89" s="8" t="str">
        <f t="shared" si="2"/>
        <v/>
      </c>
      <c r="J89" s="8"/>
      <c r="K89" s="8"/>
      <c r="L89" s="8"/>
      <c r="M89" s="8" t="str">
        <f t="shared" si="3"/>
        <v/>
      </c>
      <c r="N89" s="8"/>
      <c r="O89" s="8"/>
    </row>
    <row r="90" spans="1:15">
      <c r="A90" s="8"/>
      <c r="B90" s="8"/>
      <c r="C90" s="8"/>
      <c r="D90" s="8"/>
      <c r="E90" s="8"/>
      <c r="F90" s="8"/>
      <c r="G90" s="8"/>
      <c r="H90" s="8"/>
      <c r="I90" s="8" t="str">
        <f t="shared" si="2"/>
        <v/>
      </c>
      <c r="J90" s="8"/>
      <c r="K90" s="8"/>
      <c r="L90" s="8"/>
      <c r="M90" s="8" t="str">
        <f t="shared" si="3"/>
        <v/>
      </c>
      <c r="N90" s="8"/>
      <c r="O90" s="8"/>
    </row>
    <row r="91" spans="1:15">
      <c r="A91" s="8"/>
      <c r="B91" s="8"/>
      <c r="C91" s="8"/>
      <c r="D91" s="8"/>
      <c r="E91" s="8"/>
      <c r="F91" s="8"/>
      <c r="G91" s="8"/>
      <c r="H91" s="8"/>
      <c r="I91" s="8" t="str">
        <f t="shared" si="2"/>
        <v/>
      </c>
      <c r="J91" s="8"/>
      <c r="K91" s="8"/>
      <c r="L91" s="8"/>
      <c r="M91" s="8" t="str">
        <f t="shared" si="3"/>
        <v/>
      </c>
      <c r="N91" s="8"/>
      <c r="O91" s="8"/>
    </row>
    <row r="92" spans="1:15">
      <c r="A92" s="8"/>
      <c r="B92" s="8"/>
      <c r="C92" s="8"/>
      <c r="D92" s="8"/>
      <c r="E92" s="8"/>
      <c r="F92" s="8"/>
      <c r="G92" s="8"/>
      <c r="H92" s="8"/>
      <c r="I92" s="8" t="str">
        <f t="shared" si="2"/>
        <v/>
      </c>
      <c r="J92" s="8"/>
      <c r="K92" s="8"/>
      <c r="L92" s="8"/>
      <c r="M92" s="8" t="str">
        <f t="shared" si="3"/>
        <v/>
      </c>
      <c r="N92" s="8"/>
      <c r="O92" s="8"/>
    </row>
    <row r="93" spans="1:15">
      <c r="A93" s="8"/>
      <c r="B93" s="8"/>
      <c r="C93" s="8"/>
      <c r="D93" s="8"/>
      <c r="E93" s="8"/>
      <c r="F93" s="8"/>
      <c r="G93" s="8"/>
      <c r="H93" s="8"/>
      <c r="I93" s="8" t="str">
        <f t="shared" si="2"/>
        <v/>
      </c>
      <c r="J93" s="8"/>
      <c r="K93" s="8"/>
      <c r="L93" s="8"/>
      <c r="M93" s="8" t="str">
        <f t="shared" si="3"/>
        <v/>
      </c>
      <c r="N93" s="8"/>
      <c r="O93" s="8"/>
    </row>
    <row r="94" spans="1:15">
      <c r="A94" s="8"/>
      <c r="B94" s="8"/>
      <c r="C94" s="8"/>
      <c r="D94" s="8"/>
      <c r="E94" s="8"/>
      <c r="F94" s="8"/>
      <c r="G94" s="8"/>
      <c r="H94" s="8"/>
      <c r="I94" s="8" t="str">
        <f t="shared" si="2"/>
        <v/>
      </c>
      <c r="J94" s="8"/>
      <c r="K94" s="8"/>
      <c r="L94" s="8"/>
      <c r="M94" s="8" t="str">
        <f t="shared" si="3"/>
        <v/>
      </c>
      <c r="N94" s="8"/>
      <c r="O94" s="8"/>
    </row>
    <row r="95" spans="1:15">
      <c r="A95" s="8"/>
      <c r="B95" s="8"/>
      <c r="C95" s="8"/>
      <c r="D95" s="8"/>
      <c r="E95" s="8"/>
      <c r="F95" s="8"/>
      <c r="G95" s="8"/>
      <c r="H95" s="8"/>
      <c r="I95" s="8" t="str">
        <f t="shared" si="2"/>
        <v/>
      </c>
      <c r="J95" s="8"/>
      <c r="K95" s="8"/>
      <c r="L95" s="8"/>
      <c r="M95" s="8" t="str">
        <f t="shared" si="3"/>
        <v/>
      </c>
      <c r="N95" s="8"/>
      <c r="O95" s="8"/>
    </row>
    <row r="96" spans="1:15">
      <c r="A96" s="8"/>
      <c r="B96" s="8"/>
      <c r="C96" s="8"/>
      <c r="D96" s="8"/>
      <c r="E96" s="8"/>
      <c r="F96" s="8"/>
      <c r="G96" s="8"/>
      <c r="H96" s="8"/>
      <c r="I96" s="8" t="str">
        <f t="shared" si="2"/>
        <v/>
      </c>
      <c r="J96" s="8"/>
      <c r="K96" s="8"/>
      <c r="L96" s="8"/>
      <c r="M96" s="8" t="str">
        <f t="shared" si="3"/>
        <v/>
      </c>
      <c r="N96" s="8"/>
      <c r="O96" s="8"/>
    </row>
    <row r="97" spans="1:15">
      <c r="A97" s="8"/>
      <c r="B97" s="8"/>
      <c r="C97" s="8"/>
      <c r="D97" s="8"/>
      <c r="E97" s="8"/>
      <c r="F97" s="8"/>
      <c r="G97" s="8"/>
      <c r="H97" s="8"/>
      <c r="I97" s="8" t="str">
        <f t="shared" si="2"/>
        <v/>
      </c>
      <c r="J97" s="8"/>
      <c r="K97" s="8"/>
      <c r="L97" s="8"/>
      <c r="M97" s="8" t="str">
        <f t="shared" si="3"/>
        <v/>
      </c>
      <c r="N97" s="8"/>
      <c r="O97" s="8"/>
    </row>
    <row r="98" spans="1:15">
      <c r="A98" s="8"/>
      <c r="B98" s="8"/>
      <c r="C98" s="8"/>
      <c r="D98" s="8"/>
      <c r="E98" s="8"/>
      <c r="F98" s="8"/>
      <c r="G98" s="8"/>
      <c r="H98" s="8"/>
      <c r="I98" s="8" t="str">
        <f t="shared" si="2"/>
        <v/>
      </c>
      <c r="J98" s="8"/>
      <c r="K98" s="8"/>
      <c r="L98" s="8"/>
      <c r="M98" s="8" t="str">
        <f t="shared" si="3"/>
        <v/>
      </c>
      <c r="N98" s="8"/>
      <c r="O98" s="8"/>
    </row>
    <row r="99" spans="1:15">
      <c r="A99" s="8"/>
      <c r="B99" s="8"/>
      <c r="C99" s="8"/>
      <c r="D99" s="8"/>
      <c r="E99" s="8"/>
      <c r="F99" s="8"/>
      <c r="G99" s="8"/>
      <c r="H99" s="8"/>
      <c r="I99" s="8" t="str">
        <f t="shared" si="2"/>
        <v/>
      </c>
      <c r="J99" s="8"/>
      <c r="K99" s="8"/>
      <c r="L99" s="8"/>
      <c r="M99" s="8" t="str">
        <f t="shared" si="3"/>
        <v/>
      </c>
      <c r="N99" s="8"/>
      <c r="O99" s="8"/>
    </row>
    <row r="100" spans="1:15">
      <c r="A100" s="8"/>
      <c r="B100" s="8"/>
      <c r="C100" s="8"/>
      <c r="D100" s="8"/>
      <c r="E100" s="8"/>
      <c r="F100" s="8"/>
      <c r="G100" s="8"/>
      <c r="H100" s="8"/>
      <c r="I100" s="8" t="str">
        <f t="shared" si="2"/>
        <v/>
      </c>
      <c r="J100" s="8"/>
      <c r="K100" s="8"/>
      <c r="L100" s="8"/>
      <c r="M100" s="8" t="str">
        <f t="shared" si="3"/>
        <v/>
      </c>
      <c r="N100" s="8"/>
      <c r="O100" s="8"/>
    </row>
    <row r="101" spans="1:15">
      <c r="I101" t="str">
        <f t="shared" si="2"/>
        <v/>
      </c>
      <c r="M101" t="str">
        <f t="shared" si="3"/>
        <v/>
      </c>
    </row>
    <row r="102" spans="1:15">
      <c r="I102" t="str">
        <f t="shared" si="2"/>
        <v/>
      </c>
      <c r="M102" t="str">
        <f t="shared" si="3"/>
        <v/>
      </c>
    </row>
    <row r="103" spans="1:15">
      <c r="I103" t="str">
        <f t="shared" si="2"/>
        <v/>
      </c>
      <c r="M103" t="str">
        <f t="shared" si="3"/>
        <v/>
      </c>
    </row>
    <row r="104" spans="1:15">
      <c r="I104" t="str">
        <f t="shared" si="2"/>
        <v/>
      </c>
      <c r="M104" t="str">
        <f t="shared" si="3"/>
        <v/>
      </c>
    </row>
    <row r="105" spans="1:15">
      <c r="I105" t="str">
        <f t="shared" si="2"/>
        <v/>
      </c>
      <c r="M105" t="str">
        <f t="shared" si="3"/>
        <v/>
      </c>
    </row>
    <row r="106" spans="1:15">
      <c r="I106" t="str">
        <f t="shared" si="2"/>
        <v/>
      </c>
      <c r="M106" t="str">
        <f t="shared" si="3"/>
        <v/>
      </c>
    </row>
    <row r="107" spans="1:15">
      <c r="I107" t="str">
        <f t="shared" si="2"/>
        <v/>
      </c>
      <c r="M107" t="str">
        <f t="shared" si="3"/>
        <v/>
      </c>
    </row>
    <row r="108" spans="1:15">
      <c r="I108" t="str">
        <f t="shared" si="2"/>
        <v/>
      </c>
      <c r="M108" t="str">
        <f t="shared" si="3"/>
        <v/>
      </c>
    </row>
    <row r="109" spans="1:15">
      <c r="I109" t="str">
        <f t="shared" si="2"/>
        <v/>
      </c>
      <c r="M109" t="str">
        <f t="shared" si="3"/>
        <v/>
      </c>
    </row>
    <row r="110" spans="1:15">
      <c r="I110" t="str">
        <f t="shared" si="2"/>
        <v/>
      </c>
      <c r="M110" t="str">
        <f t="shared" si="3"/>
        <v/>
      </c>
    </row>
    <row r="111" spans="1:15">
      <c r="I111" t="str">
        <f t="shared" si="2"/>
        <v/>
      </c>
      <c r="M111" t="str">
        <f t="shared" si="3"/>
        <v/>
      </c>
    </row>
    <row r="112" spans="1:15">
      <c r="I112" t="str">
        <f t="shared" si="2"/>
        <v/>
      </c>
      <c r="M112" t="str">
        <f t="shared" si="3"/>
        <v/>
      </c>
    </row>
    <row r="113" spans="9:13">
      <c r="I113" t="str">
        <f t="shared" si="2"/>
        <v/>
      </c>
      <c r="M113" t="str">
        <f t="shared" si="3"/>
        <v/>
      </c>
    </row>
    <row r="114" spans="9:13">
      <c r="I114" t="str">
        <f t="shared" si="2"/>
        <v/>
      </c>
      <c r="M114" t="str">
        <f t="shared" si="3"/>
        <v/>
      </c>
    </row>
    <row r="115" spans="9:13">
      <c r="I115" t="str">
        <f t="shared" si="2"/>
        <v/>
      </c>
      <c r="M115" t="str">
        <f t="shared" si="3"/>
        <v/>
      </c>
    </row>
    <row r="116" spans="9:13">
      <c r="I116" t="str">
        <f t="shared" si="2"/>
        <v/>
      </c>
      <c r="M116" t="str">
        <f t="shared" si="3"/>
        <v/>
      </c>
    </row>
    <row r="117" spans="9:13">
      <c r="I117" t="str">
        <f t="shared" si="2"/>
        <v/>
      </c>
      <c r="M117" t="str">
        <f t="shared" si="3"/>
        <v/>
      </c>
    </row>
    <row r="118" spans="9:13">
      <c r="I118" t="str">
        <f t="shared" si="2"/>
        <v/>
      </c>
      <c r="M118" t="str">
        <f t="shared" si="3"/>
        <v/>
      </c>
    </row>
    <row r="119" spans="9:13">
      <c r="I119" t="str">
        <f t="shared" si="2"/>
        <v/>
      </c>
      <c r="M119" t="str">
        <f t="shared" si="3"/>
        <v/>
      </c>
    </row>
    <row r="120" spans="9:13">
      <c r="I120" t="str">
        <f t="shared" si="2"/>
        <v/>
      </c>
      <c r="M120" t="str">
        <f t="shared" si="3"/>
        <v/>
      </c>
    </row>
    <row r="121" spans="9:13">
      <c r="I121" t="str">
        <f t="shared" si="2"/>
        <v/>
      </c>
      <c r="M121" t="str">
        <f t="shared" si="3"/>
        <v/>
      </c>
    </row>
    <row r="122" spans="9:13">
      <c r="I122" t="str">
        <f t="shared" si="2"/>
        <v/>
      </c>
      <c r="M122" t="str">
        <f t="shared" si="3"/>
        <v/>
      </c>
    </row>
    <row r="123" spans="9:13">
      <c r="I123" t="str">
        <f t="shared" si="2"/>
        <v/>
      </c>
      <c r="M123" t="str">
        <f t="shared" si="3"/>
        <v/>
      </c>
    </row>
    <row r="124" spans="9:13">
      <c r="I124" t="str">
        <f t="shared" si="2"/>
        <v/>
      </c>
      <c r="M124" t="str">
        <f t="shared" si="3"/>
        <v/>
      </c>
    </row>
    <row r="125" spans="9:13">
      <c r="I125" t="str">
        <f t="shared" si="2"/>
        <v/>
      </c>
      <c r="M125" t="str">
        <f t="shared" si="3"/>
        <v/>
      </c>
    </row>
    <row r="126" spans="9:13">
      <c r="I126" t="str">
        <f t="shared" si="2"/>
        <v/>
      </c>
      <c r="M126" t="str">
        <f t="shared" si="3"/>
        <v/>
      </c>
    </row>
    <row r="127" spans="9:13">
      <c r="I127" t="str">
        <f t="shared" si="2"/>
        <v/>
      </c>
      <c r="M127" t="str">
        <f t="shared" si="3"/>
        <v/>
      </c>
    </row>
    <row r="128" spans="9:13">
      <c r="I128" t="str">
        <f t="shared" si="2"/>
        <v/>
      </c>
      <c r="M128" t="str">
        <f t="shared" si="3"/>
        <v/>
      </c>
    </row>
    <row r="129" spans="9:13">
      <c r="I129" t="str">
        <f t="shared" si="2"/>
        <v/>
      </c>
      <c r="M129" t="str">
        <f t="shared" si="3"/>
        <v/>
      </c>
    </row>
    <row r="130" spans="9:13">
      <c r="I130" t="str">
        <f t="shared" ref="I130:I193" si="4">IF(AND(G130&lt;&gt;"", H130&lt;&gt;""), G130*H130, "")</f>
        <v/>
      </c>
      <c r="M130" t="str">
        <f t="shared" ref="M130:M193" si="5">IF(AND(K130&lt;&gt;"", L130&lt;&gt;""), K130*L130, "")</f>
        <v/>
      </c>
    </row>
    <row r="131" spans="9:13">
      <c r="I131" t="str">
        <f t="shared" si="4"/>
        <v/>
      </c>
      <c r="M131" t="str">
        <f t="shared" si="5"/>
        <v/>
      </c>
    </row>
    <row r="132" spans="9:13">
      <c r="I132" t="str">
        <f t="shared" si="4"/>
        <v/>
      </c>
      <c r="M132" t="str">
        <f t="shared" si="5"/>
        <v/>
      </c>
    </row>
    <row r="133" spans="9:13">
      <c r="I133" t="str">
        <f t="shared" si="4"/>
        <v/>
      </c>
      <c r="M133" t="str">
        <f t="shared" si="5"/>
        <v/>
      </c>
    </row>
    <row r="134" spans="9:13">
      <c r="I134" t="str">
        <f t="shared" si="4"/>
        <v/>
      </c>
      <c r="M134" t="str">
        <f t="shared" si="5"/>
        <v/>
      </c>
    </row>
    <row r="135" spans="9:13">
      <c r="I135" t="str">
        <f t="shared" si="4"/>
        <v/>
      </c>
      <c r="M135" t="str">
        <f t="shared" si="5"/>
        <v/>
      </c>
    </row>
    <row r="136" spans="9:13">
      <c r="I136" t="str">
        <f t="shared" si="4"/>
        <v/>
      </c>
      <c r="M136" t="str">
        <f t="shared" si="5"/>
        <v/>
      </c>
    </row>
    <row r="137" spans="9:13">
      <c r="I137" t="str">
        <f t="shared" si="4"/>
        <v/>
      </c>
      <c r="M137" t="str">
        <f t="shared" si="5"/>
        <v/>
      </c>
    </row>
    <row r="138" spans="9:13">
      <c r="I138" t="str">
        <f t="shared" si="4"/>
        <v/>
      </c>
      <c r="M138" t="str">
        <f t="shared" si="5"/>
        <v/>
      </c>
    </row>
    <row r="139" spans="9:13">
      <c r="I139" t="str">
        <f t="shared" si="4"/>
        <v/>
      </c>
      <c r="M139" t="str">
        <f t="shared" si="5"/>
        <v/>
      </c>
    </row>
    <row r="140" spans="9:13">
      <c r="I140" t="str">
        <f t="shared" si="4"/>
        <v/>
      </c>
      <c r="M140" t="str">
        <f t="shared" si="5"/>
        <v/>
      </c>
    </row>
    <row r="141" spans="9:13">
      <c r="I141" t="str">
        <f t="shared" si="4"/>
        <v/>
      </c>
      <c r="M141" t="str">
        <f t="shared" si="5"/>
        <v/>
      </c>
    </row>
    <row r="142" spans="9:13">
      <c r="I142" t="str">
        <f t="shared" si="4"/>
        <v/>
      </c>
      <c r="M142" t="str">
        <f t="shared" si="5"/>
        <v/>
      </c>
    </row>
    <row r="143" spans="9:13">
      <c r="I143" t="str">
        <f t="shared" si="4"/>
        <v/>
      </c>
      <c r="M143" t="str">
        <f t="shared" si="5"/>
        <v/>
      </c>
    </row>
    <row r="144" spans="9:13">
      <c r="I144" t="str">
        <f t="shared" si="4"/>
        <v/>
      </c>
      <c r="M144" t="str">
        <f t="shared" si="5"/>
        <v/>
      </c>
    </row>
    <row r="145" spans="9:13">
      <c r="I145" t="str">
        <f t="shared" si="4"/>
        <v/>
      </c>
      <c r="M145" t="str">
        <f t="shared" si="5"/>
        <v/>
      </c>
    </row>
    <row r="146" spans="9:13">
      <c r="I146" t="str">
        <f t="shared" si="4"/>
        <v/>
      </c>
      <c r="M146" t="str">
        <f t="shared" si="5"/>
        <v/>
      </c>
    </row>
    <row r="147" spans="9:13">
      <c r="I147" t="str">
        <f t="shared" si="4"/>
        <v/>
      </c>
      <c r="M147" t="str">
        <f t="shared" si="5"/>
        <v/>
      </c>
    </row>
    <row r="148" spans="9:13">
      <c r="I148" t="str">
        <f t="shared" si="4"/>
        <v/>
      </c>
      <c r="M148" t="str">
        <f t="shared" si="5"/>
        <v/>
      </c>
    </row>
    <row r="149" spans="9:13">
      <c r="I149" t="str">
        <f t="shared" si="4"/>
        <v/>
      </c>
      <c r="M149" t="str">
        <f t="shared" si="5"/>
        <v/>
      </c>
    </row>
    <row r="150" spans="9:13">
      <c r="I150" t="str">
        <f t="shared" si="4"/>
        <v/>
      </c>
      <c r="M150" t="str">
        <f t="shared" si="5"/>
        <v/>
      </c>
    </row>
    <row r="151" spans="9:13">
      <c r="I151" t="str">
        <f t="shared" si="4"/>
        <v/>
      </c>
      <c r="M151" t="str">
        <f t="shared" si="5"/>
        <v/>
      </c>
    </row>
    <row r="152" spans="9:13">
      <c r="I152" t="str">
        <f t="shared" si="4"/>
        <v/>
      </c>
      <c r="M152" t="str">
        <f t="shared" si="5"/>
        <v/>
      </c>
    </row>
    <row r="153" spans="9:13">
      <c r="I153" t="str">
        <f t="shared" si="4"/>
        <v/>
      </c>
      <c r="M153" t="str">
        <f t="shared" si="5"/>
        <v/>
      </c>
    </row>
    <row r="154" spans="9:13">
      <c r="I154" t="str">
        <f t="shared" si="4"/>
        <v/>
      </c>
      <c r="M154" t="str">
        <f t="shared" si="5"/>
        <v/>
      </c>
    </row>
    <row r="155" spans="9:13">
      <c r="I155" t="str">
        <f t="shared" si="4"/>
        <v/>
      </c>
      <c r="M155" t="str">
        <f t="shared" si="5"/>
        <v/>
      </c>
    </row>
    <row r="156" spans="9:13">
      <c r="I156" t="str">
        <f t="shared" si="4"/>
        <v/>
      </c>
      <c r="M156" t="str">
        <f t="shared" si="5"/>
        <v/>
      </c>
    </row>
    <row r="157" spans="9:13">
      <c r="I157" t="str">
        <f t="shared" si="4"/>
        <v/>
      </c>
      <c r="M157" t="str">
        <f t="shared" si="5"/>
        <v/>
      </c>
    </row>
    <row r="158" spans="9:13">
      <c r="I158" t="str">
        <f t="shared" si="4"/>
        <v/>
      </c>
      <c r="M158" t="str">
        <f t="shared" si="5"/>
        <v/>
      </c>
    </row>
    <row r="159" spans="9:13">
      <c r="I159" t="str">
        <f t="shared" si="4"/>
        <v/>
      </c>
      <c r="M159" t="str">
        <f t="shared" si="5"/>
        <v/>
      </c>
    </row>
    <row r="160" spans="9:13">
      <c r="I160" t="str">
        <f t="shared" si="4"/>
        <v/>
      </c>
      <c r="M160" t="str">
        <f t="shared" si="5"/>
        <v/>
      </c>
    </row>
    <row r="161" spans="9:13">
      <c r="I161" t="str">
        <f t="shared" si="4"/>
        <v/>
      </c>
      <c r="M161" t="str">
        <f t="shared" si="5"/>
        <v/>
      </c>
    </row>
    <row r="162" spans="9:13">
      <c r="I162" t="str">
        <f t="shared" si="4"/>
        <v/>
      </c>
      <c r="M162" t="str">
        <f t="shared" si="5"/>
        <v/>
      </c>
    </row>
    <row r="163" spans="9:13">
      <c r="I163" t="str">
        <f t="shared" si="4"/>
        <v/>
      </c>
      <c r="M163" t="str">
        <f t="shared" si="5"/>
        <v/>
      </c>
    </row>
    <row r="164" spans="9:13">
      <c r="I164" t="str">
        <f t="shared" si="4"/>
        <v/>
      </c>
      <c r="M164" t="str">
        <f t="shared" si="5"/>
        <v/>
      </c>
    </row>
    <row r="165" spans="9:13">
      <c r="I165" t="str">
        <f t="shared" si="4"/>
        <v/>
      </c>
      <c r="M165" t="str">
        <f t="shared" si="5"/>
        <v/>
      </c>
    </row>
    <row r="166" spans="9:13">
      <c r="I166" t="str">
        <f t="shared" si="4"/>
        <v/>
      </c>
      <c r="M166" t="str">
        <f t="shared" si="5"/>
        <v/>
      </c>
    </row>
    <row r="167" spans="9:13">
      <c r="I167" t="str">
        <f t="shared" si="4"/>
        <v/>
      </c>
      <c r="M167" t="str">
        <f t="shared" si="5"/>
        <v/>
      </c>
    </row>
    <row r="168" spans="9:13">
      <c r="I168" t="str">
        <f t="shared" si="4"/>
        <v/>
      </c>
      <c r="M168" t="str">
        <f t="shared" si="5"/>
        <v/>
      </c>
    </row>
    <row r="169" spans="9:13">
      <c r="I169" t="str">
        <f t="shared" si="4"/>
        <v/>
      </c>
      <c r="M169" t="str">
        <f t="shared" si="5"/>
        <v/>
      </c>
    </row>
    <row r="170" spans="9:13">
      <c r="I170" t="str">
        <f t="shared" si="4"/>
        <v/>
      </c>
      <c r="M170" t="str">
        <f t="shared" si="5"/>
        <v/>
      </c>
    </row>
    <row r="171" spans="9:13">
      <c r="I171" t="str">
        <f t="shared" si="4"/>
        <v/>
      </c>
      <c r="M171" t="str">
        <f t="shared" si="5"/>
        <v/>
      </c>
    </row>
    <row r="172" spans="9:13">
      <c r="I172" t="str">
        <f t="shared" si="4"/>
        <v/>
      </c>
      <c r="M172" t="str">
        <f t="shared" si="5"/>
        <v/>
      </c>
    </row>
    <row r="173" spans="9:13">
      <c r="I173" t="str">
        <f t="shared" si="4"/>
        <v/>
      </c>
      <c r="M173" t="str">
        <f t="shared" si="5"/>
        <v/>
      </c>
    </row>
    <row r="174" spans="9:13">
      <c r="I174" t="str">
        <f t="shared" si="4"/>
        <v/>
      </c>
      <c r="M174" t="str">
        <f t="shared" si="5"/>
        <v/>
      </c>
    </row>
    <row r="175" spans="9:13">
      <c r="I175" t="str">
        <f t="shared" si="4"/>
        <v/>
      </c>
      <c r="M175" t="str">
        <f t="shared" si="5"/>
        <v/>
      </c>
    </row>
    <row r="176" spans="9:13">
      <c r="I176" t="str">
        <f t="shared" si="4"/>
        <v/>
      </c>
      <c r="M176" t="str">
        <f t="shared" si="5"/>
        <v/>
      </c>
    </row>
    <row r="177" spans="9:13">
      <c r="I177" t="str">
        <f t="shared" si="4"/>
        <v/>
      </c>
      <c r="M177" t="str">
        <f t="shared" si="5"/>
        <v/>
      </c>
    </row>
    <row r="178" spans="9:13">
      <c r="I178" t="str">
        <f t="shared" si="4"/>
        <v/>
      </c>
      <c r="M178" t="str">
        <f t="shared" si="5"/>
        <v/>
      </c>
    </row>
    <row r="179" spans="9:13">
      <c r="I179" t="str">
        <f t="shared" si="4"/>
        <v/>
      </c>
      <c r="M179" t="str">
        <f t="shared" si="5"/>
        <v/>
      </c>
    </row>
    <row r="180" spans="9:13">
      <c r="I180" t="str">
        <f t="shared" si="4"/>
        <v/>
      </c>
      <c r="M180" t="str">
        <f t="shared" si="5"/>
        <v/>
      </c>
    </row>
    <row r="181" spans="9:13">
      <c r="I181" t="str">
        <f t="shared" si="4"/>
        <v/>
      </c>
      <c r="M181" t="str">
        <f t="shared" si="5"/>
        <v/>
      </c>
    </row>
    <row r="182" spans="9:13">
      <c r="I182" t="str">
        <f t="shared" si="4"/>
        <v/>
      </c>
      <c r="M182" t="str">
        <f t="shared" si="5"/>
        <v/>
      </c>
    </row>
    <row r="183" spans="9:13">
      <c r="I183" t="str">
        <f t="shared" si="4"/>
        <v/>
      </c>
      <c r="M183" t="str">
        <f t="shared" si="5"/>
        <v/>
      </c>
    </row>
    <row r="184" spans="9:13">
      <c r="I184" t="str">
        <f t="shared" si="4"/>
        <v/>
      </c>
      <c r="M184" t="str">
        <f t="shared" si="5"/>
        <v/>
      </c>
    </row>
    <row r="185" spans="9:13">
      <c r="I185" t="str">
        <f t="shared" si="4"/>
        <v/>
      </c>
      <c r="M185" t="str">
        <f t="shared" si="5"/>
        <v/>
      </c>
    </row>
    <row r="186" spans="9:13">
      <c r="I186" t="str">
        <f t="shared" si="4"/>
        <v/>
      </c>
      <c r="M186" t="str">
        <f t="shared" si="5"/>
        <v/>
      </c>
    </row>
    <row r="187" spans="9:13">
      <c r="I187" t="str">
        <f t="shared" si="4"/>
        <v/>
      </c>
      <c r="M187" t="str">
        <f t="shared" si="5"/>
        <v/>
      </c>
    </row>
    <row r="188" spans="9:13">
      <c r="I188" t="str">
        <f t="shared" si="4"/>
        <v/>
      </c>
      <c r="M188" t="str">
        <f t="shared" si="5"/>
        <v/>
      </c>
    </row>
    <row r="189" spans="9:13">
      <c r="I189" t="str">
        <f t="shared" si="4"/>
        <v/>
      </c>
      <c r="M189" t="str">
        <f t="shared" si="5"/>
        <v/>
      </c>
    </row>
    <row r="190" spans="9:13">
      <c r="I190" t="str">
        <f t="shared" si="4"/>
        <v/>
      </c>
      <c r="M190" t="str">
        <f t="shared" si="5"/>
        <v/>
      </c>
    </row>
    <row r="191" spans="9:13">
      <c r="I191" t="str">
        <f t="shared" si="4"/>
        <v/>
      </c>
      <c r="M191" t="str">
        <f t="shared" si="5"/>
        <v/>
      </c>
    </row>
    <row r="192" spans="9:13">
      <c r="I192" t="str">
        <f t="shared" si="4"/>
        <v/>
      </c>
      <c r="M192" t="str">
        <f t="shared" si="5"/>
        <v/>
      </c>
    </row>
    <row r="193" spans="9:13">
      <c r="I193" t="str">
        <f t="shared" si="4"/>
        <v/>
      </c>
      <c r="M193" t="str">
        <f t="shared" si="5"/>
        <v/>
      </c>
    </row>
    <row r="194" spans="9:13">
      <c r="I194" t="str">
        <f t="shared" ref="I194:I257" si="6">IF(AND(G194&lt;&gt;"", H194&lt;&gt;""), G194*H194, "")</f>
        <v/>
      </c>
      <c r="M194" t="str">
        <f t="shared" ref="M194:M257" si="7">IF(AND(K194&lt;&gt;"", L194&lt;&gt;""), K194*L194, "")</f>
        <v/>
      </c>
    </row>
    <row r="195" spans="9:13">
      <c r="I195" t="str">
        <f t="shared" si="6"/>
        <v/>
      </c>
      <c r="M195" t="str">
        <f t="shared" si="7"/>
        <v/>
      </c>
    </row>
    <row r="196" spans="9:13">
      <c r="I196" t="str">
        <f t="shared" si="6"/>
        <v/>
      </c>
      <c r="M196" t="str">
        <f t="shared" si="7"/>
        <v/>
      </c>
    </row>
    <row r="197" spans="9:13">
      <c r="I197" t="str">
        <f t="shared" si="6"/>
        <v/>
      </c>
      <c r="M197" t="str">
        <f t="shared" si="7"/>
        <v/>
      </c>
    </row>
    <row r="198" spans="9:13">
      <c r="I198" t="str">
        <f t="shared" si="6"/>
        <v/>
      </c>
      <c r="M198" t="str">
        <f t="shared" si="7"/>
        <v/>
      </c>
    </row>
    <row r="199" spans="9:13">
      <c r="I199" t="str">
        <f t="shared" si="6"/>
        <v/>
      </c>
      <c r="M199" t="str">
        <f t="shared" si="7"/>
        <v/>
      </c>
    </row>
    <row r="200" spans="9:13">
      <c r="I200" t="str">
        <f t="shared" si="6"/>
        <v/>
      </c>
      <c r="M200" t="str">
        <f t="shared" si="7"/>
        <v/>
      </c>
    </row>
    <row r="201" spans="9:13">
      <c r="I201" t="str">
        <f t="shared" si="6"/>
        <v/>
      </c>
      <c r="M201" t="str">
        <f t="shared" si="7"/>
        <v/>
      </c>
    </row>
    <row r="202" spans="9:13">
      <c r="I202" t="str">
        <f t="shared" si="6"/>
        <v/>
      </c>
      <c r="M202" t="str">
        <f t="shared" si="7"/>
        <v/>
      </c>
    </row>
    <row r="203" spans="9:13">
      <c r="I203" t="str">
        <f t="shared" si="6"/>
        <v/>
      </c>
      <c r="M203" t="str">
        <f t="shared" si="7"/>
        <v/>
      </c>
    </row>
    <row r="204" spans="9:13">
      <c r="I204" t="str">
        <f t="shared" si="6"/>
        <v/>
      </c>
      <c r="M204" t="str">
        <f t="shared" si="7"/>
        <v/>
      </c>
    </row>
    <row r="205" spans="9:13">
      <c r="I205" t="str">
        <f t="shared" si="6"/>
        <v/>
      </c>
      <c r="M205" t="str">
        <f t="shared" si="7"/>
        <v/>
      </c>
    </row>
    <row r="206" spans="9:13">
      <c r="I206" t="str">
        <f t="shared" si="6"/>
        <v/>
      </c>
      <c r="M206" t="str">
        <f t="shared" si="7"/>
        <v/>
      </c>
    </row>
    <row r="207" spans="9:13">
      <c r="I207" t="str">
        <f t="shared" si="6"/>
        <v/>
      </c>
      <c r="M207" t="str">
        <f t="shared" si="7"/>
        <v/>
      </c>
    </row>
    <row r="208" spans="9:13">
      <c r="I208" t="str">
        <f t="shared" si="6"/>
        <v/>
      </c>
      <c r="M208" t="str">
        <f t="shared" si="7"/>
        <v/>
      </c>
    </row>
    <row r="209" spans="9:13">
      <c r="I209" t="str">
        <f t="shared" si="6"/>
        <v/>
      </c>
      <c r="M209" t="str">
        <f t="shared" si="7"/>
        <v/>
      </c>
    </row>
    <row r="210" spans="9:13">
      <c r="I210" t="str">
        <f t="shared" si="6"/>
        <v/>
      </c>
      <c r="M210" t="str">
        <f t="shared" si="7"/>
        <v/>
      </c>
    </row>
    <row r="211" spans="9:13">
      <c r="I211" t="str">
        <f t="shared" si="6"/>
        <v/>
      </c>
      <c r="M211" t="str">
        <f t="shared" si="7"/>
        <v/>
      </c>
    </row>
    <row r="212" spans="9:13">
      <c r="I212" t="str">
        <f t="shared" si="6"/>
        <v/>
      </c>
      <c r="M212" t="str">
        <f t="shared" si="7"/>
        <v/>
      </c>
    </row>
    <row r="213" spans="9:13">
      <c r="I213" t="str">
        <f t="shared" si="6"/>
        <v/>
      </c>
      <c r="M213" t="str">
        <f t="shared" si="7"/>
        <v/>
      </c>
    </row>
    <row r="214" spans="9:13">
      <c r="I214" t="str">
        <f t="shared" si="6"/>
        <v/>
      </c>
      <c r="M214" t="str">
        <f t="shared" si="7"/>
        <v/>
      </c>
    </row>
    <row r="215" spans="9:13">
      <c r="I215" t="str">
        <f t="shared" si="6"/>
        <v/>
      </c>
      <c r="M215" t="str">
        <f t="shared" si="7"/>
        <v/>
      </c>
    </row>
    <row r="216" spans="9:13">
      <c r="I216" t="str">
        <f t="shared" si="6"/>
        <v/>
      </c>
      <c r="M216" t="str">
        <f t="shared" si="7"/>
        <v/>
      </c>
    </row>
    <row r="217" spans="9:13">
      <c r="I217" t="str">
        <f t="shared" si="6"/>
        <v/>
      </c>
      <c r="M217" t="str">
        <f t="shared" si="7"/>
        <v/>
      </c>
    </row>
    <row r="218" spans="9:13">
      <c r="I218" t="str">
        <f t="shared" si="6"/>
        <v/>
      </c>
      <c r="M218" t="str">
        <f t="shared" si="7"/>
        <v/>
      </c>
    </row>
    <row r="219" spans="9:13">
      <c r="I219" t="str">
        <f t="shared" si="6"/>
        <v/>
      </c>
      <c r="M219" t="str">
        <f t="shared" si="7"/>
        <v/>
      </c>
    </row>
    <row r="220" spans="9:13">
      <c r="I220" t="str">
        <f t="shared" si="6"/>
        <v/>
      </c>
      <c r="M220" t="str">
        <f t="shared" si="7"/>
        <v/>
      </c>
    </row>
    <row r="221" spans="9:13">
      <c r="I221" t="str">
        <f t="shared" si="6"/>
        <v/>
      </c>
      <c r="M221" t="str">
        <f t="shared" si="7"/>
        <v/>
      </c>
    </row>
    <row r="222" spans="9:13">
      <c r="I222" t="str">
        <f t="shared" si="6"/>
        <v/>
      </c>
      <c r="M222" t="str">
        <f t="shared" si="7"/>
        <v/>
      </c>
    </row>
    <row r="223" spans="9:13">
      <c r="I223" t="str">
        <f t="shared" si="6"/>
        <v/>
      </c>
      <c r="M223" t="str">
        <f t="shared" si="7"/>
        <v/>
      </c>
    </row>
    <row r="224" spans="9:13">
      <c r="I224" t="str">
        <f t="shared" si="6"/>
        <v/>
      </c>
      <c r="M224" t="str">
        <f t="shared" si="7"/>
        <v/>
      </c>
    </row>
    <row r="225" spans="9:13">
      <c r="I225" t="str">
        <f t="shared" si="6"/>
        <v/>
      </c>
      <c r="M225" t="str">
        <f t="shared" si="7"/>
        <v/>
      </c>
    </row>
    <row r="226" spans="9:13">
      <c r="I226" t="str">
        <f t="shared" si="6"/>
        <v/>
      </c>
      <c r="M226" t="str">
        <f t="shared" si="7"/>
        <v/>
      </c>
    </row>
    <row r="227" spans="9:13">
      <c r="I227" t="str">
        <f t="shared" si="6"/>
        <v/>
      </c>
      <c r="M227" t="str">
        <f t="shared" si="7"/>
        <v/>
      </c>
    </row>
    <row r="228" spans="9:13">
      <c r="I228" t="str">
        <f t="shared" si="6"/>
        <v/>
      </c>
      <c r="M228" t="str">
        <f t="shared" si="7"/>
        <v/>
      </c>
    </row>
    <row r="229" spans="9:13">
      <c r="I229" t="str">
        <f t="shared" si="6"/>
        <v/>
      </c>
      <c r="M229" t="str">
        <f t="shared" si="7"/>
        <v/>
      </c>
    </row>
    <row r="230" spans="9:13">
      <c r="I230" t="str">
        <f t="shared" si="6"/>
        <v/>
      </c>
      <c r="M230" t="str">
        <f t="shared" si="7"/>
        <v/>
      </c>
    </row>
    <row r="231" spans="9:13">
      <c r="I231" t="str">
        <f t="shared" si="6"/>
        <v/>
      </c>
      <c r="M231" t="str">
        <f t="shared" si="7"/>
        <v/>
      </c>
    </row>
    <row r="232" spans="9:13">
      <c r="I232" t="str">
        <f t="shared" si="6"/>
        <v/>
      </c>
      <c r="M232" t="str">
        <f t="shared" si="7"/>
        <v/>
      </c>
    </row>
    <row r="233" spans="9:13">
      <c r="I233" t="str">
        <f t="shared" si="6"/>
        <v/>
      </c>
      <c r="M233" t="str">
        <f t="shared" si="7"/>
        <v/>
      </c>
    </row>
    <row r="234" spans="9:13">
      <c r="I234" t="str">
        <f t="shared" si="6"/>
        <v/>
      </c>
      <c r="M234" t="str">
        <f t="shared" si="7"/>
        <v/>
      </c>
    </row>
    <row r="235" spans="9:13">
      <c r="I235" t="str">
        <f t="shared" si="6"/>
        <v/>
      </c>
      <c r="M235" t="str">
        <f t="shared" si="7"/>
        <v/>
      </c>
    </row>
    <row r="236" spans="9:13">
      <c r="I236" t="str">
        <f t="shared" si="6"/>
        <v/>
      </c>
      <c r="M236" t="str">
        <f t="shared" si="7"/>
        <v/>
      </c>
    </row>
    <row r="237" spans="9:13">
      <c r="I237" t="str">
        <f t="shared" si="6"/>
        <v/>
      </c>
      <c r="M237" t="str">
        <f t="shared" si="7"/>
        <v/>
      </c>
    </row>
    <row r="238" spans="9:13">
      <c r="I238" t="str">
        <f t="shared" si="6"/>
        <v/>
      </c>
      <c r="M238" t="str">
        <f t="shared" si="7"/>
        <v/>
      </c>
    </row>
    <row r="239" spans="9:13">
      <c r="I239" t="str">
        <f t="shared" si="6"/>
        <v/>
      </c>
      <c r="M239" t="str">
        <f t="shared" si="7"/>
        <v/>
      </c>
    </row>
    <row r="240" spans="9:13">
      <c r="I240" t="str">
        <f t="shared" si="6"/>
        <v/>
      </c>
      <c r="M240" t="str">
        <f t="shared" si="7"/>
        <v/>
      </c>
    </row>
    <row r="241" spans="9:13">
      <c r="I241" t="str">
        <f t="shared" si="6"/>
        <v/>
      </c>
      <c r="M241" t="str">
        <f t="shared" si="7"/>
        <v/>
      </c>
    </row>
    <row r="242" spans="9:13">
      <c r="I242" t="str">
        <f t="shared" si="6"/>
        <v/>
      </c>
      <c r="M242" t="str">
        <f t="shared" si="7"/>
        <v/>
      </c>
    </row>
    <row r="243" spans="9:13">
      <c r="I243" t="str">
        <f t="shared" si="6"/>
        <v/>
      </c>
      <c r="M243" t="str">
        <f t="shared" si="7"/>
        <v/>
      </c>
    </row>
    <row r="244" spans="9:13">
      <c r="I244" t="str">
        <f t="shared" si="6"/>
        <v/>
      </c>
      <c r="M244" t="str">
        <f t="shared" si="7"/>
        <v/>
      </c>
    </row>
    <row r="245" spans="9:13">
      <c r="I245" t="str">
        <f t="shared" si="6"/>
        <v/>
      </c>
      <c r="M245" t="str">
        <f t="shared" si="7"/>
        <v/>
      </c>
    </row>
    <row r="246" spans="9:13">
      <c r="I246" t="str">
        <f t="shared" si="6"/>
        <v/>
      </c>
      <c r="M246" t="str">
        <f t="shared" si="7"/>
        <v/>
      </c>
    </row>
    <row r="247" spans="9:13">
      <c r="I247" t="str">
        <f t="shared" si="6"/>
        <v/>
      </c>
      <c r="M247" t="str">
        <f t="shared" si="7"/>
        <v/>
      </c>
    </row>
    <row r="248" spans="9:13">
      <c r="I248" t="str">
        <f t="shared" si="6"/>
        <v/>
      </c>
      <c r="M248" t="str">
        <f t="shared" si="7"/>
        <v/>
      </c>
    </row>
    <row r="249" spans="9:13">
      <c r="I249" t="str">
        <f t="shared" si="6"/>
        <v/>
      </c>
      <c r="M249" t="str">
        <f t="shared" si="7"/>
        <v/>
      </c>
    </row>
    <row r="250" spans="9:13">
      <c r="I250" t="str">
        <f t="shared" si="6"/>
        <v/>
      </c>
      <c r="M250" t="str">
        <f t="shared" si="7"/>
        <v/>
      </c>
    </row>
    <row r="251" spans="9:13">
      <c r="I251" t="str">
        <f t="shared" si="6"/>
        <v/>
      </c>
      <c r="M251" t="str">
        <f t="shared" si="7"/>
        <v/>
      </c>
    </row>
    <row r="252" spans="9:13">
      <c r="I252" t="str">
        <f t="shared" si="6"/>
        <v/>
      </c>
      <c r="M252" t="str">
        <f t="shared" si="7"/>
        <v/>
      </c>
    </row>
    <row r="253" spans="9:13">
      <c r="I253" t="str">
        <f t="shared" si="6"/>
        <v/>
      </c>
      <c r="M253" t="str">
        <f t="shared" si="7"/>
        <v/>
      </c>
    </row>
    <row r="254" spans="9:13">
      <c r="I254" t="str">
        <f t="shared" si="6"/>
        <v/>
      </c>
      <c r="M254" t="str">
        <f t="shared" si="7"/>
        <v/>
      </c>
    </row>
    <row r="255" spans="9:13">
      <c r="I255" t="str">
        <f t="shared" si="6"/>
        <v/>
      </c>
      <c r="M255" t="str">
        <f t="shared" si="7"/>
        <v/>
      </c>
    </row>
    <row r="256" spans="9:13">
      <c r="I256" t="str">
        <f t="shared" si="6"/>
        <v/>
      </c>
      <c r="M256" t="str">
        <f t="shared" si="7"/>
        <v/>
      </c>
    </row>
    <row r="257" spans="9:13">
      <c r="I257" t="str">
        <f t="shared" si="6"/>
        <v/>
      </c>
      <c r="M257" t="str">
        <f t="shared" si="7"/>
        <v/>
      </c>
    </row>
    <row r="258" spans="9:13">
      <c r="I258" t="str">
        <f t="shared" ref="I258:I321" si="8">IF(AND(G258&lt;&gt;"", H258&lt;&gt;""), G258*H258, "")</f>
        <v/>
      </c>
      <c r="M258" t="str">
        <f t="shared" ref="M258:M321" si="9">IF(AND(K258&lt;&gt;"", L258&lt;&gt;""), K258*L258, "")</f>
        <v/>
      </c>
    </row>
    <row r="259" spans="9:13">
      <c r="I259" t="str">
        <f t="shared" si="8"/>
        <v/>
      </c>
      <c r="M259" t="str">
        <f t="shared" si="9"/>
        <v/>
      </c>
    </row>
    <row r="260" spans="9:13">
      <c r="I260" t="str">
        <f t="shared" si="8"/>
        <v/>
      </c>
      <c r="M260" t="str">
        <f t="shared" si="9"/>
        <v/>
      </c>
    </row>
    <row r="261" spans="9:13">
      <c r="I261" t="str">
        <f t="shared" si="8"/>
        <v/>
      </c>
      <c r="M261" t="str">
        <f t="shared" si="9"/>
        <v/>
      </c>
    </row>
    <row r="262" spans="9:13">
      <c r="I262" t="str">
        <f t="shared" si="8"/>
        <v/>
      </c>
      <c r="M262" t="str">
        <f t="shared" si="9"/>
        <v/>
      </c>
    </row>
    <row r="263" spans="9:13">
      <c r="I263" t="str">
        <f t="shared" si="8"/>
        <v/>
      </c>
      <c r="M263" t="str">
        <f t="shared" si="9"/>
        <v/>
      </c>
    </row>
    <row r="264" spans="9:13">
      <c r="I264" t="str">
        <f t="shared" si="8"/>
        <v/>
      </c>
      <c r="M264" t="str">
        <f t="shared" si="9"/>
        <v/>
      </c>
    </row>
    <row r="265" spans="9:13">
      <c r="I265" t="str">
        <f t="shared" si="8"/>
        <v/>
      </c>
      <c r="M265" t="str">
        <f t="shared" si="9"/>
        <v/>
      </c>
    </row>
    <row r="266" spans="9:13">
      <c r="I266" t="str">
        <f t="shared" si="8"/>
        <v/>
      </c>
      <c r="M266" t="str">
        <f t="shared" si="9"/>
        <v/>
      </c>
    </row>
    <row r="267" spans="9:13">
      <c r="I267" t="str">
        <f t="shared" si="8"/>
        <v/>
      </c>
      <c r="M267" t="str">
        <f t="shared" si="9"/>
        <v/>
      </c>
    </row>
    <row r="268" spans="9:13">
      <c r="I268" t="str">
        <f t="shared" si="8"/>
        <v/>
      </c>
      <c r="M268" t="str">
        <f t="shared" si="9"/>
        <v/>
      </c>
    </row>
    <row r="269" spans="9:13">
      <c r="I269" t="str">
        <f t="shared" si="8"/>
        <v/>
      </c>
      <c r="M269" t="str">
        <f t="shared" si="9"/>
        <v/>
      </c>
    </row>
    <row r="270" spans="9:13">
      <c r="I270" t="str">
        <f t="shared" si="8"/>
        <v/>
      </c>
      <c r="M270" t="str">
        <f t="shared" si="9"/>
        <v/>
      </c>
    </row>
    <row r="271" spans="9:13">
      <c r="I271" t="str">
        <f t="shared" si="8"/>
        <v/>
      </c>
      <c r="M271" t="str">
        <f t="shared" si="9"/>
        <v/>
      </c>
    </row>
    <row r="272" spans="9:13">
      <c r="I272" t="str">
        <f t="shared" si="8"/>
        <v/>
      </c>
      <c r="M272" t="str">
        <f t="shared" si="9"/>
        <v/>
      </c>
    </row>
    <row r="273" spans="9:13">
      <c r="I273" t="str">
        <f t="shared" si="8"/>
        <v/>
      </c>
      <c r="M273" t="str">
        <f t="shared" si="9"/>
        <v/>
      </c>
    </row>
    <row r="274" spans="9:13">
      <c r="I274" t="str">
        <f t="shared" si="8"/>
        <v/>
      </c>
      <c r="M274" t="str">
        <f t="shared" si="9"/>
        <v/>
      </c>
    </row>
    <row r="275" spans="9:13">
      <c r="I275" t="str">
        <f t="shared" si="8"/>
        <v/>
      </c>
      <c r="M275" t="str">
        <f t="shared" si="9"/>
        <v/>
      </c>
    </row>
    <row r="276" spans="9:13">
      <c r="I276" t="str">
        <f t="shared" si="8"/>
        <v/>
      </c>
      <c r="M276" t="str">
        <f t="shared" si="9"/>
        <v/>
      </c>
    </row>
    <row r="277" spans="9:13">
      <c r="I277" t="str">
        <f t="shared" si="8"/>
        <v/>
      </c>
      <c r="M277" t="str">
        <f t="shared" si="9"/>
        <v/>
      </c>
    </row>
    <row r="278" spans="9:13">
      <c r="I278" t="str">
        <f t="shared" si="8"/>
        <v/>
      </c>
      <c r="M278" t="str">
        <f t="shared" si="9"/>
        <v/>
      </c>
    </row>
    <row r="279" spans="9:13">
      <c r="I279" t="str">
        <f t="shared" si="8"/>
        <v/>
      </c>
      <c r="M279" t="str">
        <f t="shared" si="9"/>
        <v/>
      </c>
    </row>
    <row r="280" spans="9:13">
      <c r="I280" t="str">
        <f t="shared" si="8"/>
        <v/>
      </c>
      <c r="M280" t="str">
        <f t="shared" si="9"/>
        <v/>
      </c>
    </row>
    <row r="281" spans="9:13">
      <c r="I281" t="str">
        <f t="shared" si="8"/>
        <v/>
      </c>
      <c r="M281" t="str">
        <f t="shared" si="9"/>
        <v/>
      </c>
    </row>
    <row r="282" spans="9:13">
      <c r="I282" t="str">
        <f t="shared" si="8"/>
        <v/>
      </c>
      <c r="M282" t="str">
        <f t="shared" si="9"/>
        <v/>
      </c>
    </row>
    <row r="283" spans="9:13">
      <c r="I283" t="str">
        <f t="shared" si="8"/>
        <v/>
      </c>
      <c r="M283" t="str">
        <f t="shared" si="9"/>
        <v/>
      </c>
    </row>
    <row r="284" spans="9:13">
      <c r="I284" t="str">
        <f t="shared" si="8"/>
        <v/>
      </c>
      <c r="M284" t="str">
        <f t="shared" si="9"/>
        <v/>
      </c>
    </row>
    <row r="285" spans="9:13">
      <c r="I285" t="str">
        <f t="shared" si="8"/>
        <v/>
      </c>
      <c r="M285" t="str">
        <f t="shared" si="9"/>
        <v/>
      </c>
    </row>
    <row r="286" spans="9:13">
      <c r="I286" t="str">
        <f t="shared" si="8"/>
        <v/>
      </c>
      <c r="M286" t="str">
        <f t="shared" si="9"/>
        <v/>
      </c>
    </row>
    <row r="287" spans="9:13">
      <c r="I287" t="str">
        <f t="shared" si="8"/>
        <v/>
      </c>
      <c r="M287" t="str">
        <f t="shared" si="9"/>
        <v/>
      </c>
    </row>
    <row r="288" spans="9:13">
      <c r="I288" t="str">
        <f t="shared" si="8"/>
        <v/>
      </c>
      <c r="M288" t="str">
        <f t="shared" si="9"/>
        <v/>
      </c>
    </row>
    <row r="289" spans="9:13">
      <c r="I289" t="str">
        <f t="shared" si="8"/>
        <v/>
      </c>
      <c r="M289" t="str">
        <f t="shared" si="9"/>
        <v/>
      </c>
    </row>
    <row r="290" spans="9:13">
      <c r="I290" t="str">
        <f t="shared" si="8"/>
        <v/>
      </c>
      <c r="M290" t="str">
        <f t="shared" si="9"/>
        <v/>
      </c>
    </row>
    <row r="291" spans="9:13">
      <c r="I291" t="str">
        <f t="shared" si="8"/>
        <v/>
      </c>
      <c r="M291" t="str">
        <f t="shared" si="9"/>
        <v/>
      </c>
    </row>
    <row r="292" spans="9:13">
      <c r="I292" t="str">
        <f t="shared" si="8"/>
        <v/>
      </c>
      <c r="M292" t="str">
        <f t="shared" si="9"/>
        <v/>
      </c>
    </row>
    <row r="293" spans="9:13">
      <c r="I293" t="str">
        <f t="shared" si="8"/>
        <v/>
      </c>
      <c r="M293" t="str">
        <f t="shared" si="9"/>
        <v/>
      </c>
    </row>
    <row r="294" spans="9:13">
      <c r="I294" t="str">
        <f t="shared" si="8"/>
        <v/>
      </c>
      <c r="M294" t="str">
        <f t="shared" si="9"/>
        <v/>
      </c>
    </row>
    <row r="295" spans="9:13">
      <c r="I295" t="str">
        <f t="shared" si="8"/>
        <v/>
      </c>
      <c r="M295" t="str">
        <f t="shared" si="9"/>
        <v/>
      </c>
    </row>
    <row r="296" spans="9:13">
      <c r="I296" t="str">
        <f t="shared" si="8"/>
        <v/>
      </c>
      <c r="M296" t="str">
        <f t="shared" si="9"/>
        <v/>
      </c>
    </row>
    <row r="297" spans="9:13">
      <c r="I297" t="str">
        <f t="shared" si="8"/>
        <v/>
      </c>
      <c r="M297" t="str">
        <f t="shared" si="9"/>
        <v/>
      </c>
    </row>
    <row r="298" spans="9:13">
      <c r="I298" t="str">
        <f t="shared" si="8"/>
        <v/>
      </c>
      <c r="M298" t="str">
        <f t="shared" si="9"/>
        <v/>
      </c>
    </row>
    <row r="299" spans="9:13">
      <c r="I299" t="str">
        <f t="shared" si="8"/>
        <v/>
      </c>
      <c r="M299" t="str">
        <f t="shared" si="9"/>
        <v/>
      </c>
    </row>
    <row r="300" spans="9:13">
      <c r="I300" t="str">
        <f t="shared" si="8"/>
        <v/>
      </c>
      <c r="M300" t="str">
        <f t="shared" si="9"/>
        <v/>
      </c>
    </row>
    <row r="301" spans="9:13">
      <c r="I301" t="str">
        <f t="shared" si="8"/>
        <v/>
      </c>
      <c r="M301" t="str">
        <f t="shared" si="9"/>
        <v/>
      </c>
    </row>
    <row r="302" spans="9:13">
      <c r="I302" t="str">
        <f t="shared" si="8"/>
        <v/>
      </c>
      <c r="M302" t="str">
        <f t="shared" si="9"/>
        <v/>
      </c>
    </row>
    <row r="303" spans="9:13">
      <c r="I303" t="str">
        <f t="shared" si="8"/>
        <v/>
      </c>
      <c r="M303" t="str">
        <f t="shared" si="9"/>
        <v/>
      </c>
    </row>
    <row r="304" spans="9:13">
      <c r="I304" t="str">
        <f t="shared" si="8"/>
        <v/>
      </c>
      <c r="M304" t="str">
        <f t="shared" si="9"/>
        <v/>
      </c>
    </row>
    <row r="305" spans="9:13">
      <c r="I305" t="str">
        <f t="shared" si="8"/>
        <v/>
      </c>
      <c r="M305" t="str">
        <f t="shared" si="9"/>
        <v/>
      </c>
    </row>
    <row r="306" spans="9:13">
      <c r="I306" t="str">
        <f t="shared" si="8"/>
        <v/>
      </c>
      <c r="M306" t="str">
        <f t="shared" si="9"/>
        <v/>
      </c>
    </row>
    <row r="307" spans="9:13">
      <c r="I307" t="str">
        <f t="shared" si="8"/>
        <v/>
      </c>
      <c r="M307" t="str">
        <f t="shared" si="9"/>
        <v/>
      </c>
    </row>
    <row r="308" spans="9:13">
      <c r="I308" t="str">
        <f t="shared" si="8"/>
        <v/>
      </c>
      <c r="M308" t="str">
        <f t="shared" si="9"/>
        <v/>
      </c>
    </row>
    <row r="309" spans="9:13">
      <c r="I309" t="str">
        <f t="shared" si="8"/>
        <v/>
      </c>
      <c r="M309" t="str">
        <f t="shared" si="9"/>
        <v/>
      </c>
    </row>
    <row r="310" spans="9:13">
      <c r="I310" t="str">
        <f t="shared" si="8"/>
        <v/>
      </c>
      <c r="M310" t="str">
        <f t="shared" si="9"/>
        <v/>
      </c>
    </row>
    <row r="311" spans="9:13">
      <c r="I311" t="str">
        <f t="shared" si="8"/>
        <v/>
      </c>
      <c r="M311" t="str">
        <f t="shared" si="9"/>
        <v/>
      </c>
    </row>
    <row r="312" spans="9:13">
      <c r="I312" t="str">
        <f t="shared" si="8"/>
        <v/>
      </c>
      <c r="M312" t="str">
        <f t="shared" si="9"/>
        <v/>
      </c>
    </row>
    <row r="313" spans="9:13">
      <c r="I313" t="str">
        <f t="shared" si="8"/>
        <v/>
      </c>
      <c r="M313" t="str">
        <f t="shared" si="9"/>
        <v/>
      </c>
    </row>
    <row r="314" spans="9:13">
      <c r="I314" t="str">
        <f t="shared" si="8"/>
        <v/>
      </c>
      <c r="M314" t="str">
        <f t="shared" si="9"/>
        <v/>
      </c>
    </row>
    <row r="315" spans="9:13">
      <c r="I315" t="str">
        <f t="shared" si="8"/>
        <v/>
      </c>
      <c r="M315" t="str">
        <f t="shared" si="9"/>
        <v/>
      </c>
    </row>
    <row r="316" spans="9:13">
      <c r="I316" t="str">
        <f t="shared" si="8"/>
        <v/>
      </c>
      <c r="M316" t="str">
        <f t="shared" si="9"/>
        <v/>
      </c>
    </row>
    <row r="317" spans="9:13">
      <c r="I317" t="str">
        <f t="shared" si="8"/>
        <v/>
      </c>
      <c r="M317" t="str">
        <f t="shared" si="9"/>
        <v/>
      </c>
    </row>
    <row r="318" spans="9:13">
      <c r="I318" t="str">
        <f t="shared" si="8"/>
        <v/>
      </c>
      <c r="M318" t="str">
        <f t="shared" si="9"/>
        <v/>
      </c>
    </row>
    <row r="319" spans="9:13">
      <c r="I319" t="str">
        <f t="shared" si="8"/>
        <v/>
      </c>
      <c r="M319" t="str">
        <f t="shared" si="9"/>
        <v/>
      </c>
    </row>
    <row r="320" spans="9:13">
      <c r="I320" t="str">
        <f t="shared" si="8"/>
        <v/>
      </c>
      <c r="M320" t="str">
        <f t="shared" si="9"/>
        <v/>
      </c>
    </row>
    <row r="321" spans="9:13">
      <c r="I321" t="str">
        <f t="shared" si="8"/>
        <v/>
      </c>
      <c r="M321" t="str">
        <f t="shared" si="9"/>
        <v/>
      </c>
    </row>
    <row r="322" spans="9:13">
      <c r="I322" t="str">
        <f t="shared" ref="I322:I385" si="10">IF(AND(G322&lt;&gt;"", H322&lt;&gt;""), G322*H322, "")</f>
        <v/>
      </c>
      <c r="M322" t="str">
        <f t="shared" ref="M322:M385" si="11">IF(AND(K322&lt;&gt;"", L322&lt;&gt;""), K322*L322, "")</f>
        <v/>
      </c>
    </row>
    <row r="323" spans="9:13">
      <c r="I323" t="str">
        <f t="shared" si="10"/>
        <v/>
      </c>
      <c r="M323" t="str">
        <f t="shared" si="11"/>
        <v/>
      </c>
    </row>
    <row r="324" spans="9:13">
      <c r="I324" t="str">
        <f t="shared" si="10"/>
        <v/>
      </c>
      <c r="M324" t="str">
        <f t="shared" si="11"/>
        <v/>
      </c>
    </row>
    <row r="325" spans="9:13">
      <c r="I325" t="str">
        <f t="shared" si="10"/>
        <v/>
      </c>
      <c r="M325" t="str">
        <f t="shared" si="11"/>
        <v/>
      </c>
    </row>
    <row r="326" spans="9:13">
      <c r="I326" t="str">
        <f t="shared" si="10"/>
        <v/>
      </c>
      <c r="M326" t="str">
        <f t="shared" si="11"/>
        <v/>
      </c>
    </row>
    <row r="327" spans="9:13">
      <c r="I327" t="str">
        <f t="shared" si="10"/>
        <v/>
      </c>
      <c r="M327" t="str">
        <f t="shared" si="11"/>
        <v/>
      </c>
    </row>
    <row r="328" spans="9:13">
      <c r="I328" t="str">
        <f t="shared" si="10"/>
        <v/>
      </c>
      <c r="M328" t="str">
        <f t="shared" si="11"/>
        <v/>
      </c>
    </row>
    <row r="329" spans="9:13">
      <c r="I329" t="str">
        <f t="shared" si="10"/>
        <v/>
      </c>
      <c r="M329" t="str">
        <f t="shared" si="11"/>
        <v/>
      </c>
    </row>
    <row r="330" spans="9:13">
      <c r="I330" t="str">
        <f t="shared" si="10"/>
        <v/>
      </c>
      <c r="M330" t="str">
        <f t="shared" si="11"/>
        <v/>
      </c>
    </row>
    <row r="331" spans="9:13">
      <c r="I331" t="str">
        <f t="shared" si="10"/>
        <v/>
      </c>
      <c r="M331" t="str">
        <f t="shared" si="11"/>
        <v/>
      </c>
    </row>
    <row r="332" spans="9:13">
      <c r="I332" t="str">
        <f t="shared" si="10"/>
        <v/>
      </c>
      <c r="M332" t="str">
        <f t="shared" si="11"/>
        <v/>
      </c>
    </row>
    <row r="333" spans="9:13">
      <c r="I333" t="str">
        <f t="shared" si="10"/>
        <v/>
      </c>
      <c r="M333" t="str">
        <f t="shared" si="11"/>
        <v/>
      </c>
    </row>
    <row r="334" spans="9:13">
      <c r="I334" t="str">
        <f t="shared" si="10"/>
        <v/>
      </c>
      <c r="M334" t="str">
        <f t="shared" si="11"/>
        <v/>
      </c>
    </row>
    <row r="335" spans="9:13">
      <c r="I335" t="str">
        <f t="shared" si="10"/>
        <v/>
      </c>
      <c r="M335" t="str">
        <f t="shared" si="11"/>
        <v/>
      </c>
    </row>
    <row r="336" spans="9:13">
      <c r="I336" t="str">
        <f t="shared" si="10"/>
        <v/>
      </c>
      <c r="M336" t="str">
        <f t="shared" si="11"/>
        <v/>
      </c>
    </row>
    <row r="337" spans="9:13">
      <c r="I337" t="str">
        <f t="shared" si="10"/>
        <v/>
      </c>
      <c r="M337" t="str">
        <f t="shared" si="11"/>
        <v/>
      </c>
    </row>
    <row r="338" spans="9:13">
      <c r="I338" t="str">
        <f t="shared" si="10"/>
        <v/>
      </c>
      <c r="M338" t="str">
        <f t="shared" si="11"/>
        <v/>
      </c>
    </row>
    <row r="339" spans="9:13">
      <c r="I339" t="str">
        <f t="shared" si="10"/>
        <v/>
      </c>
      <c r="M339" t="str">
        <f t="shared" si="11"/>
        <v/>
      </c>
    </row>
    <row r="340" spans="9:13">
      <c r="I340" t="str">
        <f t="shared" si="10"/>
        <v/>
      </c>
      <c r="M340" t="str">
        <f t="shared" si="11"/>
        <v/>
      </c>
    </row>
    <row r="341" spans="9:13">
      <c r="I341" t="str">
        <f t="shared" si="10"/>
        <v/>
      </c>
      <c r="M341" t="str">
        <f t="shared" si="11"/>
        <v/>
      </c>
    </row>
    <row r="342" spans="9:13">
      <c r="I342" t="str">
        <f t="shared" si="10"/>
        <v/>
      </c>
      <c r="M342" t="str">
        <f t="shared" si="11"/>
        <v/>
      </c>
    </row>
    <row r="343" spans="9:13">
      <c r="I343" t="str">
        <f t="shared" si="10"/>
        <v/>
      </c>
      <c r="M343" t="str">
        <f t="shared" si="11"/>
        <v/>
      </c>
    </row>
    <row r="344" spans="9:13">
      <c r="I344" t="str">
        <f t="shared" si="10"/>
        <v/>
      </c>
      <c r="M344" t="str">
        <f t="shared" si="11"/>
        <v/>
      </c>
    </row>
    <row r="345" spans="9:13">
      <c r="I345" t="str">
        <f t="shared" si="10"/>
        <v/>
      </c>
      <c r="M345" t="str">
        <f t="shared" si="11"/>
        <v/>
      </c>
    </row>
    <row r="346" spans="9:13">
      <c r="I346" t="str">
        <f t="shared" si="10"/>
        <v/>
      </c>
      <c r="M346" t="str">
        <f t="shared" si="11"/>
        <v/>
      </c>
    </row>
    <row r="347" spans="9:13">
      <c r="I347" t="str">
        <f t="shared" si="10"/>
        <v/>
      </c>
      <c r="M347" t="str">
        <f t="shared" si="11"/>
        <v/>
      </c>
    </row>
    <row r="348" spans="9:13">
      <c r="I348" t="str">
        <f t="shared" si="10"/>
        <v/>
      </c>
      <c r="M348" t="str">
        <f t="shared" si="11"/>
        <v/>
      </c>
    </row>
    <row r="349" spans="9:13">
      <c r="I349" t="str">
        <f t="shared" si="10"/>
        <v/>
      </c>
      <c r="M349" t="str">
        <f t="shared" si="11"/>
        <v/>
      </c>
    </row>
    <row r="350" spans="9:13">
      <c r="I350" t="str">
        <f t="shared" si="10"/>
        <v/>
      </c>
      <c r="M350" t="str">
        <f t="shared" si="11"/>
        <v/>
      </c>
    </row>
    <row r="351" spans="9:13">
      <c r="I351" t="str">
        <f t="shared" si="10"/>
        <v/>
      </c>
      <c r="M351" t="str">
        <f t="shared" si="11"/>
        <v/>
      </c>
    </row>
    <row r="352" spans="9:13">
      <c r="I352" t="str">
        <f t="shared" si="10"/>
        <v/>
      </c>
      <c r="M352" t="str">
        <f t="shared" si="11"/>
        <v/>
      </c>
    </row>
    <row r="353" spans="9:13">
      <c r="I353" t="str">
        <f t="shared" si="10"/>
        <v/>
      </c>
      <c r="M353" t="str">
        <f t="shared" si="11"/>
        <v/>
      </c>
    </row>
    <row r="354" spans="9:13">
      <c r="I354" t="str">
        <f t="shared" si="10"/>
        <v/>
      </c>
      <c r="M354" t="str">
        <f t="shared" si="11"/>
        <v/>
      </c>
    </row>
    <row r="355" spans="9:13">
      <c r="I355" t="str">
        <f t="shared" si="10"/>
        <v/>
      </c>
      <c r="M355" t="str">
        <f t="shared" si="11"/>
        <v/>
      </c>
    </row>
    <row r="356" spans="9:13">
      <c r="I356" t="str">
        <f t="shared" si="10"/>
        <v/>
      </c>
      <c r="M356" t="str">
        <f t="shared" si="11"/>
        <v/>
      </c>
    </row>
    <row r="357" spans="9:13">
      <c r="I357" t="str">
        <f t="shared" si="10"/>
        <v/>
      </c>
      <c r="M357" t="str">
        <f t="shared" si="11"/>
        <v/>
      </c>
    </row>
    <row r="358" spans="9:13">
      <c r="I358" t="str">
        <f t="shared" si="10"/>
        <v/>
      </c>
      <c r="M358" t="str">
        <f t="shared" si="11"/>
        <v/>
      </c>
    </row>
    <row r="359" spans="9:13">
      <c r="I359" t="str">
        <f t="shared" si="10"/>
        <v/>
      </c>
      <c r="M359" t="str">
        <f t="shared" si="11"/>
        <v/>
      </c>
    </row>
    <row r="360" spans="9:13">
      <c r="I360" t="str">
        <f t="shared" si="10"/>
        <v/>
      </c>
      <c r="M360" t="str">
        <f t="shared" si="11"/>
        <v/>
      </c>
    </row>
    <row r="361" spans="9:13">
      <c r="I361" t="str">
        <f t="shared" si="10"/>
        <v/>
      </c>
      <c r="M361" t="str">
        <f t="shared" si="11"/>
        <v/>
      </c>
    </row>
    <row r="362" spans="9:13">
      <c r="I362" t="str">
        <f t="shared" si="10"/>
        <v/>
      </c>
      <c r="M362" t="str">
        <f t="shared" si="11"/>
        <v/>
      </c>
    </row>
    <row r="363" spans="9:13">
      <c r="I363" t="str">
        <f t="shared" si="10"/>
        <v/>
      </c>
      <c r="M363" t="str">
        <f t="shared" si="11"/>
        <v/>
      </c>
    </row>
    <row r="364" spans="9:13">
      <c r="I364" t="str">
        <f t="shared" si="10"/>
        <v/>
      </c>
      <c r="M364" t="str">
        <f t="shared" si="11"/>
        <v/>
      </c>
    </row>
    <row r="365" spans="9:13">
      <c r="I365" t="str">
        <f t="shared" si="10"/>
        <v/>
      </c>
      <c r="M365" t="str">
        <f t="shared" si="11"/>
        <v/>
      </c>
    </row>
    <row r="366" spans="9:13">
      <c r="I366" t="str">
        <f t="shared" si="10"/>
        <v/>
      </c>
      <c r="M366" t="str">
        <f t="shared" si="11"/>
        <v/>
      </c>
    </row>
    <row r="367" spans="9:13">
      <c r="I367" t="str">
        <f t="shared" si="10"/>
        <v/>
      </c>
      <c r="M367" t="str">
        <f t="shared" si="11"/>
        <v/>
      </c>
    </row>
    <row r="368" spans="9:13">
      <c r="I368" t="str">
        <f t="shared" si="10"/>
        <v/>
      </c>
      <c r="M368" t="str">
        <f t="shared" si="11"/>
        <v/>
      </c>
    </row>
    <row r="369" spans="9:13">
      <c r="I369" t="str">
        <f t="shared" si="10"/>
        <v/>
      </c>
      <c r="M369" t="str">
        <f t="shared" si="11"/>
        <v/>
      </c>
    </row>
    <row r="370" spans="9:13">
      <c r="I370" t="str">
        <f t="shared" si="10"/>
        <v/>
      </c>
      <c r="M370" t="str">
        <f t="shared" si="11"/>
        <v/>
      </c>
    </row>
    <row r="371" spans="9:13">
      <c r="I371" t="str">
        <f t="shared" si="10"/>
        <v/>
      </c>
      <c r="M371" t="str">
        <f t="shared" si="11"/>
        <v/>
      </c>
    </row>
    <row r="372" spans="9:13">
      <c r="I372" t="str">
        <f t="shared" si="10"/>
        <v/>
      </c>
      <c r="M372" t="str">
        <f t="shared" si="11"/>
        <v/>
      </c>
    </row>
    <row r="373" spans="9:13">
      <c r="I373" t="str">
        <f t="shared" si="10"/>
        <v/>
      </c>
      <c r="M373" t="str">
        <f t="shared" si="11"/>
        <v/>
      </c>
    </row>
    <row r="374" spans="9:13">
      <c r="I374" t="str">
        <f t="shared" si="10"/>
        <v/>
      </c>
      <c r="M374" t="str">
        <f t="shared" si="11"/>
        <v/>
      </c>
    </row>
    <row r="375" spans="9:13">
      <c r="I375" t="str">
        <f t="shared" si="10"/>
        <v/>
      </c>
      <c r="M375" t="str">
        <f t="shared" si="11"/>
        <v/>
      </c>
    </row>
    <row r="376" spans="9:13">
      <c r="I376" t="str">
        <f t="shared" si="10"/>
        <v/>
      </c>
      <c r="M376" t="str">
        <f t="shared" si="11"/>
        <v/>
      </c>
    </row>
    <row r="377" spans="9:13">
      <c r="I377" t="str">
        <f t="shared" si="10"/>
        <v/>
      </c>
      <c r="M377" t="str">
        <f t="shared" si="11"/>
        <v/>
      </c>
    </row>
    <row r="378" spans="9:13">
      <c r="I378" t="str">
        <f t="shared" si="10"/>
        <v/>
      </c>
      <c r="M378" t="str">
        <f t="shared" si="11"/>
        <v/>
      </c>
    </row>
    <row r="379" spans="9:13">
      <c r="I379" t="str">
        <f t="shared" si="10"/>
        <v/>
      </c>
      <c r="M379" t="str">
        <f t="shared" si="11"/>
        <v/>
      </c>
    </row>
    <row r="380" spans="9:13">
      <c r="I380" t="str">
        <f t="shared" si="10"/>
        <v/>
      </c>
      <c r="M380" t="str">
        <f t="shared" si="11"/>
        <v/>
      </c>
    </row>
    <row r="381" spans="9:13">
      <c r="I381" t="str">
        <f t="shared" si="10"/>
        <v/>
      </c>
      <c r="M381" t="str">
        <f t="shared" si="11"/>
        <v/>
      </c>
    </row>
    <row r="382" spans="9:13">
      <c r="I382" t="str">
        <f t="shared" si="10"/>
        <v/>
      </c>
      <c r="M382" t="str">
        <f t="shared" si="11"/>
        <v/>
      </c>
    </row>
    <row r="383" spans="9:13">
      <c r="I383" t="str">
        <f t="shared" si="10"/>
        <v/>
      </c>
      <c r="M383" t="str">
        <f t="shared" si="11"/>
        <v/>
      </c>
    </row>
    <row r="384" spans="9:13">
      <c r="I384" t="str">
        <f t="shared" si="10"/>
        <v/>
      </c>
      <c r="M384" t="str">
        <f t="shared" si="11"/>
        <v/>
      </c>
    </row>
    <row r="385" spans="9:13">
      <c r="I385" t="str">
        <f t="shared" si="10"/>
        <v/>
      </c>
      <c r="M385" t="str">
        <f t="shared" si="11"/>
        <v/>
      </c>
    </row>
    <row r="386" spans="9:13">
      <c r="I386" t="str">
        <f t="shared" ref="I386:I449" si="12">IF(AND(G386&lt;&gt;"", H386&lt;&gt;""), G386*H386, "")</f>
        <v/>
      </c>
      <c r="M386" t="str">
        <f t="shared" ref="M386:M449" si="13">IF(AND(K386&lt;&gt;"", L386&lt;&gt;""), K386*L386, "")</f>
        <v/>
      </c>
    </row>
    <row r="387" spans="9:13">
      <c r="I387" t="str">
        <f t="shared" si="12"/>
        <v/>
      </c>
      <c r="M387" t="str">
        <f t="shared" si="13"/>
        <v/>
      </c>
    </row>
    <row r="388" spans="9:13">
      <c r="I388" t="str">
        <f t="shared" si="12"/>
        <v/>
      </c>
      <c r="M388" t="str">
        <f t="shared" si="13"/>
        <v/>
      </c>
    </row>
    <row r="389" spans="9:13">
      <c r="I389" t="str">
        <f t="shared" si="12"/>
        <v/>
      </c>
      <c r="M389" t="str">
        <f t="shared" si="13"/>
        <v/>
      </c>
    </row>
    <row r="390" spans="9:13">
      <c r="I390" t="str">
        <f t="shared" si="12"/>
        <v/>
      </c>
      <c r="M390" t="str">
        <f t="shared" si="13"/>
        <v/>
      </c>
    </row>
    <row r="391" spans="9:13">
      <c r="I391" t="str">
        <f t="shared" si="12"/>
        <v/>
      </c>
      <c r="M391" t="str">
        <f t="shared" si="13"/>
        <v/>
      </c>
    </row>
    <row r="392" spans="9:13">
      <c r="I392" t="str">
        <f t="shared" si="12"/>
        <v/>
      </c>
      <c r="M392" t="str">
        <f t="shared" si="13"/>
        <v/>
      </c>
    </row>
    <row r="393" spans="9:13">
      <c r="I393" t="str">
        <f t="shared" si="12"/>
        <v/>
      </c>
      <c r="M393" t="str">
        <f t="shared" si="13"/>
        <v/>
      </c>
    </row>
    <row r="394" spans="9:13">
      <c r="I394" t="str">
        <f t="shared" si="12"/>
        <v/>
      </c>
      <c r="M394" t="str">
        <f t="shared" si="13"/>
        <v/>
      </c>
    </row>
    <row r="395" spans="9:13">
      <c r="I395" t="str">
        <f t="shared" si="12"/>
        <v/>
      </c>
      <c r="M395" t="str">
        <f t="shared" si="13"/>
        <v/>
      </c>
    </row>
    <row r="396" spans="9:13">
      <c r="I396" t="str">
        <f t="shared" si="12"/>
        <v/>
      </c>
      <c r="M396" t="str">
        <f t="shared" si="13"/>
        <v/>
      </c>
    </row>
    <row r="397" spans="9:13">
      <c r="I397" t="str">
        <f t="shared" si="12"/>
        <v/>
      </c>
      <c r="M397" t="str">
        <f t="shared" si="13"/>
        <v/>
      </c>
    </row>
    <row r="398" spans="9:13">
      <c r="I398" t="str">
        <f t="shared" si="12"/>
        <v/>
      </c>
      <c r="M398" t="str">
        <f t="shared" si="13"/>
        <v/>
      </c>
    </row>
    <row r="399" spans="9:13">
      <c r="I399" t="str">
        <f t="shared" si="12"/>
        <v/>
      </c>
      <c r="M399" t="str">
        <f t="shared" si="13"/>
        <v/>
      </c>
    </row>
    <row r="400" spans="9:13">
      <c r="I400" t="str">
        <f t="shared" si="12"/>
        <v/>
      </c>
      <c r="M400" t="str">
        <f t="shared" si="13"/>
        <v/>
      </c>
    </row>
    <row r="401" spans="9:13">
      <c r="I401" t="str">
        <f t="shared" si="12"/>
        <v/>
      </c>
      <c r="M401" t="str">
        <f t="shared" si="13"/>
        <v/>
      </c>
    </row>
    <row r="402" spans="9:13">
      <c r="I402" t="str">
        <f t="shared" si="12"/>
        <v/>
      </c>
      <c r="M402" t="str">
        <f t="shared" si="13"/>
        <v/>
      </c>
    </row>
    <row r="403" spans="9:13">
      <c r="I403" t="str">
        <f t="shared" si="12"/>
        <v/>
      </c>
      <c r="M403" t="str">
        <f t="shared" si="13"/>
        <v/>
      </c>
    </row>
    <row r="404" spans="9:13">
      <c r="I404" t="str">
        <f t="shared" si="12"/>
        <v/>
      </c>
      <c r="M404" t="str">
        <f t="shared" si="13"/>
        <v/>
      </c>
    </row>
    <row r="405" spans="9:13">
      <c r="I405" t="str">
        <f t="shared" si="12"/>
        <v/>
      </c>
      <c r="M405" t="str">
        <f t="shared" si="13"/>
        <v/>
      </c>
    </row>
    <row r="406" spans="9:13">
      <c r="I406" t="str">
        <f t="shared" si="12"/>
        <v/>
      </c>
      <c r="M406" t="str">
        <f t="shared" si="13"/>
        <v/>
      </c>
    </row>
    <row r="407" spans="9:13">
      <c r="I407" t="str">
        <f t="shared" si="12"/>
        <v/>
      </c>
      <c r="M407" t="str">
        <f t="shared" si="13"/>
        <v/>
      </c>
    </row>
    <row r="408" spans="9:13">
      <c r="I408" t="str">
        <f t="shared" si="12"/>
        <v/>
      </c>
      <c r="M408" t="str">
        <f t="shared" si="13"/>
        <v/>
      </c>
    </row>
    <row r="409" spans="9:13">
      <c r="I409" t="str">
        <f t="shared" si="12"/>
        <v/>
      </c>
      <c r="M409" t="str">
        <f t="shared" si="13"/>
        <v/>
      </c>
    </row>
    <row r="410" spans="9:13">
      <c r="I410" t="str">
        <f t="shared" si="12"/>
        <v/>
      </c>
      <c r="M410" t="str">
        <f t="shared" si="13"/>
        <v/>
      </c>
    </row>
    <row r="411" spans="9:13">
      <c r="I411" t="str">
        <f t="shared" si="12"/>
        <v/>
      </c>
      <c r="M411" t="str">
        <f t="shared" si="13"/>
        <v/>
      </c>
    </row>
    <row r="412" spans="9:13">
      <c r="I412" t="str">
        <f t="shared" si="12"/>
        <v/>
      </c>
      <c r="M412" t="str">
        <f t="shared" si="13"/>
        <v/>
      </c>
    </row>
    <row r="413" spans="9:13">
      <c r="I413" t="str">
        <f t="shared" si="12"/>
        <v/>
      </c>
      <c r="M413" t="str">
        <f t="shared" si="13"/>
        <v/>
      </c>
    </row>
    <row r="414" spans="9:13">
      <c r="I414" t="str">
        <f t="shared" si="12"/>
        <v/>
      </c>
      <c r="M414" t="str">
        <f t="shared" si="13"/>
        <v/>
      </c>
    </row>
    <row r="415" spans="9:13">
      <c r="I415" t="str">
        <f t="shared" si="12"/>
        <v/>
      </c>
      <c r="M415" t="str">
        <f t="shared" si="13"/>
        <v/>
      </c>
    </row>
    <row r="416" spans="9:13">
      <c r="I416" t="str">
        <f t="shared" si="12"/>
        <v/>
      </c>
      <c r="M416" t="str">
        <f t="shared" si="13"/>
        <v/>
      </c>
    </row>
    <row r="417" spans="9:13">
      <c r="I417" t="str">
        <f t="shared" si="12"/>
        <v/>
      </c>
      <c r="M417" t="str">
        <f t="shared" si="13"/>
        <v/>
      </c>
    </row>
    <row r="418" spans="9:13">
      <c r="I418" t="str">
        <f t="shared" si="12"/>
        <v/>
      </c>
      <c r="M418" t="str">
        <f t="shared" si="13"/>
        <v/>
      </c>
    </row>
    <row r="419" spans="9:13">
      <c r="I419" t="str">
        <f t="shared" si="12"/>
        <v/>
      </c>
      <c r="M419" t="str">
        <f t="shared" si="13"/>
        <v/>
      </c>
    </row>
    <row r="420" spans="9:13">
      <c r="I420" t="str">
        <f t="shared" si="12"/>
        <v/>
      </c>
      <c r="M420" t="str">
        <f t="shared" si="13"/>
        <v/>
      </c>
    </row>
    <row r="421" spans="9:13">
      <c r="I421" t="str">
        <f t="shared" si="12"/>
        <v/>
      </c>
      <c r="M421" t="str">
        <f t="shared" si="13"/>
        <v/>
      </c>
    </row>
    <row r="422" spans="9:13">
      <c r="I422" t="str">
        <f t="shared" si="12"/>
        <v/>
      </c>
      <c r="M422" t="str">
        <f t="shared" si="13"/>
        <v/>
      </c>
    </row>
    <row r="423" spans="9:13">
      <c r="I423" t="str">
        <f t="shared" si="12"/>
        <v/>
      </c>
      <c r="M423" t="str">
        <f t="shared" si="13"/>
        <v/>
      </c>
    </row>
    <row r="424" spans="9:13">
      <c r="I424" t="str">
        <f t="shared" si="12"/>
        <v/>
      </c>
      <c r="M424" t="str">
        <f t="shared" si="13"/>
        <v/>
      </c>
    </row>
    <row r="425" spans="9:13">
      <c r="I425" t="str">
        <f t="shared" si="12"/>
        <v/>
      </c>
      <c r="M425" t="str">
        <f t="shared" si="13"/>
        <v/>
      </c>
    </row>
    <row r="426" spans="9:13">
      <c r="I426" t="str">
        <f t="shared" si="12"/>
        <v/>
      </c>
      <c r="M426" t="str">
        <f t="shared" si="13"/>
        <v/>
      </c>
    </row>
    <row r="427" spans="9:13">
      <c r="I427" t="str">
        <f t="shared" si="12"/>
        <v/>
      </c>
      <c r="M427" t="str">
        <f t="shared" si="13"/>
        <v/>
      </c>
    </row>
    <row r="428" spans="9:13">
      <c r="I428" t="str">
        <f t="shared" si="12"/>
        <v/>
      </c>
      <c r="M428" t="str">
        <f t="shared" si="13"/>
        <v/>
      </c>
    </row>
    <row r="429" spans="9:13">
      <c r="I429" t="str">
        <f t="shared" si="12"/>
        <v/>
      </c>
      <c r="M429" t="str">
        <f t="shared" si="13"/>
        <v/>
      </c>
    </row>
    <row r="430" spans="9:13">
      <c r="I430" t="str">
        <f t="shared" si="12"/>
        <v/>
      </c>
      <c r="M430" t="str">
        <f t="shared" si="13"/>
        <v/>
      </c>
    </row>
    <row r="431" spans="9:13">
      <c r="I431" t="str">
        <f t="shared" si="12"/>
        <v/>
      </c>
      <c r="M431" t="str">
        <f t="shared" si="13"/>
        <v/>
      </c>
    </row>
    <row r="432" spans="9:13">
      <c r="I432" t="str">
        <f t="shared" si="12"/>
        <v/>
      </c>
      <c r="M432" t="str">
        <f t="shared" si="13"/>
        <v/>
      </c>
    </row>
    <row r="433" spans="9:13">
      <c r="I433" t="str">
        <f t="shared" si="12"/>
        <v/>
      </c>
      <c r="M433" t="str">
        <f t="shared" si="13"/>
        <v/>
      </c>
    </row>
    <row r="434" spans="9:13">
      <c r="I434" t="str">
        <f t="shared" si="12"/>
        <v/>
      </c>
      <c r="M434" t="str">
        <f t="shared" si="13"/>
        <v/>
      </c>
    </row>
    <row r="435" spans="9:13">
      <c r="I435" t="str">
        <f t="shared" si="12"/>
        <v/>
      </c>
      <c r="M435" t="str">
        <f t="shared" si="13"/>
        <v/>
      </c>
    </row>
    <row r="436" spans="9:13">
      <c r="I436" t="str">
        <f t="shared" si="12"/>
        <v/>
      </c>
      <c r="M436" t="str">
        <f t="shared" si="13"/>
        <v/>
      </c>
    </row>
    <row r="437" spans="9:13">
      <c r="I437" t="str">
        <f t="shared" si="12"/>
        <v/>
      </c>
      <c r="M437" t="str">
        <f t="shared" si="13"/>
        <v/>
      </c>
    </row>
    <row r="438" spans="9:13">
      <c r="I438" t="str">
        <f t="shared" si="12"/>
        <v/>
      </c>
      <c r="M438" t="str">
        <f t="shared" si="13"/>
        <v/>
      </c>
    </row>
    <row r="439" spans="9:13">
      <c r="I439" t="str">
        <f t="shared" si="12"/>
        <v/>
      </c>
      <c r="M439" t="str">
        <f t="shared" si="13"/>
        <v/>
      </c>
    </row>
    <row r="440" spans="9:13">
      <c r="I440" t="str">
        <f t="shared" si="12"/>
        <v/>
      </c>
      <c r="M440" t="str">
        <f t="shared" si="13"/>
        <v/>
      </c>
    </row>
    <row r="441" spans="9:13">
      <c r="I441" t="str">
        <f t="shared" si="12"/>
        <v/>
      </c>
      <c r="M441" t="str">
        <f t="shared" si="13"/>
        <v/>
      </c>
    </row>
    <row r="442" spans="9:13">
      <c r="I442" t="str">
        <f t="shared" si="12"/>
        <v/>
      </c>
      <c r="M442" t="str">
        <f t="shared" si="13"/>
        <v/>
      </c>
    </row>
    <row r="443" spans="9:13">
      <c r="I443" t="str">
        <f t="shared" si="12"/>
        <v/>
      </c>
      <c r="M443" t="str">
        <f t="shared" si="13"/>
        <v/>
      </c>
    </row>
    <row r="444" spans="9:13">
      <c r="I444" t="str">
        <f t="shared" si="12"/>
        <v/>
      </c>
      <c r="M444" t="str">
        <f t="shared" si="13"/>
        <v/>
      </c>
    </row>
    <row r="445" spans="9:13">
      <c r="I445" t="str">
        <f t="shared" si="12"/>
        <v/>
      </c>
      <c r="M445" t="str">
        <f t="shared" si="13"/>
        <v/>
      </c>
    </row>
    <row r="446" spans="9:13">
      <c r="I446" t="str">
        <f t="shared" si="12"/>
        <v/>
      </c>
      <c r="M446" t="str">
        <f t="shared" si="13"/>
        <v/>
      </c>
    </row>
    <row r="447" spans="9:13">
      <c r="I447" t="str">
        <f t="shared" si="12"/>
        <v/>
      </c>
      <c r="M447" t="str">
        <f t="shared" si="13"/>
        <v/>
      </c>
    </row>
    <row r="448" spans="9:13">
      <c r="I448" t="str">
        <f t="shared" si="12"/>
        <v/>
      </c>
      <c r="M448" t="str">
        <f t="shared" si="13"/>
        <v/>
      </c>
    </row>
    <row r="449" spans="9:13">
      <c r="I449" t="str">
        <f t="shared" si="12"/>
        <v/>
      </c>
      <c r="M449" t="str">
        <f t="shared" si="13"/>
        <v/>
      </c>
    </row>
    <row r="450" spans="9:13">
      <c r="I450" t="str">
        <f t="shared" ref="I450:I513" si="14">IF(AND(G450&lt;&gt;"", H450&lt;&gt;""), G450*H450, "")</f>
        <v/>
      </c>
      <c r="M450" t="str">
        <f t="shared" ref="M450:M513" si="15">IF(AND(K450&lt;&gt;"", L450&lt;&gt;""), K450*L450, "")</f>
        <v/>
      </c>
    </row>
    <row r="451" spans="9:13">
      <c r="I451" t="str">
        <f t="shared" si="14"/>
        <v/>
      </c>
      <c r="M451" t="str">
        <f t="shared" si="15"/>
        <v/>
      </c>
    </row>
    <row r="452" spans="9:13">
      <c r="I452" t="str">
        <f t="shared" si="14"/>
        <v/>
      </c>
      <c r="M452" t="str">
        <f t="shared" si="15"/>
        <v/>
      </c>
    </row>
    <row r="453" spans="9:13">
      <c r="I453" t="str">
        <f t="shared" si="14"/>
        <v/>
      </c>
      <c r="M453" t="str">
        <f t="shared" si="15"/>
        <v/>
      </c>
    </row>
    <row r="454" spans="9:13">
      <c r="I454" t="str">
        <f t="shared" si="14"/>
        <v/>
      </c>
      <c r="M454" t="str">
        <f t="shared" si="15"/>
        <v/>
      </c>
    </row>
    <row r="455" spans="9:13">
      <c r="I455" t="str">
        <f t="shared" si="14"/>
        <v/>
      </c>
      <c r="M455" t="str">
        <f t="shared" si="15"/>
        <v/>
      </c>
    </row>
    <row r="456" spans="9:13">
      <c r="I456" t="str">
        <f t="shared" si="14"/>
        <v/>
      </c>
      <c r="M456" t="str">
        <f t="shared" si="15"/>
        <v/>
      </c>
    </row>
    <row r="457" spans="9:13">
      <c r="I457" t="str">
        <f t="shared" si="14"/>
        <v/>
      </c>
      <c r="M457" t="str">
        <f t="shared" si="15"/>
        <v/>
      </c>
    </row>
    <row r="458" spans="9:13">
      <c r="I458" t="str">
        <f t="shared" si="14"/>
        <v/>
      </c>
      <c r="M458" t="str">
        <f t="shared" si="15"/>
        <v/>
      </c>
    </row>
    <row r="459" spans="9:13">
      <c r="I459" t="str">
        <f t="shared" si="14"/>
        <v/>
      </c>
      <c r="M459" t="str">
        <f t="shared" si="15"/>
        <v/>
      </c>
    </row>
    <row r="460" spans="9:13">
      <c r="I460" t="str">
        <f t="shared" si="14"/>
        <v/>
      </c>
      <c r="M460" t="str">
        <f t="shared" si="15"/>
        <v/>
      </c>
    </row>
    <row r="461" spans="9:13">
      <c r="I461" t="str">
        <f t="shared" si="14"/>
        <v/>
      </c>
      <c r="M461" t="str">
        <f t="shared" si="15"/>
        <v/>
      </c>
    </row>
    <row r="462" spans="9:13">
      <c r="I462" t="str">
        <f t="shared" si="14"/>
        <v/>
      </c>
      <c r="M462" t="str">
        <f t="shared" si="15"/>
        <v/>
      </c>
    </row>
    <row r="463" spans="9:13">
      <c r="I463" t="str">
        <f t="shared" si="14"/>
        <v/>
      </c>
      <c r="M463" t="str">
        <f t="shared" si="15"/>
        <v/>
      </c>
    </row>
    <row r="464" spans="9:13">
      <c r="I464" t="str">
        <f t="shared" si="14"/>
        <v/>
      </c>
      <c r="M464" t="str">
        <f t="shared" si="15"/>
        <v/>
      </c>
    </row>
    <row r="465" spans="9:13">
      <c r="I465" t="str">
        <f t="shared" si="14"/>
        <v/>
      </c>
      <c r="M465" t="str">
        <f t="shared" si="15"/>
        <v/>
      </c>
    </row>
    <row r="466" spans="9:13">
      <c r="I466" t="str">
        <f t="shared" si="14"/>
        <v/>
      </c>
      <c r="M466" t="str">
        <f t="shared" si="15"/>
        <v/>
      </c>
    </row>
    <row r="467" spans="9:13">
      <c r="I467" t="str">
        <f t="shared" si="14"/>
        <v/>
      </c>
      <c r="M467" t="str">
        <f t="shared" si="15"/>
        <v/>
      </c>
    </row>
    <row r="468" spans="9:13">
      <c r="I468" t="str">
        <f t="shared" si="14"/>
        <v/>
      </c>
      <c r="M468" t="str">
        <f t="shared" si="15"/>
        <v/>
      </c>
    </row>
    <row r="469" spans="9:13">
      <c r="I469" t="str">
        <f t="shared" si="14"/>
        <v/>
      </c>
      <c r="M469" t="str">
        <f t="shared" si="15"/>
        <v/>
      </c>
    </row>
    <row r="470" spans="9:13">
      <c r="I470" t="str">
        <f t="shared" si="14"/>
        <v/>
      </c>
      <c r="M470" t="str">
        <f t="shared" si="15"/>
        <v/>
      </c>
    </row>
    <row r="471" spans="9:13">
      <c r="I471" t="str">
        <f t="shared" si="14"/>
        <v/>
      </c>
      <c r="M471" t="str">
        <f t="shared" si="15"/>
        <v/>
      </c>
    </row>
    <row r="472" spans="9:13">
      <c r="I472" t="str">
        <f t="shared" si="14"/>
        <v/>
      </c>
      <c r="M472" t="str">
        <f t="shared" si="15"/>
        <v/>
      </c>
    </row>
    <row r="473" spans="9:13">
      <c r="I473" t="str">
        <f t="shared" si="14"/>
        <v/>
      </c>
      <c r="M473" t="str">
        <f t="shared" si="15"/>
        <v/>
      </c>
    </row>
    <row r="474" spans="9:13">
      <c r="I474" t="str">
        <f t="shared" si="14"/>
        <v/>
      </c>
      <c r="M474" t="str">
        <f t="shared" si="15"/>
        <v/>
      </c>
    </row>
    <row r="475" spans="9:13">
      <c r="I475" t="str">
        <f t="shared" si="14"/>
        <v/>
      </c>
      <c r="M475" t="str">
        <f t="shared" si="15"/>
        <v/>
      </c>
    </row>
    <row r="476" spans="9:13">
      <c r="I476" t="str">
        <f t="shared" si="14"/>
        <v/>
      </c>
      <c r="M476" t="str">
        <f t="shared" si="15"/>
        <v/>
      </c>
    </row>
    <row r="477" spans="9:13">
      <c r="I477" t="str">
        <f t="shared" si="14"/>
        <v/>
      </c>
      <c r="M477" t="str">
        <f t="shared" si="15"/>
        <v/>
      </c>
    </row>
    <row r="478" spans="9:13">
      <c r="I478" t="str">
        <f t="shared" si="14"/>
        <v/>
      </c>
      <c r="M478" t="str">
        <f t="shared" si="15"/>
        <v/>
      </c>
    </row>
    <row r="479" spans="9:13">
      <c r="I479" t="str">
        <f t="shared" si="14"/>
        <v/>
      </c>
      <c r="M479" t="str">
        <f t="shared" si="15"/>
        <v/>
      </c>
    </row>
    <row r="480" spans="9:13">
      <c r="I480" t="str">
        <f t="shared" si="14"/>
        <v/>
      </c>
      <c r="M480" t="str">
        <f t="shared" si="15"/>
        <v/>
      </c>
    </row>
    <row r="481" spans="9:13">
      <c r="I481" t="str">
        <f t="shared" si="14"/>
        <v/>
      </c>
      <c r="M481" t="str">
        <f t="shared" si="15"/>
        <v/>
      </c>
    </row>
    <row r="482" spans="9:13">
      <c r="I482" t="str">
        <f t="shared" si="14"/>
        <v/>
      </c>
      <c r="M482" t="str">
        <f t="shared" si="15"/>
        <v/>
      </c>
    </row>
    <row r="483" spans="9:13">
      <c r="I483" t="str">
        <f t="shared" si="14"/>
        <v/>
      </c>
      <c r="M483" t="str">
        <f t="shared" si="15"/>
        <v/>
      </c>
    </row>
    <row r="484" spans="9:13">
      <c r="I484" t="str">
        <f t="shared" si="14"/>
        <v/>
      </c>
      <c r="M484" t="str">
        <f t="shared" si="15"/>
        <v/>
      </c>
    </row>
    <row r="485" spans="9:13">
      <c r="I485" t="str">
        <f t="shared" si="14"/>
        <v/>
      </c>
      <c r="M485" t="str">
        <f t="shared" si="15"/>
        <v/>
      </c>
    </row>
    <row r="486" spans="9:13">
      <c r="I486" t="str">
        <f t="shared" si="14"/>
        <v/>
      </c>
      <c r="M486" t="str">
        <f t="shared" si="15"/>
        <v/>
      </c>
    </row>
    <row r="487" spans="9:13">
      <c r="I487" t="str">
        <f t="shared" si="14"/>
        <v/>
      </c>
      <c r="M487" t="str">
        <f t="shared" si="15"/>
        <v/>
      </c>
    </row>
    <row r="488" spans="9:13">
      <c r="I488" t="str">
        <f t="shared" si="14"/>
        <v/>
      </c>
      <c r="M488" t="str">
        <f t="shared" si="15"/>
        <v/>
      </c>
    </row>
    <row r="489" spans="9:13">
      <c r="I489" t="str">
        <f t="shared" si="14"/>
        <v/>
      </c>
      <c r="M489" t="str">
        <f t="shared" si="15"/>
        <v/>
      </c>
    </row>
    <row r="490" spans="9:13">
      <c r="I490" t="str">
        <f t="shared" si="14"/>
        <v/>
      </c>
      <c r="M490" t="str">
        <f t="shared" si="15"/>
        <v/>
      </c>
    </row>
    <row r="491" spans="9:13">
      <c r="I491" t="str">
        <f t="shared" si="14"/>
        <v/>
      </c>
      <c r="M491" t="str">
        <f t="shared" si="15"/>
        <v/>
      </c>
    </row>
    <row r="492" spans="9:13">
      <c r="I492" t="str">
        <f t="shared" si="14"/>
        <v/>
      </c>
      <c r="M492" t="str">
        <f t="shared" si="15"/>
        <v/>
      </c>
    </row>
    <row r="493" spans="9:13">
      <c r="I493" t="str">
        <f t="shared" si="14"/>
        <v/>
      </c>
      <c r="M493" t="str">
        <f t="shared" si="15"/>
        <v/>
      </c>
    </row>
    <row r="494" spans="9:13">
      <c r="I494" t="str">
        <f t="shared" si="14"/>
        <v/>
      </c>
      <c r="M494" t="str">
        <f t="shared" si="15"/>
        <v/>
      </c>
    </row>
    <row r="495" spans="9:13">
      <c r="I495" t="str">
        <f t="shared" si="14"/>
        <v/>
      </c>
      <c r="M495" t="str">
        <f t="shared" si="15"/>
        <v/>
      </c>
    </row>
    <row r="496" spans="9:13">
      <c r="I496" t="str">
        <f t="shared" si="14"/>
        <v/>
      </c>
      <c r="M496" t="str">
        <f t="shared" si="15"/>
        <v/>
      </c>
    </row>
    <row r="497" spans="9:13">
      <c r="I497" t="str">
        <f t="shared" si="14"/>
        <v/>
      </c>
      <c r="M497" t="str">
        <f t="shared" si="15"/>
        <v/>
      </c>
    </row>
    <row r="498" spans="9:13">
      <c r="I498" t="str">
        <f t="shared" si="14"/>
        <v/>
      </c>
      <c r="M498" t="str">
        <f t="shared" si="15"/>
        <v/>
      </c>
    </row>
    <row r="499" spans="9:13">
      <c r="I499" t="str">
        <f t="shared" si="14"/>
        <v/>
      </c>
      <c r="M499" t="str">
        <f t="shared" si="15"/>
        <v/>
      </c>
    </row>
    <row r="500" spans="9:13">
      <c r="I500" t="str">
        <f t="shared" si="14"/>
        <v/>
      </c>
      <c r="M500" t="str">
        <f t="shared" si="15"/>
        <v/>
      </c>
    </row>
    <row r="501" spans="9:13">
      <c r="I501" t="str">
        <f t="shared" si="14"/>
        <v/>
      </c>
      <c r="M501" t="str">
        <f t="shared" si="15"/>
        <v/>
      </c>
    </row>
    <row r="502" spans="9:13">
      <c r="I502" t="str">
        <f t="shared" si="14"/>
        <v/>
      </c>
      <c r="M502" t="str">
        <f t="shared" si="15"/>
        <v/>
      </c>
    </row>
    <row r="503" spans="9:13">
      <c r="I503" t="str">
        <f t="shared" si="14"/>
        <v/>
      </c>
      <c r="M503" t="str">
        <f t="shared" si="15"/>
        <v/>
      </c>
    </row>
    <row r="504" spans="9:13">
      <c r="I504" t="str">
        <f t="shared" si="14"/>
        <v/>
      </c>
      <c r="M504" t="str">
        <f t="shared" si="15"/>
        <v/>
      </c>
    </row>
    <row r="505" spans="9:13">
      <c r="I505" t="str">
        <f t="shared" si="14"/>
        <v/>
      </c>
      <c r="M505" t="str">
        <f t="shared" si="15"/>
        <v/>
      </c>
    </row>
    <row r="506" spans="9:13">
      <c r="I506" t="str">
        <f t="shared" si="14"/>
        <v/>
      </c>
      <c r="M506" t="str">
        <f t="shared" si="15"/>
        <v/>
      </c>
    </row>
    <row r="507" spans="9:13">
      <c r="I507" t="str">
        <f t="shared" si="14"/>
        <v/>
      </c>
      <c r="M507" t="str">
        <f t="shared" si="15"/>
        <v/>
      </c>
    </row>
    <row r="508" spans="9:13">
      <c r="I508" t="str">
        <f t="shared" si="14"/>
        <v/>
      </c>
      <c r="M508" t="str">
        <f t="shared" si="15"/>
        <v/>
      </c>
    </row>
    <row r="509" spans="9:13">
      <c r="I509" t="str">
        <f t="shared" si="14"/>
        <v/>
      </c>
      <c r="M509" t="str">
        <f t="shared" si="15"/>
        <v/>
      </c>
    </row>
    <row r="510" spans="9:13">
      <c r="I510" t="str">
        <f t="shared" si="14"/>
        <v/>
      </c>
      <c r="M510" t="str">
        <f t="shared" si="15"/>
        <v/>
      </c>
    </row>
    <row r="511" spans="9:13">
      <c r="I511" t="str">
        <f t="shared" si="14"/>
        <v/>
      </c>
      <c r="M511" t="str">
        <f t="shared" si="15"/>
        <v/>
      </c>
    </row>
    <row r="512" spans="9:13">
      <c r="I512" t="str">
        <f t="shared" si="14"/>
        <v/>
      </c>
      <c r="M512" t="str">
        <f t="shared" si="15"/>
        <v/>
      </c>
    </row>
    <row r="513" spans="9:13">
      <c r="I513" t="str">
        <f t="shared" si="14"/>
        <v/>
      </c>
      <c r="M513" t="str">
        <f t="shared" si="15"/>
        <v/>
      </c>
    </row>
    <row r="514" spans="9:13">
      <c r="I514" t="str">
        <f t="shared" ref="I514:I577" si="16">IF(AND(G514&lt;&gt;"", H514&lt;&gt;""), G514*H514, "")</f>
        <v/>
      </c>
      <c r="M514" t="str">
        <f t="shared" ref="M514:M577" si="17">IF(AND(K514&lt;&gt;"", L514&lt;&gt;""), K514*L514, "")</f>
        <v/>
      </c>
    </row>
    <row r="515" spans="9:13">
      <c r="I515" t="str">
        <f t="shared" si="16"/>
        <v/>
      </c>
      <c r="M515" t="str">
        <f t="shared" si="17"/>
        <v/>
      </c>
    </row>
    <row r="516" spans="9:13">
      <c r="I516" t="str">
        <f t="shared" si="16"/>
        <v/>
      </c>
      <c r="M516" t="str">
        <f t="shared" si="17"/>
        <v/>
      </c>
    </row>
    <row r="517" spans="9:13">
      <c r="I517" t="str">
        <f t="shared" si="16"/>
        <v/>
      </c>
      <c r="M517" t="str">
        <f t="shared" si="17"/>
        <v/>
      </c>
    </row>
    <row r="518" spans="9:13">
      <c r="I518" t="str">
        <f t="shared" si="16"/>
        <v/>
      </c>
      <c r="M518" t="str">
        <f t="shared" si="17"/>
        <v/>
      </c>
    </row>
    <row r="519" spans="9:13">
      <c r="I519" t="str">
        <f t="shared" si="16"/>
        <v/>
      </c>
      <c r="M519" t="str">
        <f t="shared" si="17"/>
        <v/>
      </c>
    </row>
    <row r="520" spans="9:13">
      <c r="I520" t="str">
        <f t="shared" si="16"/>
        <v/>
      </c>
      <c r="M520" t="str">
        <f t="shared" si="17"/>
        <v/>
      </c>
    </row>
    <row r="521" spans="9:13">
      <c r="I521" t="str">
        <f t="shared" si="16"/>
        <v/>
      </c>
      <c r="M521" t="str">
        <f t="shared" si="17"/>
        <v/>
      </c>
    </row>
    <row r="522" spans="9:13">
      <c r="I522" t="str">
        <f t="shared" si="16"/>
        <v/>
      </c>
      <c r="M522" t="str">
        <f t="shared" si="17"/>
        <v/>
      </c>
    </row>
    <row r="523" spans="9:13">
      <c r="I523" t="str">
        <f t="shared" si="16"/>
        <v/>
      </c>
      <c r="M523" t="str">
        <f t="shared" si="17"/>
        <v/>
      </c>
    </row>
    <row r="524" spans="9:13">
      <c r="I524" t="str">
        <f t="shared" si="16"/>
        <v/>
      </c>
      <c r="M524" t="str">
        <f t="shared" si="17"/>
        <v/>
      </c>
    </row>
    <row r="525" spans="9:13">
      <c r="I525" t="str">
        <f t="shared" si="16"/>
        <v/>
      </c>
      <c r="M525" t="str">
        <f t="shared" si="17"/>
        <v/>
      </c>
    </row>
    <row r="526" spans="9:13">
      <c r="I526" t="str">
        <f t="shared" si="16"/>
        <v/>
      </c>
      <c r="M526" t="str">
        <f t="shared" si="17"/>
        <v/>
      </c>
    </row>
    <row r="527" spans="9:13">
      <c r="I527" t="str">
        <f t="shared" si="16"/>
        <v/>
      </c>
      <c r="M527" t="str">
        <f t="shared" si="17"/>
        <v/>
      </c>
    </row>
    <row r="528" spans="9:13">
      <c r="I528" t="str">
        <f t="shared" si="16"/>
        <v/>
      </c>
      <c r="M528" t="str">
        <f t="shared" si="17"/>
        <v/>
      </c>
    </row>
    <row r="529" spans="9:13">
      <c r="I529" t="str">
        <f t="shared" si="16"/>
        <v/>
      </c>
      <c r="M529" t="str">
        <f t="shared" si="17"/>
        <v/>
      </c>
    </row>
    <row r="530" spans="9:13">
      <c r="I530" t="str">
        <f t="shared" si="16"/>
        <v/>
      </c>
      <c r="M530" t="str">
        <f t="shared" si="17"/>
        <v/>
      </c>
    </row>
    <row r="531" spans="9:13">
      <c r="I531" t="str">
        <f t="shared" si="16"/>
        <v/>
      </c>
      <c r="M531" t="str">
        <f t="shared" si="17"/>
        <v/>
      </c>
    </row>
    <row r="532" spans="9:13">
      <c r="I532" t="str">
        <f t="shared" si="16"/>
        <v/>
      </c>
      <c r="M532" t="str">
        <f t="shared" si="17"/>
        <v/>
      </c>
    </row>
    <row r="533" spans="9:13">
      <c r="I533" t="str">
        <f t="shared" si="16"/>
        <v/>
      </c>
      <c r="M533" t="str">
        <f t="shared" si="17"/>
        <v/>
      </c>
    </row>
    <row r="534" spans="9:13">
      <c r="I534" t="str">
        <f t="shared" si="16"/>
        <v/>
      </c>
      <c r="M534" t="str">
        <f t="shared" si="17"/>
        <v/>
      </c>
    </row>
    <row r="535" spans="9:13">
      <c r="I535" t="str">
        <f t="shared" si="16"/>
        <v/>
      </c>
      <c r="M535" t="str">
        <f t="shared" si="17"/>
        <v/>
      </c>
    </row>
    <row r="536" spans="9:13">
      <c r="I536" t="str">
        <f t="shared" si="16"/>
        <v/>
      </c>
      <c r="M536" t="str">
        <f t="shared" si="17"/>
        <v/>
      </c>
    </row>
    <row r="537" spans="9:13">
      <c r="I537" t="str">
        <f t="shared" si="16"/>
        <v/>
      </c>
      <c r="M537" t="str">
        <f t="shared" si="17"/>
        <v/>
      </c>
    </row>
    <row r="538" spans="9:13">
      <c r="I538" t="str">
        <f t="shared" si="16"/>
        <v/>
      </c>
      <c r="M538" t="str">
        <f t="shared" si="17"/>
        <v/>
      </c>
    </row>
    <row r="539" spans="9:13">
      <c r="I539" t="str">
        <f t="shared" si="16"/>
        <v/>
      </c>
      <c r="M539" t="str">
        <f t="shared" si="17"/>
        <v/>
      </c>
    </row>
    <row r="540" spans="9:13">
      <c r="I540" t="str">
        <f t="shared" si="16"/>
        <v/>
      </c>
      <c r="M540" t="str">
        <f t="shared" si="17"/>
        <v/>
      </c>
    </row>
    <row r="541" spans="9:13">
      <c r="I541" t="str">
        <f t="shared" si="16"/>
        <v/>
      </c>
      <c r="M541" t="str">
        <f t="shared" si="17"/>
        <v/>
      </c>
    </row>
    <row r="542" spans="9:13">
      <c r="I542" t="str">
        <f t="shared" si="16"/>
        <v/>
      </c>
      <c r="M542" t="str">
        <f t="shared" si="17"/>
        <v/>
      </c>
    </row>
    <row r="543" spans="9:13">
      <c r="I543" t="str">
        <f t="shared" si="16"/>
        <v/>
      </c>
      <c r="M543" t="str">
        <f t="shared" si="17"/>
        <v/>
      </c>
    </row>
    <row r="544" spans="9:13">
      <c r="I544" t="str">
        <f t="shared" si="16"/>
        <v/>
      </c>
      <c r="M544" t="str">
        <f t="shared" si="17"/>
        <v/>
      </c>
    </row>
    <row r="545" spans="9:13">
      <c r="I545" t="str">
        <f t="shared" si="16"/>
        <v/>
      </c>
      <c r="M545" t="str">
        <f t="shared" si="17"/>
        <v/>
      </c>
    </row>
    <row r="546" spans="9:13">
      <c r="I546" t="str">
        <f t="shared" si="16"/>
        <v/>
      </c>
      <c r="M546" t="str">
        <f t="shared" si="17"/>
        <v/>
      </c>
    </row>
    <row r="547" spans="9:13">
      <c r="I547" t="str">
        <f t="shared" si="16"/>
        <v/>
      </c>
      <c r="M547" t="str">
        <f t="shared" si="17"/>
        <v/>
      </c>
    </row>
    <row r="548" spans="9:13">
      <c r="I548" t="str">
        <f t="shared" si="16"/>
        <v/>
      </c>
      <c r="M548" t="str">
        <f t="shared" si="17"/>
        <v/>
      </c>
    </row>
    <row r="549" spans="9:13">
      <c r="I549" t="str">
        <f t="shared" si="16"/>
        <v/>
      </c>
      <c r="M549" t="str">
        <f t="shared" si="17"/>
        <v/>
      </c>
    </row>
    <row r="550" spans="9:13">
      <c r="I550" t="str">
        <f t="shared" si="16"/>
        <v/>
      </c>
      <c r="M550" t="str">
        <f t="shared" si="17"/>
        <v/>
      </c>
    </row>
    <row r="551" spans="9:13">
      <c r="I551" t="str">
        <f t="shared" si="16"/>
        <v/>
      </c>
      <c r="M551" t="str">
        <f t="shared" si="17"/>
        <v/>
      </c>
    </row>
    <row r="552" spans="9:13">
      <c r="I552" t="str">
        <f t="shared" si="16"/>
        <v/>
      </c>
      <c r="M552" t="str">
        <f t="shared" si="17"/>
        <v/>
      </c>
    </row>
    <row r="553" spans="9:13">
      <c r="I553" t="str">
        <f t="shared" si="16"/>
        <v/>
      </c>
      <c r="M553" t="str">
        <f t="shared" si="17"/>
        <v/>
      </c>
    </row>
    <row r="554" spans="9:13">
      <c r="I554" t="str">
        <f t="shared" si="16"/>
        <v/>
      </c>
      <c r="M554" t="str">
        <f t="shared" si="17"/>
        <v/>
      </c>
    </row>
    <row r="555" spans="9:13">
      <c r="I555" t="str">
        <f t="shared" si="16"/>
        <v/>
      </c>
      <c r="M555" t="str">
        <f t="shared" si="17"/>
        <v/>
      </c>
    </row>
    <row r="556" spans="9:13">
      <c r="I556" t="str">
        <f t="shared" si="16"/>
        <v/>
      </c>
      <c r="M556" t="str">
        <f t="shared" si="17"/>
        <v/>
      </c>
    </row>
    <row r="557" spans="9:13">
      <c r="I557" t="str">
        <f t="shared" si="16"/>
        <v/>
      </c>
      <c r="M557" t="str">
        <f t="shared" si="17"/>
        <v/>
      </c>
    </row>
    <row r="558" spans="9:13">
      <c r="I558" t="str">
        <f t="shared" si="16"/>
        <v/>
      </c>
      <c r="M558" t="str">
        <f t="shared" si="17"/>
        <v/>
      </c>
    </row>
    <row r="559" spans="9:13">
      <c r="I559" t="str">
        <f t="shared" si="16"/>
        <v/>
      </c>
      <c r="M559" t="str">
        <f t="shared" si="17"/>
        <v/>
      </c>
    </row>
    <row r="560" spans="9:13">
      <c r="I560" t="str">
        <f t="shared" si="16"/>
        <v/>
      </c>
      <c r="M560" t="str">
        <f t="shared" si="17"/>
        <v/>
      </c>
    </row>
    <row r="561" spans="9:13">
      <c r="I561" t="str">
        <f t="shared" si="16"/>
        <v/>
      </c>
      <c r="M561" t="str">
        <f t="shared" si="17"/>
        <v/>
      </c>
    </row>
    <row r="562" spans="9:13">
      <c r="I562" t="str">
        <f t="shared" si="16"/>
        <v/>
      </c>
      <c r="M562" t="str">
        <f t="shared" si="17"/>
        <v/>
      </c>
    </row>
    <row r="563" spans="9:13">
      <c r="I563" t="str">
        <f t="shared" si="16"/>
        <v/>
      </c>
      <c r="M563" t="str">
        <f t="shared" si="17"/>
        <v/>
      </c>
    </row>
    <row r="564" spans="9:13">
      <c r="I564" t="str">
        <f t="shared" si="16"/>
        <v/>
      </c>
      <c r="M564" t="str">
        <f t="shared" si="17"/>
        <v/>
      </c>
    </row>
    <row r="565" spans="9:13">
      <c r="I565" t="str">
        <f t="shared" si="16"/>
        <v/>
      </c>
      <c r="M565" t="str">
        <f t="shared" si="17"/>
        <v/>
      </c>
    </row>
    <row r="566" spans="9:13">
      <c r="I566" t="str">
        <f t="shared" si="16"/>
        <v/>
      </c>
      <c r="M566" t="str">
        <f t="shared" si="17"/>
        <v/>
      </c>
    </row>
    <row r="567" spans="9:13">
      <c r="I567" t="str">
        <f t="shared" si="16"/>
        <v/>
      </c>
      <c r="M567" t="str">
        <f t="shared" si="17"/>
        <v/>
      </c>
    </row>
    <row r="568" spans="9:13">
      <c r="I568" t="str">
        <f t="shared" si="16"/>
        <v/>
      </c>
      <c r="M568" t="str">
        <f t="shared" si="17"/>
        <v/>
      </c>
    </row>
    <row r="569" spans="9:13">
      <c r="I569" t="str">
        <f t="shared" si="16"/>
        <v/>
      </c>
      <c r="M569" t="str">
        <f t="shared" si="17"/>
        <v/>
      </c>
    </row>
    <row r="570" spans="9:13">
      <c r="I570" t="str">
        <f t="shared" si="16"/>
        <v/>
      </c>
      <c r="M570" t="str">
        <f t="shared" si="17"/>
        <v/>
      </c>
    </row>
    <row r="571" spans="9:13">
      <c r="I571" t="str">
        <f t="shared" si="16"/>
        <v/>
      </c>
      <c r="M571" t="str">
        <f t="shared" si="17"/>
        <v/>
      </c>
    </row>
    <row r="572" spans="9:13">
      <c r="I572" t="str">
        <f t="shared" si="16"/>
        <v/>
      </c>
      <c r="M572" t="str">
        <f t="shared" si="17"/>
        <v/>
      </c>
    </row>
    <row r="573" spans="9:13">
      <c r="I573" t="str">
        <f t="shared" si="16"/>
        <v/>
      </c>
      <c r="M573" t="str">
        <f t="shared" si="17"/>
        <v/>
      </c>
    </row>
    <row r="574" spans="9:13">
      <c r="I574" t="str">
        <f t="shared" si="16"/>
        <v/>
      </c>
      <c r="M574" t="str">
        <f t="shared" si="17"/>
        <v/>
      </c>
    </row>
    <row r="575" spans="9:13">
      <c r="I575" t="str">
        <f t="shared" si="16"/>
        <v/>
      </c>
      <c r="M575" t="str">
        <f t="shared" si="17"/>
        <v/>
      </c>
    </row>
    <row r="576" spans="9:13">
      <c r="I576" t="str">
        <f t="shared" si="16"/>
        <v/>
      </c>
      <c r="M576" t="str">
        <f t="shared" si="17"/>
        <v/>
      </c>
    </row>
    <row r="577" spans="9:13">
      <c r="I577" t="str">
        <f t="shared" si="16"/>
        <v/>
      </c>
      <c r="M577" t="str">
        <f t="shared" si="17"/>
        <v/>
      </c>
    </row>
    <row r="578" spans="9:13">
      <c r="I578" t="str">
        <f t="shared" ref="I578:I641" si="18">IF(AND(G578&lt;&gt;"", H578&lt;&gt;""), G578*H578, "")</f>
        <v/>
      </c>
      <c r="M578" t="str">
        <f t="shared" ref="M578:M641" si="19">IF(AND(K578&lt;&gt;"", L578&lt;&gt;""), K578*L578, "")</f>
        <v/>
      </c>
    </row>
    <row r="579" spans="9:13">
      <c r="I579" t="str">
        <f t="shared" si="18"/>
        <v/>
      </c>
      <c r="M579" t="str">
        <f t="shared" si="19"/>
        <v/>
      </c>
    </row>
    <row r="580" spans="9:13">
      <c r="I580" t="str">
        <f t="shared" si="18"/>
        <v/>
      </c>
      <c r="M580" t="str">
        <f t="shared" si="19"/>
        <v/>
      </c>
    </row>
    <row r="581" spans="9:13">
      <c r="I581" t="str">
        <f t="shared" si="18"/>
        <v/>
      </c>
      <c r="M581" t="str">
        <f t="shared" si="19"/>
        <v/>
      </c>
    </row>
    <row r="582" spans="9:13">
      <c r="I582" t="str">
        <f t="shared" si="18"/>
        <v/>
      </c>
      <c r="M582" t="str">
        <f t="shared" si="19"/>
        <v/>
      </c>
    </row>
    <row r="583" spans="9:13">
      <c r="I583" t="str">
        <f t="shared" si="18"/>
        <v/>
      </c>
      <c r="M583" t="str">
        <f t="shared" si="19"/>
        <v/>
      </c>
    </row>
    <row r="584" spans="9:13">
      <c r="I584" t="str">
        <f t="shared" si="18"/>
        <v/>
      </c>
      <c r="M584" t="str">
        <f t="shared" si="19"/>
        <v/>
      </c>
    </row>
    <row r="585" spans="9:13">
      <c r="I585" t="str">
        <f t="shared" si="18"/>
        <v/>
      </c>
      <c r="M585" t="str">
        <f t="shared" si="19"/>
        <v/>
      </c>
    </row>
    <row r="586" spans="9:13">
      <c r="I586" t="str">
        <f t="shared" si="18"/>
        <v/>
      </c>
      <c r="M586" t="str">
        <f t="shared" si="19"/>
        <v/>
      </c>
    </row>
    <row r="587" spans="9:13">
      <c r="I587" t="str">
        <f t="shared" si="18"/>
        <v/>
      </c>
      <c r="M587" t="str">
        <f t="shared" si="19"/>
        <v/>
      </c>
    </row>
    <row r="588" spans="9:13">
      <c r="I588" t="str">
        <f t="shared" si="18"/>
        <v/>
      </c>
      <c r="M588" t="str">
        <f t="shared" si="19"/>
        <v/>
      </c>
    </row>
    <row r="589" spans="9:13">
      <c r="I589" t="str">
        <f t="shared" si="18"/>
        <v/>
      </c>
      <c r="M589" t="str">
        <f t="shared" si="19"/>
        <v/>
      </c>
    </row>
    <row r="590" spans="9:13">
      <c r="I590" t="str">
        <f t="shared" si="18"/>
        <v/>
      </c>
      <c r="M590" t="str">
        <f t="shared" si="19"/>
        <v/>
      </c>
    </row>
    <row r="591" spans="9:13">
      <c r="I591" t="str">
        <f t="shared" si="18"/>
        <v/>
      </c>
      <c r="M591" t="str">
        <f t="shared" si="19"/>
        <v/>
      </c>
    </row>
    <row r="592" spans="9:13">
      <c r="I592" t="str">
        <f t="shared" si="18"/>
        <v/>
      </c>
      <c r="M592" t="str">
        <f t="shared" si="19"/>
        <v/>
      </c>
    </row>
    <row r="593" spans="9:13">
      <c r="I593" t="str">
        <f t="shared" si="18"/>
        <v/>
      </c>
      <c r="M593" t="str">
        <f t="shared" si="19"/>
        <v/>
      </c>
    </row>
    <row r="594" spans="9:13">
      <c r="I594" t="str">
        <f t="shared" si="18"/>
        <v/>
      </c>
      <c r="M594" t="str">
        <f t="shared" si="19"/>
        <v/>
      </c>
    </row>
    <row r="595" spans="9:13">
      <c r="I595" t="str">
        <f t="shared" si="18"/>
        <v/>
      </c>
      <c r="M595" t="str">
        <f t="shared" si="19"/>
        <v/>
      </c>
    </row>
    <row r="596" spans="9:13">
      <c r="I596" t="str">
        <f t="shared" si="18"/>
        <v/>
      </c>
      <c r="M596" t="str">
        <f t="shared" si="19"/>
        <v/>
      </c>
    </row>
    <row r="597" spans="9:13">
      <c r="I597" t="str">
        <f t="shared" si="18"/>
        <v/>
      </c>
      <c r="M597" t="str">
        <f t="shared" si="19"/>
        <v/>
      </c>
    </row>
    <row r="598" spans="9:13">
      <c r="I598" t="str">
        <f t="shared" si="18"/>
        <v/>
      </c>
      <c r="M598" t="str">
        <f t="shared" si="19"/>
        <v/>
      </c>
    </row>
    <row r="599" spans="9:13">
      <c r="I599" t="str">
        <f t="shared" si="18"/>
        <v/>
      </c>
      <c r="M599" t="str">
        <f t="shared" si="19"/>
        <v/>
      </c>
    </row>
    <row r="600" spans="9:13">
      <c r="I600" t="str">
        <f t="shared" si="18"/>
        <v/>
      </c>
      <c r="M600" t="str">
        <f t="shared" si="19"/>
        <v/>
      </c>
    </row>
    <row r="601" spans="9:13">
      <c r="I601" t="str">
        <f t="shared" si="18"/>
        <v/>
      </c>
      <c r="M601" t="str">
        <f t="shared" si="19"/>
        <v/>
      </c>
    </row>
    <row r="602" spans="9:13">
      <c r="I602" t="str">
        <f t="shared" si="18"/>
        <v/>
      </c>
      <c r="M602" t="str">
        <f t="shared" si="19"/>
        <v/>
      </c>
    </row>
    <row r="603" spans="9:13">
      <c r="I603" t="str">
        <f t="shared" si="18"/>
        <v/>
      </c>
      <c r="M603" t="str">
        <f t="shared" si="19"/>
        <v/>
      </c>
    </row>
    <row r="604" spans="9:13">
      <c r="I604" t="str">
        <f t="shared" si="18"/>
        <v/>
      </c>
      <c r="M604" t="str">
        <f t="shared" si="19"/>
        <v/>
      </c>
    </row>
    <row r="605" spans="9:13">
      <c r="I605" t="str">
        <f t="shared" si="18"/>
        <v/>
      </c>
      <c r="M605" t="str">
        <f t="shared" si="19"/>
        <v/>
      </c>
    </row>
    <row r="606" spans="9:13">
      <c r="I606" t="str">
        <f t="shared" si="18"/>
        <v/>
      </c>
      <c r="M606" t="str">
        <f t="shared" si="19"/>
        <v/>
      </c>
    </row>
    <row r="607" spans="9:13">
      <c r="I607" t="str">
        <f t="shared" si="18"/>
        <v/>
      </c>
      <c r="M607" t="str">
        <f t="shared" si="19"/>
        <v/>
      </c>
    </row>
    <row r="608" spans="9:13">
      <c r="I608" t="str">
        <f t="shared" si="18"/>
        <v/>
      </c>
      <c r="M608" t="str">
        <f t="shared" si="19"/>
        <v/>
      </c>
    </row>
    <row r="609" spans="9:13">
      <c r="I609" t="str">
        <f t="shared" si="18"/>
        <v/>
      </c>
      <c r="M609" t="str">
        <f t="shared" si="19"/>
        <v/>
      </c>
    </row>
    <row r="610" spans="9:13">
      <c r="I610" t="str">
        <f t="shared" si="18"/>
        <v/>
      </c>
      <c r="M610" t="str">
        <f t="shared" si="19"/>
        <v/>
      </c>
    </row>
    <row r="611" spans="9:13">
      <c r="I611" t="str">
        <f t="shared" si="18"/>
        <v/>
      </c>
      <c r="M611" t="str">
        <f t="shared" si="19"/>
        <v/>
      </c>
    </row>
    <row r="612" spans="9:13">
      <c r="I612" t="str">
        <f t="shared" si="18"/>
        <v/>
      </c>
      <c r="M612" t="str">
        <f t="shared" si="19"/>
        <v/>
      </c>
    </row>
    <row r="613" spans="9:13">
      <c r="I613" t="str">
        <f t="shared" si="18"/>
        <v/>
      </c>
      <c r="M613" t="str">
        <f t="shared" si="19"/>
        <v/>
      </c>
    </row>
    <row r="614" spans="9:13">
      <c r="I614" t="str">
        <f t="shared" si="18"/>
        <v/>
      </c>
      <c r="M614" t="str">
        <f t="shared" si="19"/>
        <v/>
      </c>
    </row>
    <row r="615" spans="9:13">
      <c r="I615" t="str">
        <f t="shared" si="18"/>
        <v/>
      </c>
      <c r="M615" t="str">
        <f t="shared" si="19"/>
        <v/>
      </c>
    </row>
    <row r="616" spans="9:13">
      <c r="I616" t="str">
        <f t="shared" si="18"/>
        <v/>
      </c>
      <c r="M616" t="str">
        <f t="shared" si="19"/>
        <v/>
      </c>
    </row>
    <row r="617" spans="9:13">
      <c r="I617" t="str">
        <f t="shared" si="18"/>
        <v/>
      </c>
      <c r="M617" t="str">
        <f t="shared" si="19"/>
        <v/>
      </c>
    </row>
    <row r="618" spans="9:13">
      <c r="I618" t="str">
        <f t="shared" si="18"/>
        <v/>
      </c>
      <c r="M618" t="str">
        <f t="shared" si="19"/>
        <v/>
      </c>
    </row>
    <row r="619" spans="9:13">
      <c r="I619" t="str">
        <f t="shared" si="18"/>
        <v/>
      </c>
      <c r="M619" t="str">
        <f t="shared" si="19"/>
        <v/>
      </c>
    </row>
    <row r="620" spans="9:13">
      <c r="I620" t="str">
        <f t="shared" si="18"/>
        <v/>
      </c>
      <c r="M620" t="str">
        <f t="shared" si="19"/>
        <v/>
      </c>
    </row>
    <row r="621" spans="9:13">
      <c r="I621" t="str">
        <f t="shared" si="18"/>
        <v/>
      </c>
      <c r="M621" t="str">
        <f t="shared" si="19"/>
        <v/>
      </c>
    </row>
    <row r="622" spans="9:13">
      <c r="I622" t="str">
        <f t="shared" si="18"/>
        <v/>
      </c>
      <c r="M622" t="str">
        <f t="shared" si="19"/>
        <v/>
      </c>
    </row>
    <row r="623" spans="9:13">
      <c r="I623" t="str">
        <f t="shared" si="18"/>
        <v/>
      </c>
      <c r="M623" t="str">
        <f t="shared" si="19"/>
        <v/>
      </c>
    </row>
    <row r="624" spans="9:13">
      <c r="I624" t="str">
        <f t="shared" si="18"/>
        <v/>
      </c>
      <c r="M624" t="str">
        <f t="shared" si="19"/>
        <v/>
      </c>
    </row>
    <row r="625" spans="9:13">
      <c r="I625" t="str">
        <f t="shared" si="18"/>
        <v/>
      </c>
      <c r="M625" t="str">
        <f t="shared" si="19"/>
        <v/>
      </c>
    </row>
    <row r="626" spans="9:13">
      <c r="I626" t="str">
        <f t="shared" si="18"/>
        <v/>
      </c>
      <c r="M626" t="str">
        <f t="shared" si="19"/>
        <v/>
      </c>
    </row>
    <row r="627" spans="9:13">
      <c r="I627" t="str">
        <f t="shared" si="18"/>
        <v/>
      </c>
      <c r="M627" t="str">
        <f t="shared" si="19"/>
        <v/>
      </c>
    </row>
    <row r="628" spans="9:13">
      <c r="I628" t="str">
        <f t="shared" si="18"/>
        <v/>
      </c>
      <c r="M628" t="str">
        <f t="shared" si="19"/>
        <v/>
      </c>
    </row>
    <row r="629" spans="9:13">
      <c r="I629" t="str">
        <f t="shared" si="18"/>
        <v/>
      </c>
      <c r="M629" t="str">
        <f t="shared" si="19"/>
        <v/>
      </c>
    </row>
    <row r="630" spans="9:13">
      <c r="I630" t="str">
        <f t="shared" si="18"/>
        <v/>
      </c>
      <c r="M630" t="str">
        <f t="shared" si="19"/>
        <v/>
      </c>
    </row>
    <row r="631" spans="9:13">
      <c r="I631" t="str">
        <f t="shared" si="18"/>
        <v/>
      </c>
      <c r="M631" t="str">
        <f t="shared" si="19"/>
        <v/>
      </c>
    </row>
    <row r="632" spans="9:13">
      <c r="I632" t="str">
        <f t="shared" si="18"/>
        <v/>
      </c>
      <c r="M632" t="str">
        <f t="shared" si="19"/>
        <v/>
      </c>
    </row>
    <row r="633" spans="9:13">
      <c r="I633" t="str">
        <f t="shared" si="18"/>
        <v/>
      </c>
      <c r="M633" t="str">
        <f t="shared" si="19"/>
        <v/>
      </c>
    </row>
    <row r="634" spans="9:13">
      <c r="I634" t="str">
        <f t="shared" si="18"/>
        <v/>
      </c>
      <c r="M634" t="str">
        <f t="shared" si="19"/>
        <v/>
      </c>
    </row>
    <row r="635" spans="9:13">
      <c r="I635" t="str">
        <f t="shared" si="18"/>
        <v/>
      </c>
      <c r="M635" t="str">
        <f t="shared" si="19"/>
        <v/>
      </c>
    </row>
    <row r="636" spans="9:13">
      <c r="I636" t="str">
        <f t="shared" si="18"/>
        <v/>
      </c>
      <c r="M636" t="str">
        <f t="shared" si="19"/>
        <v/>
      </c>
    </row>
    <row r="637" spans="9:13">
      <c r="I637" t="str">
        <f t="shared" si="18"/>
        <v/>
      </c>
      <c r="M637" t="str">
        <f t="shared" si="19"/>
        <v/>
      </c>
    </row>
    <row r="638" spans="9:13">
      <c r="I638" t="str">
        <f t="shared" si="18"/>
        <v/>
      </c>
      <c r="M638" t="str">
        <f t="shared" si="19"/>
        <v/>
      </c>
    </row>
    <row r="639" spans="9:13">
      <c r="I639" t="str">
        <f t="shared" si="18"/>
        <v/>
      </c>
      <c r="M639" t="str">
        <f t="shared" si="19"/>
        <v/>
      </c>
    </row>
    <row r="640" spans="9:13">
      <c r="I640" t="str">
        <f t="shared" si="18"/>
        <v/>
      </c>
      <c r="M640" t="str">
        <f t="shared" si="19"/>
        <v/>
      </c>
    </row>
    <row r="641" spans="9:13">
      <c r="I641" t="str">
        <f t="shared" si="18"/>
        <v/>
      </c>
      <c r="M641" t="str">
        <f t="shared" si="19"/>
        <v/>
      </c>
    </row>
    <row r="642" spans="9:13">
      <c r="I642" t="str">
        <f t="shared" ref="I642:I705" si="20">IF(AND(G642&lt;&gt;"", H642&lt;&gt;""), G642*H642, "")</f>
        <v/>
      </c>
      <c r="M642" t="str">
        <f t="shared" ref="M642:M705" si="21">IF(AND(K642&lt;&gt;"", L642&lt;&gt;""), K642*L642, "")</f>
        <v/>
      </c>
    </row>
    <row r="643" spans="9:13">
      <c r="I643" t="str">
        <f t="shared" si="20"/>
        <v/>
      </c>
      <c r="M643" t="str">
        <f t="shared" si="21"/>
        <v/>
      </c>
    </row>
    <row r="644" spans="9:13">
      <c r="I644" t="str">
        <f t="shared" si="20"/>
        <v/>
      </c>
      <c r="M644" t="str">
        <f t="shared" si="21"/>
        <v/>
      </c>
    </row>
    <row r="645" spans="9:13">
      <c r="I645" t="str">
        <f t="shared" si="20"/>
        <v/>
      </c>
      <c r="M645" t="str">
        <f t="shared" si="21"/>
        <v/>
      </c>
    </row>
    <row r="646" spans="9:13">
      <c r="I646" t="str">
        <f t="shared" si="20"/>
        <v/>
      </c>
      <c r="M646" t="str">
        <f t="shared" si="21"/>
        <v/>
      </c>
    </row>
    <row r="647" spans="9:13">
      <c r="I647" t="str">
        <f t="shared" si="20"/>
        <v/>
      </c>
      <c r="M647" t="str">
        <f t="shared" si="21"/>
        <v/>
      </c>
    </row>
    <row r="648" spans="9:13">
      <c r="I648" t="str">
        <f t="shared" si="20"/>
        <v/>
      </c>
      <c r="M648" t="str">
        <f t="shared" si="21"/>
        <v/>
      </c>
    </row>
    <row r="649" spans="9:13">
      <c r="I649" t="str">
        <f t="shared" si="20"/>
        <v/>
      </c>
      <c r="M649" t="str">
        <f t="shared" si="21"/>
        <v/>
      </c>
    </row>
    <row r="650" spans="9:13">
      <c r="I650" t="str">
        <f t="shared" si="20"/>
        <v/>
      </c>
      <c r="M650" t="str">
        <f t="shared" si="21"/>
        <v/>
      </c>
    </row>
    <row r="651" spans="9:13">
      <c r="I651" t="str">
        <f t="shared" si="20"/>
        <v/>
      </c>
      <c r="M651" t="str">
        <f t="shared" si="21"/>
        <v/>
      </c>
    </row>
    <row r="652" spans="9:13">
      <c r="I652" t="str">
        <f t="shared" si="20"/>
        <v/>
      </c>
      <c r="M652" t="str">
        <f t="shared" si="21"/>
        <v/>
      </c>
    </row>
    <row r="653" spans="9:13">
      <c r="I653" t="str">
        <f t="shared" si="20"/>
        <v/>
      </c>
      <c r="M653" t="str">
        <f t="shared" si="21"/>
        <v/>
      </c>
    </row>
    <row r="654" spans="9:13">
      <c r="I654" t="str">
        <f t="shared" si="20"/>
        <v/>
      </c>
      <c r="M654" t="str">
        <f t="shared" si="21"/>
        <v/>
      </c>
    </row>
    <row r="655" spans="9:13">
      <c r="I655" t="str">
        <f t="shared" si="20"/>
        <v/>
      </c>
      <c r="M655" t="str">
        <f t="shared" si="21"/>
        <v/>
      </c>
    </row>
    <row r="656" spans="9:13">
      <c r="I656" t="str">
        <f t="shared" si="20"/>
        <v/>
      </c>
      <c r="M656" t="str">
        <f t="shared" si="21"/>
        <v/>
      </c>
    </row>
    <row r="657" spans="9:13">
      <c r="I657" t="str">
        <f t="shared" si="20"/>
        <v/>
      </c>
      <c r="M657" t="str">
        <f t="shared" si="21"/>
        <v/>
      </c>
    </row>
    <row r="658" spans="9:13">
      <c r="I658" t="str">
        <f t="shared" si="20"/>
        <v/>
      </c>
      <c r="M658" t="str">
        <f t="shared" si="21"/>
        <v/>
      </c>
    </row>
    <row r="659" spans="9:13">
      <c r="I659" t="str">
        <f t="shared" si="20"/>
        <v/>
      </c>
      <c r="M659" t="str">
        <f t="shared" si="21"/>
        <v/>
      </c>
    </row>
    <row r="660" spans="9:13">
      <c r="I660" t="str">
        <f t="shared" si="20"/>
        <v/>
      </c>
      <c r="M660" t="str">
        <f t="shared" si="21"/>
        <v/>
      </c>
    </row>
    <row r="661" spans="9:13">
      <c r="I661" t="str">
        <f t="shared" si="20"/>
        <v/>
      </c>
      <c r="M661" t="str">
        <f t="shared" si="21"/>
        <v/>
      </c>
    </row>
    <row r="662" spans="9:13">
      <c r="I662" t="str">
        <f t="shared" si="20"/>
        <v/>
      </c>
      <c r="M662" t="str">
        <f t="shared" si="21"/>
        <v/>
      </c>
    </row>
    <row r="663" spans="9:13">
      <c r="I663" t="str">
        <f t="shared" si="20"/>
        <v/>
      </c>
      <c r="M663" t="str">
        <f t="shared" si="21"/>
        <v/>
      </c>
    </row>
    <row r="664" spans="9:13">
      <c r="I664" t="str">
        <f t="shared" si="20"/>
        <v/>
      </c>
      <c r="M664" t="str">
        <f t="shared" si="21"/>
        <v/>
      </c>
    </row>
    <row r="665" spans="9:13">
      <c r="I665" t="str">
        <f t="shared" si="20"/>
        <v/>
      </c>
      <c r="M665" t="str">
        <f t="shared" si="21"/>
        <v/>
      </c>
    </row>
    <row r="666" spans="9:13">
      <c r="I666" t="str">
        <f t="shared" si="20"/>
        <v/>
      </c>
      <c r="M666" t="str">
        <f t="shared" si="21"/>
        <v/>
      </c>
    </row>
    <row r="667" spans="9:13">
      <c r="I667" t="str">
        <f t="shared" si="20"/>
        <v/>
      </c>
      <c r="M667" t="str">
        <f t="shared" si="21"/>
        <v/>
      </c>
    </row>
    <row r="668" spans="9:13">
      <c r="I668" t="str">
        <f t="shared" si="20"/>
        <v/>
      </c>
      <c r="M668" t="str">
        <f t="shared" si="21"/>
        <v/>
      </c>
    </row>
    <row r="669" spans="9:13">
      <c r="I669" t="str">
        <f t="shared" si="20"/>
        <v/>
      </c>
      <c r="M669" t="str">
        <f t="shared" si="21"/>
        <v/>
      </c>
    </row>
    <row r="670" spans="9:13">
      <c r="I670" t="str">
        <f t="shared" si="20"/>
        <v/>
      </c>
      <c r="M670" t="str">
        <f t="shared" si="21"/>
        <v/>
      </c>
    </row>
    <row r="671" spans="9:13">
      <c r="I671" t="str">
        <f t="shared" si="20"/>
        <v/>
      </c>
      <c r="M671" t="str">
        <f t="shared" si="21"/>
        <v/>
      </c>
    </row>
    <row r="672" spans="9:13">
      <c r="I672" t="str">
        <f t="shared" si="20"/>
        <v/>
      </c>
      <c r="M672" t="str">
        <f t="shared" si="21"/>
        <v/>
      </c>
    </row>
    <row r="673" spans="9:13">
      <c r="I673" t="str">
        <f t="shared" si="20"/>
        <v/>
      </c>
      <c r="M673" t="str">
        <f t="shared" si="21"/>
        <v/>
      </c>
    </row>
    <row r="674" spans="9:13">
      <c r="I674" t="str">
        <f t="shared" si="20"/>
        <v/>
      </c>
      <c r="M674" t="str">
        <f t="shared" si="21"/>
        <v/>
      </c>
    </row>
    <row r="675" spans="9:13">
      <c r="I675" t="str">
        <f t="shared" si="20"/>
        <v/>
      </c>
      <c r="M675" t="str">
        <f t="shared" si="21"/>
        <v/>
      </c>
    </row>
    <row r="676" spans="9:13">
      <c r="I676" t="str">
        <f t="shared" si="20"/>
        <v/>
      </c>
      <c r="M676" t="str">
        <f t="shared" si="21"/>
        <v/>
      </c>
    </row>
    <row r="677" spans="9:13">
      <c r="I677" t="str">
        <f t="shared" si="20"/>
        <v/>
      </c>
      <c r="M677" t="str">
        <f t="shared" si="21"/>
        <v/>
      </c>
    </row>
    <row r="678" spans="9:13">
      <c r="I678" t="str">
        <f t="shared" si="20"/>
        <v/>
      </c>
      <c r="M678" t="str">
        <f t="shared" si="21"/>
        <v/>
      </c>
    </row>
    <row r="679" spans="9:13">
      <c r="I679" t="str">
        <f t="shared" si="20"/>
        <v/>
      </c>
      <c r="M679" t="str">
        <f t="shared" si="21"/>
        <v/>
      </c>
    </row>
    <row r="680" spans="9:13">
      <c r="I680" t="str">
        <f t="shared" si="20"/>
        <v/>
      </c>
      <c r="M680" t="str">
        <f t="shared" si="21"/>
        <v/>
      </c>
    </row>
    <row r="681" spans="9:13">
      <c r="I681" t="str">
        <f t="shared" si="20"/>
        <v/>
      </c>
      <c r="M681" t="str">
        <f t="shared" si="21"/>
        <v/>
      </c>
    </row>
    <row r="682" spans="9:13">
      <c r="I682" t="str">
        <f t="shared" si="20"/>
        <v/>
      </c>
      <c r="M682" t="str">
        <f t="shared" si="21"/>
        <v/>
      </c>
    </row>
    <row r="683" spans="9:13">
      <c r="I683" t="str">
        <f t="shared" si="20"/>
        <v/>
      </c>
      <c r="M683" t="str">
        <f t="shared" si="21"/>
        <v/>
      </c>
    </row>
    <row r="684" spans="9:13">
      <c r="I684" t="str">
        <f t="shared" si="20"/>
        <v/>
      </c>
      <c r="M684" t="str">
        <f t="shared" si="21"/>
        <v/>
      </c>
    </row>
    <row r="685" spans="9:13">
      <c r="I685" t="str">
        <f t="shared" si="20"/>
        <v/>
      </c>
      <c r="M685" t="str">
        <f t="shared" si="21"/>
        <v/>
      </c>
    </row>
    <row r="686" spans="9:13">
      <c r="I686" t="str">
        <f t="shared" si="20"/>
        <v/>
      </c>
      <c r="M686" t="str">
        <f t="shared" si="21"/>
        <v/>
      </c>
    </row>
    <row r="687" spans="9:13">
      <c r="I687" t="str">
        <f t="shared" si="20"/>
        <v/>
      </c>
      <c r="M687" t="str">
        <f t="shared" si="21"/>
        <v/>
      </c>
    </row>
    <row r="688" spans="9:13">
      <c r="I688" t="str">
        <f t="shared" si="20"/>
        <v/>
      </c>
      <c r="M688" t="str">
        <f t="shared" si="21"/>
        <v/>
      </c>
    </row>
    <row r="689" spans="9:13">
      <c r="I689" t="str">
        <f t="shared" si="20"/>
        <v/>
      </c>
      <c r="M689" t="str">
        <f t="shared" si="21"/>
        <v/>
      </c>
    </row>
    <row r="690" spans="9:13">
      <c r="I690" t="str">
        <f t="shared" si="20"/>
        <v/>
      </c>
      <c r="M690" t="str">
        <f t="shared" si="21"/>
        <v/>
      </c>
    </row>
    <row r="691" spans="9:13">
      <c r="I691" t="str">
        <f t="shared" si="20"/>
        <v/>
      </c>
      <c r="M691" t="str">
        <f t="shared" si="21"/>
        <v/>
      </c>
    </row>
    <row r="692" spans="9:13">
      <c r="I692" t="str">
        <f t="shared" si="20"/>
        <v/>
      </c>
      <c r="M692" t="str">
        <f t="shared" si="21"/>
        <v/>
      </c>
    </row>
    <row r="693" spans="9:13">
      <c r="I693" t="str">
        <f t="shared" si="20"/>
        <v/>
      </c>
      <c r="M693" t="str">
        <f t="shared" si="21"/>
        <v/>
      </c>
    </row>
    <row r="694" spans="9:13">
      <c r="I694" t="str">
        <f t="shared" si="20"/>
        <v/>
      </c>
      <c r="M694" t="str">
        <f t="shared" si="21"/>
        <v/>
      </c>
    </row>
    <row r="695" spans="9:13">
      <c r="I695" t="str">
        <f t="shared" si="20"/>
        <v/>
      </c>
      <c r="M695" t="str">
        <f t="shared" si="21"/>
        <v/>
      </c>
    </row>
    <row r="696" spans="9:13">
      <c r="I696" t="str">
        <f t="shared" si="20"/>
        <v/>
      </c>
      <c r="M696" t="str">
        <f t="shared" si="21"/>
        <v/>
      </c>
    </row>
    <row r="697" spans="9:13">
      <c r="I697" t="str">
        <f t="shared" si="20"/>
        <v/>
      </c>
      <c r="M697" t="str">
        <f t="shared" si="21"/>
        <v/>
      </c>
    </row>
    <row r="698" spans="9:13">
      <c r="I698" t="str">
        <f t="shared" si="20"/>
        <v/>
      </c>
      <c r="M698" t="str">
        <f t="shared" si="21"/>
        <v/>
      </c>
    </row>
    <row r="699" spans="9:13">
      <c r="I699" t="str">
        <f t="shared" si="20"/>
        <v/>
      </c>
      <c r="M699" t="str">
        <f t="shared" si="21"/>
        <v/>
      </c>
    </row>
    <row r="700" spans="9:13">
      <c r="I700" t="str">
        <f t="shared" si="20"/>
        <v/>
      </c>
      <c r="M700" t="str">
        <f t="shared" si="21"/>
        <v/>
      </c>
    </row>
    <row r="701" spans="9:13">
      <c r="I701" t="str">
        <f t="shared" si="20"/>
        <v/>
      </c>
      <c r="M701" t="str">
        <f t="shared" si="21"/>
        <v/>
      </c>
    </row>
    <row r="702" spans="9:13">
      <c r="I702" t="str">
        <f t="shared" si="20"/>
        <v/>
      </c>
      <c r="M702" t="str">
        <f t="shared" si="21"/>
        <v/>
      </c>
    </row>
    <row r="703" spans="9:13">
      <c r="I703" t="str">
        <f t="shared" si="20"/>
        <v/>
      </c>
      <c r="M703" t="str">
        <f t="shared" si="21"/>
        <v/>
      </c>
    </row>
    <row r="704" spans="9:13">
      <c r="I704" t="str">
        <f t="shared" si="20"/>
        <v/>
      </c>
      <c r="M704" t="str">
        <f t="shared" si="21"/>
        <v/>
      </c>
    </row>
    <row r="705" spans="9:13">
      <c r="I705" t="str">
        <f t="shared" si="20"/>
        <v/>
      </c>
      <c r="M705" t="str">
        <f t="shared" si="21"/>
        <v/>
      </c>
    </row>
    <row r="706" spans="9:13">
      <c r="I706" t="str">
        <f t="shared" ref="I706:I769" si="22">IF(AND(G706&lt;&gt;"", H706&lt;&gt;""), G706*H706, "")</f>
        <v/>
      </c>
      <c r="M706" t="str">
        <f t="shared" ref="M706:M769" si="23">IF(AND(K706&lt;&gt;"", L706&lt;&gt;""), K706*L706, "")</f>
        <v/>
      </c>
    </row>
    <row r="707" spans="9:13">
      <c r="I707" t="str">
        <f t="shared" si="22"/>
        <v/>
      </c>
      <c r="M707" t="str">
        <f t="shared" si="23"/>
        <v/>
      </c>
    </row>
    <row r="708" spans="9:13">
      <c r="I708" t="str">
        <f t="shared" si="22"/>
        <v/>
      </c>
      <c r="M708" t="str">
        <f t="shared" si="23"/>
        <v/>
      </c>
    </row>
    <row r="709" spans="9:13">
      <c r="I709" t="str">
        <f t="shared" si="22"/>
        <v/>
      </c>
      <c r="M709" t="str">
        <f t="shared" si="23"/>
        <v/>
      </c>
    </row>
    <row r="710" spans="9:13">
      <c r="I710" t="str">
        <f t="shared" si="22"/>
        <v/>
      </c>
      <c r="M710" t="str">
        <f t="shared" si="23"/>
        <v/>
      </c>
    </row>
    <row r="711" spans="9:13">
      <c r="I711" t="str">
        <f t="shared" si="22"/>
        <v/>
      </c>
      <c r="M711" t="str">
        <f t="shared" si="23"/>
        <v/>
      </c>
    </row>
    <row r="712" spans="9:13">
      <c r="I712" t="str">
        <f t="shared" si="22"/>
        <v/>
      </c>
      <c r="M712" t="str">
        <f t="shared" si="23"/>
        <v/>
      </c>
    </row>
    <row r="713" spans="9:13">
      <c r="I713" t="str">
        <f t="shared" si="22"/>
        <v/>
      </c>
      <c r="M713" t="str">
        <f t="shared" si="23"/>
        <v/>
      </c>
    </row>
    <row r="714" spans="9:13">
      <c r="I714" t="str">
        <f t="shared" si="22"/>
        <v/>
      </c>
      <c r="M714" t="str">
        <f t="shared" si="23"/>
        <v/>
      </c>
    </row>
    <row r="715" spans="9:13">
      <c r="I715" t="str">
        <f t="shared" si="22"/>
        <v/>
      </c>
      <c r="M715" t="str">
        <f t="shared" si="23"/>
        <v/>
      </c>
    </row>
    <row r="716" spans="9:13">
      <c r="I716" t="str">
        <f t="shared" si="22"/>
        <v/>
      </c>
      <c r="M716" t="str">
        <f t="shared" si="23"/>
        <v/>
      </c>
    </row>
    <row r="717" spans="9:13">
      <c r="I717" t="str">
        <f t="shared" si="22"/>
        <v/>
      </c>
      <c r="M717" t="str">
        <f t="shared" si="23"/>
        <v/>
      </c>
    </row>
    <row r="718" spans="9:13">
      <c r="I718" t="str">
        <f t="shared" si="22"/>
        <v/>
      </c>
      <c r="M718" t="str">
        <f t="shared" si="23"/>
        <v/>
      </c>
    </row>
    <row r="719" spans="9:13">
      <c r="I719" t="str">
        <f t="shared" si="22"/>
        <v/>
      </c>
      <c r="M719" t="str">
        <f t="shared" si="23"/>
        <v/>
      </c>
    </row>
    <row r="720" spans="9:13">
      <c r="I720" t="str">
        <f t="shared" si="22"/>
        <v/>
      </c>
      <c r="M720" t="str">
        <f t="shared" si="23"/>
        <v/>
      </c>
    </row>
    <row r="721" spans="9:13">
      <c r="I721" t="str">
        <f t="shared" si="22"/>
        <v/>
      </c>
      <c r="M721" t="str">
        <f t="shared" si="23"/>
        <v/>
      </c>
    </row>
    <row r="722" spans="9:13">
      <c r="I722" t="str">
        <f t="shared" si="22"/>
        <v/>
      </c>
      <c r="M722" t="str">
        <f t="shared" si="23"/>
        <v/>
      </c>
    </row>
    <row r="723" spans="9:13">
      <c r="I723" t="str">
        <f t="shared" si="22"/>
        <v/>
      </c>
      <c r="M723" t="str">
        <f t="shared" si="23"/>
        <v/>
      </c>
    </row>
    <row r="724" spans="9:13">
      <c r="I724" t="str">
        <f t="shared" si="22"/>
        <v/>
      </c>
      <c r="M724" t="str">
        <f t="shared" si="23"/>
        <v/>
      </c>
    </row>
    <row r="725" spans="9:13">
      <c r="I725" t="str">
        <f t="shared" si="22"/>
        <v/>
      </c>
      <c r="M725" t="str">
        <f t="shared" si="23"/>
        <v/>
      </c>
    </row>
    <row r="726" spans="9:13">
      <c r="I726" t="str">
        <f t="shared" si="22"/>
        <v/>
      </c>
      <c r="M726" t="str">
        <f t="shared" si="23"/>
        <v/>
      </c>
    </row>
    <row r="727" spans="9:13">
      <c r="I727" t="str">
        <f t="shared" si="22"/>
        <v/>
      </c>
      <c r="M727" t="str">
        <f t="shared" si="23"/>
        <v/>
      </c>
    </row>
    <row r="728" spans="9:13">
      <c r="I728" t="str">
        <f t="shared" si="22"/>
        <v/>
      </c>
      <c r="M728" t="str">
        <f t="shared" si="23"/>
        <v/>
      </c>
    </row>
    <row r="729" spans="9:13">
      <c r="I729" t="str">
        <f t="shared" si="22"/>
        <v/>
      </c>
      <c r="M729" t="str">
        <f t="shared" si="23"/>
        <v/>
      </c>
    </row>
    <row r="730" spans="9:13">
      <c r="I730" t="str">
        <f t="shared" si="22"/>
        <v/>
      </c>
      <c r="M730" t="str">
        <f t="shared" si="23"/>
        <v/>
      </c>
    </row>
    <row r="731" spans="9:13">
      <c r="I731" t="str">
        <f t="shared" si="22"/>
        <v/>
      </c>
      <c r="M731" t="str">
        <f t="shared" si="23"/>
        <v/>
      </c>
    </row>
    <row r="732" spans="9:13">
      <c r="I732" t="str">
        <f t="shared" si="22"/>
        <v/>
      </c>
      <c r="M732" t="str">
        <f t="shared" si="23"/>
        <v/>
      </c>
    </row>
    <row r="733" spans="9:13">
      <c r="I733" t="str">
        <f t="shared" si="22"/>
        <v/>
      </c>
      <c r="M733" t="str">
        <f t="shared" si="23"/>
        <v/>
      </c>
    </row>
    <row r="734" spans="9:13">
      <c r="I734" t="str">
        <f t="shared" si="22"/>
        <v/>
      </c>
      <c r="M734" t="str">
        <f t="shared" si="23"/>
        <v/>
      </c>
    </row>
    <row r="735" spans="9:13">
      <c r="I735" t="str">
        <f t="shared" si="22"/>
        <v/>
      </c>
      <c r="M735" t="str">
        <f t="shared" si="23"/>
        <v/>
      </c>
    </row>
    <row r="736" spans="9:13">
      <c r="I736" t="str">
        <f t="shared" si="22"/>
        <v/>
      </c>
      <c r="M736" t="str">
        <f t="shared" si="23"/>
        <v/>
      </c>
    </row>
    <row r="737" spans="9:13">
      <c r="I737" t="str">
        <f t="shared" si="22"/>
        <v/>
      </c>
      <c r="M737" t="str">
        <f t="shared" si="23"/>
        <v/>
      </c>
    </row>
    <row r="738" spans="9:13">
      <c r="I738" t="str">
        <f t="shared" si="22"/>
        <v/>
      </c>
      <c r="M738" t="str">
        <f t="shared" si="23"/>
        <v/>
      </c>
    </row>
    <row r="739" spans="9:13">
      <c r="I739" t="str">
        <f t="shared" si="22"/>
        <v/>
      </c>
      <c r="M739" t="str">
        <f t="shared" si="23"/>
        <v/>
      </c>
    </row>
    <row r="740" spans="9:13">
      <c r="I740" t="str">
        <f t="shared" si="22"/>
        <v/>
      </c>
      <c r="M740" t="str">
        <f t="shared" si="23"/>
        <v/>
      </c>
    </row>
    <row r="741" spans="9:13">
      <c r="I741" t="str">
        <f t="shared" si="22"/>
        <v/>
      </c>
      <c r="M741" t="str">
        <f t="shared" si="23"/>
        <v/>
      </c>
    </row>
    <row r="742" spans="9:13">
      <c r="I742" t="str">
        <f t="shared" si="22"/>
        <v/>
      </c>
      <c r="M742" t="str">
        <f t="shared" si="23"/>
        <v/>
      </c>
    </row>
    <row r="743" spans="9:13">
      <c r="I743" t="str">
        <f t="shared" si="22"/>
        <v/>
      </c>
      <c r="M743" t="str">
        <f t="shared" si="23"/>
        <v/>
      </c>
    </row>
    <row r="744" spans="9:13">
      <c r="I744" t="str">
        <f t="shared" si="22"/>
        <v/>
      </c>
      <c r="M744" t="str">
        <f t="shared" si="23"/>
        <v/>
      </c>
    </row>
    <row r="745" spans="9:13">
      <c r="I745" t="str">
        <f t="shared" si="22"/>
        <v/>
      </c>
      <c r="M745" t="str">
        <f t="shared" si="23"/>
        <v/>
      </c>
    </row>
    <row r="746" spans="9:13">
      <c r="I746" t="str">
        <f t="shared" si="22"/>
        <v/>
      </c>
      <c r="M746" t="str">
        <f t="shared" si="23"/>
        <v/>
      </c>
    </row>
    <row r="747" spans="9:13">
      <c r="I747" t="str">
        <f t="shared" si="22"/>
        <v/>
      </c>
      <c r="M747" t="str">
        <f t="shared" si="23"/>
        <v/>
      </c>
    </row>
    <row r="748" spans="9:13">
      <c r="I748" t="str">
        <f t="shared" si="22"/>
        <v/>
      </c>
      <c r="M748" t="str">
        <f t="shared" si="23"/>
        <v/>
      </c>
    </row>
    <row r="749" spans="9:13">
      <c r="I749" t="str">
        <f t="shared" si="22"/>
        <v/>
      </c>
      <c r="M749" t="str">
        <f t="shared" si="23"/>
        <v/>
      </c>
    </row>
    <row r="750" spans="9:13">
      <c r="I750" t="str">
        <f t="shared" si="22"/>
        <v/>
      </c>
      <c r="M750" t="str">
        <f t="shared" si="23"/>
        <v/>
      </c>
    </row>
    <row r="751" spans="9:13">
      <c r="I751" t="str">
        <f t="shared" si="22"/>
        <v/>
      </c>
      <c r="M751" t="str">
        <f t="shared" si="23"/>
        <v/>
      </c>
    </row>
    <row r="752" spans="9:13">
      <c r="I752" t="str">
        <f t="shared" si="22"/>
        <v/>
      </c>
      <c r="M752" t="str">
        <f t="shared" si="23"/>
        <v/>
      </c>
    </row>
    <row r="753" spans="9:13">
      <c r="I753" t="str">
        <f t="shared" si="22"/>
        <v/>
      </c>
      <c r="M753" t="str">
        <f t="shared" si="23"/>
        <v/>
      </c>
    </row>
    <row r="754" spans="9:13">
      <c r="I754" t="str">
        <f t="shared" si="22"/>
        <v/>
      </c>
      <c r="M754" t="str">
        <f t="shared" si="23"/>
        <v/>
      </c>
    </row>
    <row r="755" spans="9:13">
      <c r="I755" t="str">
        <f t="shared" si="22"/>
        <v/>
      </c>
      <c r="M755" t="str">
        <f t="shared" si="23"/>
        <v/>
      </c>
    </row>
    <row r="756" spans="9:13">
      <c r="I756" t="str">
        <f t="shared" si="22"/>
        <v/>
      </c>
      <c r="M756" t="str">
        <f t="shared" si="23"/>
        <v/>
      </c>
    </row>
    <row r="757" spans="9:13">
      <c r="I757" t="str">
        <f t="shared" si="22"/>
        <v/>
      </c>
      <c r="M757" t="str">
        <f t="shared" si="23"/>
        <v/>
      </c>
    </row>
    <row r="758" spans="9:13">
      <c r="I758" t="str">
        <f t="shared" si="22"/>
        <v/>
      </c>
      <c r="M758" t="str">
        <f t="shared" si="23"/>
        <v/>
      </c>
    </row>
    <row r="759" spans="9:13">
      <c r="I759" t="str">
        <f t="shared" si="22"/>
        <v/>
      </c>
      <c r="M759" t="str">
        <f t="shared" si="23"/>
        <v/>
      </c>
    </row>
    <row r="760" spans="9:13">
      <c r="I760" t="str">
        <f t="shared" si="22"/>
        <v/>
      </c>
      <c r="M760" t="str">
        <f t="shared" si="23"/>
        <v/>
      </c>
    </row>
    <row r="761" spans="9:13">
      <c r="I761" t="str">
        <f t="shared" si="22"/>
        <v/>
      </c>
      <c r="M761" t="str">
        <f t="shared" si="23"/>
        <v/>
      </c>
    </row>
    <row r="762" spans="9:13">
      <c r="I762" t="str">
        <f t="shared" si="22"/>
        <v/>
      </c>
      <c r="M762" t="str">
        <f t="shared" si="23"/>
        <v/>
      </c>
    </row>
    <row r="763" spans="9:13">
      <c r="I763" t="str">
        <f t="shared" si="22"/>
        <v/>
      </c>
      <c r="M763" t="str">
        <f t="shared" si="23"/>
        <v/>
      </c>
    </row>
    <row r="764" spans="9:13">
      <c r="I764" t="str">
        <f t="shared" si="22"/>
        <v/>
      </c>
      <c r="M764" t="str">
        <f t="shared" si="23"/>
        <v/>
      </c>
    </row>
    <row r="765" spans="9:13">
      <c r="I765" t="str">
        <f t="shared" si="22"/>
        <v/>
      </c>
      <c r="M765" t="str">
        <f t="shared" si="23"/>
        <v/>
      </c>
    </row>
    <row r="766" spans="9:13">
      <c r="I766" t="str">
        <f t="shared" si="22"/>
        <v/>
      </c>
      <c r="M766" t="str">
        <f t="shared" si="23"/>
        <v/>
      </c>
    </row>
    <row r="767" spans="9:13">
      <c r="I767" t="str">
        <f t="shared" si="22"/>
        <v/>
      </c>
      <c r="M767" t="str">
        <f t="shared" si="23"/>
        <v/>
      </c>
    </row>
    <row r="768" spans="9:13">
      <c r="I768" t="str">
        <f t="shared" si="22"/>
        <v/>
      </c>
      <c r="M768" t="str">
        <f t="shared" si="23"/>
        <v/>
      </c>
    </row>
    <row r="769" spans="9:13">
      <c r="I769" t="str">
        <f t="shared" si="22"/>
        <v/>
      </c>
      <c r="M769" t="str">
        <f t="shared" si="23"/>
        <v/>
      </c>
    </row>
    <row r="770" spans="9:13">
      <c r="I770" t="str">
        <f t="shared" ref="I770:I833" si="24">IF(AND(G770&lt;&gt;"", H770&lt;&gt;""), G770*H770, "")</f>
        <v/>
      </c>
      <c r="M770" t="str">
        <f t="shared" ref="M770:M833" si="25">IF(AND(K770&lt;&gt;"", L770&lt;&gt;""), K770*L770, "")</f>
        <v/>
      </c>
    </row>
    <row r="771" spans="9:13">
      <c r="I771" t="str">
        <f t="shared" si="24"/>
        <v/>
      </c>
      <c r="M771" t="str">
        <f t="shared" si="25"/>
        <v/>
      </c>
    </row>
    <row r="772" spans="9:13">
      <c r="I772" t="str">
        <f t="shared" si="24"/>
        <v/>
      </c>
      <c r="M772" t="str">
        <f t="shared" si="25"/>
        <v/>
      </c>
    </row>
    <row r="773" spans="9:13">
      <c r="I773" t="str">
        <f t="shared" si="24"/>
        <v/>
      </c>
      <c r="M773" t="str">
        <f t="shared" si="25"/>
        <v/>
      </c>
    </row>
    <row r="774" spans="9:13">
      <c r="I774" t="str">
        <f t="shared" si="24"/>
        <v/>
      </c>
      <c r="M774" t="str">
        <f t="shared" si="25"/>
        <v/>
      </c>
    </row>
    <row r="775" spans="9:13">
      <c r="I775" t="str">
        <f t="shared" si="24"/>
        <v/>
      </c>
      <c r="M775" t="str">
        <f t="shared" si="25"/>
        <v/>
      </c>
    </row>
    <row r="776" spans="9:13">
      <c r="I776" t="str">
        <f t="shared" si="24"/>
        <v/>
      </c>
      <c r="M776" t="str">
        <f t="shared" si="25"/>
        <v/>
      </c>
    </row>
    <row r="777" spans="9:13">
      <c r="I777" t="str">
        <f t="shared" si="24"/>
        <v/>
      </c>
      <c r="M777" t="str">
        <f t="shared" si="25"/>
        <v/>
      </c>
    </row>
    <row r="778" spans="9:13">
      <c r="I778" t="str">
        <f t="shared" si="24"/>
        <v/>
      </c>
      <c r="M778" t="str">
        <f t="shared" si="25"/>
        <v/>
      </c>
    </row>
    <row r="779" spans="9:13">
      <c r="I779" t="str">
        <f t="shared" si="24"/>
        <v/>
      </c>
      <c r="M779" t="str">
        <f t="shared" si="25"/>
        <v/>
      </c>
    </row>
    <row r="780" spans="9:13">
      <c r="I780" t="str">
        <f t="shared" si="24"/>
        <v/>
      </c>
      <c r="M780" t="str">
        <f t="shared" si="25"/>
        <v/>
      </c>
    </row>
    <row r="781" spans="9:13">
      <c r="I781" t="str">
        <f t="shared" si="24"/>
        <v/>
      </c>
      <c r="M781" t="str">
        <f t="shared" si="25"/>
        <v/>
      </c>
    </row>
    <row r="782" spans="9:13">
      <c r="I782" t="str">
        <f t="shared" si="24"/>
        <v/>
      </c>
      <c r="M782" t="str">
        <f t="shared" si="25"/>
        <v/>
      </c>
    </row>
    <row r="783" spans="9:13">
      <c r="I783" t="str">
        <f t="shared" si="24"/>
        <v/>
      </c>
      <c r="M783" t="str">
        <f t="shared" si="25"/>
        <v/>
      </c>
    </row>
    <row r="784" spans="9:13">
      <c r="I784" t="str">
        <f t="shared" si="24"/>
        <v/>
      </c>
      <c r="M784" t="str">
        <f t="shared" si="25"/>
        <v/>
      </c>
    </row>
    <row r="785" spans="9:13">
      <c r="I785" t="str">
        <f t="shared" si="24"/>
        <v/>
      </c>
      <c r="M785" t="str">
        <f t="shared" si="25"/>
        <v/>
      </c>
    </row>
    <row r="786" spans="9:13">
      <c r="I786" t="str">
        <f t="shared" si="24"/>
        <v/>
      </c>
      <c r="M786" t="str">
        <f t="shared" si="25"/>
        <v/>
      </c>
    </row>
    <row r="787" spans="9:13">
      <c r="I787" t="str">
        <f t="shared" si="24"/>
        <v/>
      </c>
      <c r="M787" t="str">
        <f t="shared" si="25"/>
        <v/>
      </c>
    </row>
    <row r="788" spans="9:13">
      <c r="I788" t="str">
        <f t="shared" si="24"/>
        <v/>
      </c>
      <c r="M788" t="str">
        <f t="shared" si="25"/>
        <v/>
      </c>
    </row>
    <row r="789" spans="9:13">
      <c r="I789" t="str">
        <f t="shared" si="24"/>
        <v/>
      </c>
      <c r="M789" t="str">
        <f t="shared" si="25"/>
        <v/>
      </c>
    </row>
    <row r="790" spans="9:13">
      <c r="I790" t="str">
        <f t="shared" si="24"/>
        <v/>
      </c>
      <c r="M790" t="str">
        <f t="shared" si="25"/>
        <v/>
      </c>
    </row>
    <row r="791" spans="9:13">
      <c r="I791" t="str">
        <f t="shared" si="24"/>
        <v/>
      </c>
      <c r="M791" t="str">
        <f t="shared" si="25"/>
        <v/>
      </c>
    </row>
    <row r="792" spans="9:13">
      <c r="I792" t="str">
        <f t="shared" si="24"/>
        <v/>
      </c>
      <c r="M792" t="str">
        <f t="shared" si="25"/>
        <v/>
      </c>
    </row>
    <row r="793" spans="9:13">
      <c r="I793" t="str">
        <f t="shared" si="24"/>
        <v/>
      </c>
      <c r="M793" t="str">
        <f t="shared" si="25"/>
        <v/>
      </c>
    </row>
    <row r="794" spans="9:13">
      <c r="I794" t="str">
        <f t="shared" si="24"/>
        <v/>
      </c>
      <c r="M794" t="str">
        <f t="shared" si="25"/>
        <v/>
      </c>
    </row>
    <row r="795" spans="9:13">
      <c r="I795" t="str">
        <f t="shared" si="24"/>
        <v/>
      </c>
      <c r="M795" t="str">
        <f t="shared" si="25"/>
        <v/>
      </c>
    </row>
    <row r="796" spans="9:13">
      <c r="I796" t="str">
        <f t="shared" si="24"/>
        <v/>
      </c>
      <c r="M796" t="str">
        <f t="shared" si="25"/>
        <v/>
      </c>
    </row>
    <row r="797" spans="9:13">
      <c r="I797" t="str">
        <f t="shared" si="24"/>
        <v/>
      </c>
      <c r="M797" t="str">
        <f t="shared" si="25"/>
        <v/>
      </c>
    </row>
    <row r="798" spans="9:13">
      <c r="I798" t="str">
        <f t="shared" si="24"/>
        <v/>
      </c>
      <c r="M798" t="str">
        <f t="shared" si="25"/>
        <v/>
      </c>
    </row>
    <row r="799" spans="9:13">
      <c r="I799" t="str">
        <f t="shared" si="24"/>
        <v/>
      </c>
      <c r="M799" t="str">
        <f t="shared" si="25"/>
        <v/>
      </c>
    </row>
    <row r="800" spans="9:13">
      <c r="I800" t="str">
        <f t="shared" si="24"/>
        <v/>
      </c>
      <c r="M800" t="str">
        <f t="shared" si="25"/>
        <v/>
      </c>
    </row>
    <row r="801" spans="9:13">
      <c r="I801" t="str">
        <f t="shared" si="24"/>
        <v/>
      </c>
      <c r="M801" t="str">
        <f t="shared" si="25"/>
        <v/>
      </c>
    </row>
    <row r="802" spans="9:13">
      <c r="I802" t="str">
        <f t="shared" si="24"/>
        <v/>
      </c>
      <c r="M802" t="str">
        <f t="shared" si="25"/>
        <v/>
      </c>
    </row>
    <row r="803" spans="9:13">
      <c r="I803" t="str">
        <f t="shared" si="24"/>
        <v/>
      </c>
      <c r="M803" t="str">
        <f t="shared" si="25"/>
        <v/>
      </c>
    </row>
    <row r="804" spans="9:13">
      <c r="I804" t="str">
        <f t="shared" si="24"/>
        <v/>
      </c>
      <c r="M804" t="str">
        <f t="shared" si="25"/>
        <v/>
      </c>
    </row>
    <row r="805" spans="9:13">
      <c r="I805" t="str">
        <f t="shared" si="24"/>
        <v/>
      </c>
      <c r="M805" t="str">
        <f t="shared" si="25"/>
        <v/>
      </c>
    </row>
    <row r="806" spans="9:13">
      <c r="I806" t="str">
        <f t="shared" si="24"/>
        <v/>
      </c>
      <c r="M806" t="str">
        <f t="shared" si="25"/>
        <v/>
      </c>
    </row>
    <row r="807" spans="9:13">
      <c r="I807" t="str">
        <f t="shared" si="24"/>
        <v/>
      </c>
      <c r="M807" t="str">
        <f t="shared" si="25"/>
        <v/>
      </c>
    </row>
    <row r="808" spans="9:13">
      <c r="I808" t="str">
        <f t="shared" si="24"/>
        <v/>
      </c>
      <c r="M808" t="str">
        <f t="shared" si="25"/>
        <v/>
      </c>
    </row>
    <row r="809" spans="9:13">
      <c r="I809" t="str">
        <f t="shared" si="24"/>
        <v/>
      </c>
      <c r="M809" t="str">
        <f t="shared" si="25"/>
        <v/>
      </c>
    </row>
    <row r="810" spans="9:13">
      <c r="I810" t="str">
        <f t="shared" si="24"/>
        <v/>
      </c>
      <c r="M810" t="str">
        <f t="shared" si="25"/>
        <v/>
      </c>
    </row>
    <row r="811" spans="9:13">
      <c r="I811" t="str">
        <f t="shared" si="24"/>
        <v/>
      </c>
      <c r="M811" t="str">
        <f t="shared" si="25"/>
        <v/>
      </c>
    </row>
    <row r="812" spans="9:13">
      <c r="I812" t="str">
        <f t="shared" si="24"/>
        <v/>
      </c>
      <c r="M812" t="str">
        <f t="shared" si="25"/>
        <v/>
      </c>
    </row>
    <row r="813" spans="9:13">
      <c r="I813" t="str">
        <f t="shared" si="24"/>
        <v/>
      </c>
      <c r="M813" t="str">
        <f t="shared" si="25"/>
        <v/>
      </c>
    </row>
    <row r="814" spans="9:13">
      <c r="I814" t="str">
        <f t="shared" si="24"/>
        <v/>
      </c>
      <c r="M814" t="str">
        <f t="shared" si="25"/>
        <v/>
      </c>
    </row>
    <row r="815" spans="9:13">
      <c r="I815" t="str">
        <f t="shared" si="24"/>
        <v/>
      </c>
      <c r="M815" t="str">
        <f t="shared" si="25"/>
        <v/>
      </c>
    </row>
    <row r="816" spans="9:13">
      <c r="I816" t="str">
        <f t="shared" si="24"/>
        <v/>
      </c>
      <c r="M816" t="str">
        <f t="shared" si="25"/>
        <v/>
      </c>
    </row>
    <row r="817" spans="9:13">
      <c r="I817" t="str">
        <f t="shared" si="24"/>
        <v/>
      </c>
      <c r="M817" t="str">
        <f t="shared" si="25"/>
        <v/>
      </c>
    </row>
    <row r="818" spans="9:13">
      <c r="I818" t="str">
        <f t="shared" si="24"/>
        <v/>
      </c>
      <c r="M818" t="str">
        <f t="shared" si="25"/>
        <v/>
      </c>
    </row>
    <row r="819" spans="9:13">
      <c r="I819" t="str">
        <f t="shared" si="24"/>
        <v/>
      </c>
      <c r="M819" t="str">
        <f t="shared" si="25"/>
        <v/>
      </c>
    </row>
    <row r="820" spans="9:13">
      <c r="I820" t="str">
        <f t="shared" si="24"/>
        <v/>
      </c>
      <c r="M820" t="str">
        <f t="shared" si="25"/>
        <v/>
      </c>
    </row>
    <row r="821" spans="9:13">
      <c r="I821" t="str">
        <f t="shared" si="24"/>
        <v/>
      </c>
      <c r="M821" t="str">
        <f t="shared" si="25"/>
        <v/>
      </c>
    </row>
    <row r="822" spans="9:13">
      <c r="I822" t="str">
        <f t="shared" si="24"/>
        <v/>
      </c>
      <c r="M822" t="str">
        <f t="shared" si="25"/>
        <v/>
      </c>
    </row>
    <row r="823" spans="9:13">
      <c r="I823" t="str">
        <f t="shared" si="24"/>
        <v/>
      </c>
      <c r="M823" t="str">
        <f t="shared" si="25"/>
        <v/>
      </c>
    </row>
    <row r="824" spans="9:13">
      <c r="I824" t="str">
        <f t="shared" si="24"/>
        <v/>
      </c>
      <c r="M824" t="str">
        <f t="shared" si="25"/>
        <v/>
      </c>
    </row>
    <row r="825" spans="9:13">
      <c r="I825" t="str">
        <f t="shared" si="24"/>
        <v/>
      </c>
      <c r="M825" t="str">
        <f t="shared" si="25"/>
        <v/>
      </c>
    </row>
    <row r="826" spans="9:13">
      <c r="I826" t="str">
        <f t="shared" si="24"/>
        <v/>
      </c>
      <c r="M826" t="str">
        <f t="shared" si="25"/>
        <v/>
      </c>
    </row>
    <row r="827" spans="9:13">
      <c r="I827" t="str">
        <f t="shared" si="24"/>
        <v/>
      </c>
      <c r="M827" t="str">
        <f t="shared" si="25"/>
        <v/>
      </c>
    </row>
    <row r="828" spans="9:13">
      <c r="I828" t="str">
        <f t="shared" si="24"/>
        <v/>
      </c>
      <c r="M828" t="str">
        <f t="shared" si="25"/>
        <v/>
      </c>
    </row>
    <row r="829" spans="9:13">
      <c r="I829" t="str">
        <f t="shared" si="24"/>
        <v/>
      </c>
      <c r="M829" t="str">
        <f t="shared" si="25"/>
        <v/>
      </c>
    </row>
    <row r="830" spans="9:13">
      <c r="I830" t="str">
        <f t="shared" si="24"/>
        <v/>
      </c>
      <c r="M830" t="str">
        <f t="shared" si="25"/>
        <v/>
      </c>
    </row>
    <row r="831" spans="9:13">
      <c r="I831" t="str">
        <f t="shared" si="24"/>
        <v/>
      </c>
      <c r="M831" t="str">
        <f t="shared" si="25"/>
        <v/>
      </c>
    </row>
    <row r="832" spans="9:13">
      <c r="I832" t="str">
        <f t="shared" si="24"/>
        <v/>
      </c>
      <c r="M832" t="str">
        <f t="shared" si="25"/>
        <v/>
      </c>
    </row>
    <row r="833" spans="9:13">
      <c r="I833" t="str">
        <f t="shared" si="24"/>
        <v/>
      </c>
      <c r="M833" t="str">
        <f t="shared" si="25"/>
        <v/>
      </c>
    </row>
    <row r="834" spans="9:13">
      <c r="I834" t="str">
        <f t="shared" ref="I834:I897" si="26">IF(AND(G834&lt;&gt;"", H834&lt;&gt;""), G834*H834, "")</f>
        <v/>
      </c>
      <c r="M834" t="str">
        <f t="shared" ref="M834:M897" si="27">IF(AND(K834&lt;&gt;"", L834&lt;&gt;""), K834*L834, "")</f>
        <v/>
      </c>
    </row>
    <row r="835" spans="9:13">
      <c r="I835" t="str">
        <f t="shared" si="26"/>
        <v/>
      </c>
      <c r="M835" t="str">
        <f t="shared" si="27"/>
        <v/>
      </c>
    </row>
    <row r="836" spans="9:13">
      <c r="I836" t="str">
        <f t="shared" si="26"/>
        <v/>
      </c>
      <c r="M836" t="str">
        <f t="shared" si="27"/>
        <v/>
      </c>
    </row>
    <row r="837" spans="9:13">
      <c r="I837" t="str">
        <f t="shared" si="26"/>
        <v/>
      </c>
      <c r="M837" t="str">
        <f t="shared" si="27"/>
        <v/>
      </c>
    </row>
    <row r="838" spans="9:13">
      <c r="I838" t="str">
        <f t="shared" si="26"/>
        <v/>
      </c>
      <c r="M838" t="str">
        <f t="shared" si="27"/>
        <v/>
      </c>
    </row>
    <row r="839" spans="9:13">
      <c r="I839" t="str">
        <f t="shared" si="26"/>
        <v/>
      </c>
      <c r="M839" t="str">
        <f t="shared" si="27"/>
        <v/>
      </c>
    </row>
    <row r="840" spans="9:13">
      <c r="I840" t="str">
        <f t="shared" si="26"/>
        <v/>
      </c>
      <c r="M840" t="str">
        <f t="shared" si="27"/>
        <v/>
      </c>
    </row>
    <row r="841" spans="9:13">
      <c r="I841" t="str">
        <f t="shared" si="26"/>
        <v/>
      </c>
      <c r="M841" t="str">
        <f t="shared" si="27"/>
        <v/>
      </c>
    </row>
    <row r="842" spans="9:13">
      <c r="I842" t="str">
        <f t="shared" si="26"/>
        <v/>
      </c>
      <c r="M842" t="str">
        <f t="shared" si="27"/>
        <v/>
      </c>
    </row>
    <row r="843" spans="9:13">
      <c r="I843" t="str">
        <f t="shared" si="26"/>
        <v/>
      </c>
      <c r="M843" t="str">
        <f t="shared" si="27"/>
        <v/>
      </c>
    </row>
    <row r="844" spans="9:13">
      <c r="I844" t="str">
        <f t="shared" si="26"/>
        <v/>
      </c>
      <c r="M844" t="str">
        <f t="shared" si="27"/>
        <v/>
      </c>
    </row>
    <row r="845" spans="9:13">
      <c r="I845" t="str">
        <f t="shared" si="26"/>
        <v/>
      </c>
      <c r="M845" t="str">
        <f t="shared" si="27"/>
        <v/>
      </c>
    </row>
    <row r="846" spans="9:13">
      <c r="I846" t="str">
        <f t="shared" si="26"/>
        <v/>
      </c>
      <c r="M846" t="str">
        <f t="shared" si="27"/>
        <v/>
      </c>
    </row>
    <row r="847" spans="9:13">
      <c r="I847" t="str">
        <f t="shared" si="26"/>
        <v/>
      </c>
      <c r="M847" t="str">
        <f t="shared" si="27"/>
        <v/>
      </c>
    </row>
    <row r="848" spans="9:13">
      <c r="I848" t="str">
        <f t="shared" si="26"/>
        <v/>
      </c>
      <c r="M848" t="str">
        <f t="shared" si="27"/>
        <v/>
      </c>
    </row>
    <row r="849" spans="9:13">
      <c r="I849" t="str">
        <f t="shared" si="26"/>
        <v/>
      </c>
      <c r="M849" t="str">
        <f t="shared" si="27"/>
        <v/>
      </c>
    </row>
    <row r="850" spans="9:13">
      <c r="I850" t="str">
        <f t="shared" si="26"/>
        <v/>
      </c>
      <c r="M850" t="str">
        <f t="shared" si="27"/>
        <v/>
      </c>
    </row>
    <row r="851" spans="9:13">
      <c r="I851" t="str">
        <f t="shared" si="26"/>
        <v/>
      </c>
      <c r="M851" t="str">
        <f t="shared" si="27"/>
        <v/>
      </c>
    </row>
    <row r="852" spans="9:13">
      <c r="I852" t="str">
        <f t="shared" si="26"/>
        <v/>
      </c>
      <c r="M852" t="str">
        <f t="shared" si="27"/>
        <v/>
      </c>
    </row>
    <row r="853" spans="9:13">
      <c r="I853" t="str">
        <f t="shared" si="26"/>
        <v/>
      </c>
      <c r="M853" t="str">
        <f t="shared" si="27"/>
        <v/>
      </c>
    </row>
    <row r="854" spans="9:13">
      <c r="I854" t="str">
        <f t="shared" si="26"/>
        <v/>
      </c>
      <c r="M854" t="str">
        <f t="shared" si="27"/>
        <v/>
      </c>
    </row>
    <row r="855" spans="9:13">
      <c r="I855" t="str">
        <f t="shared" si="26"/>
        <v/>
      </c>
      <c r="M855" t="str">
        <f t="shared" si="27"/>
        <v/>
      </c>
    </row>
    <row r="856" spans="9:13">
      <c r="I856" t="str">
        <f t="shared" si="26"/>
        <v/>
      </c>
      <c r="M856" t="str">
        <f t="shared" si="27"/>
        <v/>
      </c>
    </row>
    <row r="857" spans="9:13">
      <c r="I857" t="str">
        <f t="shared" si="26"/>
        <v/>
      </c>
      <c r="M857" t="str">
        <f t="shared" si="27"/>
        <v/>
      </c>
    </row>
    <row r="858" spans="9:13">
      <c r="I858" t="str">
        <f t="shared" si="26"/>
        <v/>
      </c>
      <c r="M858" t="str">
        <f t="shared" si="27"/>
        <v/>
      </c>
    </row>
    <row r="859" spans="9:13">
      <c r="I859" t="str">
        <f t="shared" si="26"/>
        <v/>
      </c>
      <c r="M859" t="str">
        <f t="shared" si="27"/>
        <v/>
      </c>
    </row>
    <row r="860" spans="9:13">
      <c r="I860" t="str">
        <f t="shared" si="26"/>
        <v/>
      </c>
      <c r="M860" t="str">
        <f t="shared" si="27"/>
        <v/>
      </c>
    </row>
    <row r="861" spans="9:13">
      <c r="I861" t="str">
        <f t="shared" si="26"/>
        <v/>
      </c>
      <c r="M861" t="str">
        <f t="shared" si="27"/>
        <v/>
      </c>
    </row>
    <row r="862" spans="9:13">
      <c r="I862" t="str">
        <f t="shared" si="26"/>
        <v/>
      </c>
      <c r="M862" t="str">
        <f t="shared" si="27"/>
        <v/>
      </c>
    </row>
    <row r="863" spans="9:13">
      <c r="I863" t="str">
        <f t="shared" si="26"/>
        <v/>
      </c>
      <c r="M863" t="str">
        <f t="shared" si="27"/>
        <v/>
      </c>
    </row>
    <row r="864" spans="9:13">
      <c r="I864" t="str">
        <f t="shared" si="26"/>
        <v/>
      </c>
      <c r="M864" t="str">
        <f t="shared" si="27"/>
        <v/>
      </c>
    </row>
    <row r="865" spans="9:13">
      <c r="I865" t="str">
        <f t="shared" si="26"/>
        <v/>
      </c>
      <c r="M865" t="str">
        <f t="shared" si="27"/>
        <v/>
      </c>
    </row>
    <row r="866" spans="9:13">
      <c r="I866" t="str">
        <f t="shared" si="26"/>
        <v/>
      </c>
      <c r="M866" t="str">
        <f t="shared" si="27"/>
        <v/>
      </c>
    </row>
    <row r="867" spans="9:13">
      <c r="I867" t="str">
        <f t="shared" si="26"/>
        <v/>
      </c>
      <c r="M867" t="str">
        <f t="shared" si="27"/>
        <v/>
      </c>
    </row>
    <row r="868" spans="9:13">
      <c r="I868" t="str">
        <f t="shared" si="26"/>
        <v/>
      </c>
      <c r="M868" t="str">
        <f t="shared" si="27"/>
        <v/>
      </c>
    </row>
    <row r="869" spans="9:13">
      <c r="I869" t="str">
        <f t="shared" si="26"/>
        <v/>
      </c>
      <c r="M869" t="str">
        <f t="shared" si="27"/>
        <v/>
      </c>
    </row>
    <row r="870" spans="9:13">
      <c r="I870" t="str">
        <f t="shared" si="26"/>
        <v/>
      </c>
      <c r="M870" t="str">
        <f t="shared" si="27"/>
        <v/>
      </c>
    </row>
    <row r="871" spans="9:13">
      <c r="I871" t="str">
        <f t="shared" si="26"/>
        <v/>
      </c>
      <c r="M871" t="str">
        <f t="shared" si="27"/>
        <v/>
      </c>
    </row>
    <row r="872" spans="9:13">
      <c r="I872" t="str">
        <f t="shared" si="26"/>
        <v/>
      </c>
      <c r="M872" t="str">
        <f t="shared" si="27"/>
        <v/>
      </c>
    </row>
    <row r="873" spans="9:13">
      <c r="I873" t="str">
        <f t="shared" si="26"/>
        <v/>
      </c>
      <c r="M873" t="str">
        <f t="shared" si="27"/>
        <v/>
      </c>
    </row>
    <row r="874" spans="9:13">
      <c r="I874" t="str">
        <f t="shared" si="26"/>
        <v/>
      </c>
      <c r="M874" t="str">
        <f t="shared" si="27"/>
        <v/>
      </c>
    </row>
    <row r="875" spans="9:13">
      <c r="I875" t="str">
        <f t="shared" si="26"/>
        <v/>
      </c>
      <c r="M875" t="str">
        <f t="shared" si="27"/>
        <v/>
      </c>
    </row>
    <row r="876" spans="9:13">
      <c r="I876" t="str">
        <f t="shared" si="26"/>
        <v/>
      </c>
      <c r="M876" t="str">
        <f t="shared" si="27"/>
        <v/>
      </c>
    </row>
    <row r="877" spans="9:13">
      <c r="I877" t="str">
        <f t="shared" si="26"/>
        <v/>
      </c>
      <c r="M877" t="str">
        <f t="shared" si="27"/>
        <v/>
      </c>
    </row>
    <row r="878" spans="9:13">
      <c r="I878" t="str">
        <f t="shared" si="26"/>
        <v/>
      </c>
      <c r="M878" t="str">
        <f t="shared" si="27"/>
        <v/>
      </c>
    </row>
    <row r="879" spans="9:13">
      <c r="I879" t="str">
        <f t="shared" si="26"/>
        <v/>
      </c>
      <c r="M879" t="str">
        <f t="shared" si="27"/>
        <v/>
      </c>
    </row>
    <row r="880" spans="9:13">
      <c r="I880" t="str">
        <f t="shared" si="26"/>
        <v/>
      </c>
      <c r="M880" t="str">
        <f t="shared" si="27"/>
        <v/>
      </c>
    </row>
    <row r="881" spans="9:13">
      <c r="I881" t="str">
        <f t="shared" si="26"/>
        <v/>
      </c>
      <c r="M881" t="str">
        <f t="shared" si="27"/>
        <v/>
      </c>
    </row>
    <row r="882" spans="9:13">
      <c r="I882" t="str">
        <f t="shared" si="26"/>
        <v/>
      </c>
      <c r="M882" t="str">
        <f t="shared" si="27"/>
        <v/>
      </c>
    </row>
    <row r="883" spans="9:13">
      <c r="I883" t="str">
        <f t="shared" si="26"/>
        <v/>
      </c>
      <c r="M883" t="str">
        <f t="shared" si="27"/>
        <v/>
      </c>
    </row>
    <row r="884" spans="9:13">
      <c r="I884" t="str">
        <f t="shared" si="26"/>
        <v/>
      </c>
      <c r="M884" t="str">
        <f t="shared" si="27"/>
        <v/>
      </c>
    </row>
    <row r="885" spans="9:13">
      <c r="I885" t="str">
        <f t="shared" si="26"/>
        <v/>
      </c>
      <c r="M885" t="str">
        <f t="shared" si="27"/>
        <v/>
      </c>
    </row>
    <row r="886" spans="9:13">
      <c r="I886" t="str">
        <f t="shared" si="26"/>
        <v/>
      </c>
      <c r="M886" t="str">
        <f t="shared" si="27"/>
        <v/>
      </c>
    </row>
    <row r="887" spans="9:13">
      <c r="I887" t="str">
        <f t="shared" si="26"/>
        <v/>
      </c>
      <c r="M887" t="str">
        <f t="shared" si="27"/>
        <v/>
      </c>
    </row>
    <row r="888" spans="9:13">
      <c r="I888" t="str">
        <f t="shared" si="26"/>
        <v/>
      </c>
      <c r="M888" t="str">
        <f t="shared" si="27"/>
        <v/>
      </c>
    </row>
    <row r="889" spans="9:13">
      <c r="I889" t="str">
        <f t="shared" si="26"/>
        <v/>
      </c>
      <c r="M889" t="str">
        <f t="shared" si="27"/>
        <v/>
      </c>
    </row>
    <row r="890" spans="9:13">
      <c r="I890" t="str">
        <f t="shared" si="26"/>
        <v/>
      </c>
      <c r="M890" t="str">
        <f t="shared" si="27"/>
        <v/>
      </c>
    </row>
    <row r="891" spans="9:13">
      <c r="I891" t="str">
        <f t="shared" si="26"/>
        <v/>
      </c>
      <c r="M891" t="str">
        <f t="shared" si="27"/>
        <v/>
      </c>
    </row>
    <row r="892" spans="9:13">
      <c r="I892" t="str">
        <f t="shared" si="26"/>
        <v/>
      </c>
      <c r="M892" t="str">
        <f t="shared" si="27"/>
        <v/>
      </c>
    </row>
    <row r="893" spans="9:13">
      <c r="I893" t="str">
        <f t="shared" si="26"/>
        <v/>
      </c>
      <c r="M893" t="str">
        <f t="shared" si="27"/>
        <v/>
      </c>
    </row>
    <row r="894" spans="9:13">
      <c r="I894" t="str">
        <f t="shared" si="26"/>
        <v/>
      </c>
      <c r="M894" t="str">
        <f t="shared" si="27"/>
        <v/>
      </c>
    </row>
    <row r="895" spans="9:13">
      <c r="I895" t="str">
        <f t="shared" si="26"/>
        <v/>
      </c>
      <c r="M895" t="str">
        <f t="shared" si="27"/>
        <v/>
      </c>
    </row>
    <row r="896" spans="9:13">
      <c r="I896" t="str">
        <f t="shared" si="26"/>
        <v/>
      </c>
      <c r="M896" t="str">
        <f t="shared" si="27"/>
        <v/>
      </c>
    </row>
    <row r="897" spans="9:13">
      <c r="I897" t="str">
        <f t="shared" si="26"/>
        <v/>
      </c>
      <c r="M897" t="str">
        <f t="shared" si="27"/>
        <v/>
      </c>
    </row>
    <row r="898" spans="9:13">
      <c r="I898" t="str">
        <f t="shared" ref="I898:I961" si="28">IF(AND(G898&lt;&gt;"", H898&lt;&gt;""), G898*H898, "")</f>
        <v/>
      </c>
      <c r="M898" t="str">
        <f t="shared" ref="M898:M961" si="29">IF(AND(K898&lt;&gt;"", L898&lt;&gt;""), K898*L898, "")</f>
        <v/>
      </c>
    </row>
    <row r="899" spans="9:13">
      <c r="I899" t="str">
        <f t="shared" si="28"/>
        <v/>
      </c>
      <c r="M899" t="str">
        <f t="shared" si="29"/>
        <v/>
      </c>
    </row>
    <row r="900" spans="9:13">
      <c r="I900" t="str">
        <f t="shared" si="28"/>
        <v/>
      </c>
      <c r="M900" t="str">
        <f t="shared" si="29"/>
        <v/>
      </c>
    </row>
    <row r="901" spans="9:13">
      <c r="I901" t="str">
        <f t="shared" si="28"/>
        <v/>
      </c>
      <c r="M901" t="str">
        <f t="shared" si="29"/>
        <v/>
      </c>
    </row>
    <row r="902" spans="9:13">
      <c r="I902" t="str">
        <f t="shared" si="28"/>
        <v/>
      </c>
      <c r="M902" t="str">
        <f t="shared" si="29"/>
        <v/>
      </c>
    </row>
    <row r="903" spans="9:13">
      <c r="I903" t="str">
        <f t="shared" si="28"/>
        <v/>
      </c>
      <c r="M903" t="str">
        <f t="shared" si="29"/>
        <v/>
      </c>
    </row>
    <row r="904" spans="9:13">
      <c r="I904" t="str">
        <f t="shared" si="28"/>
        <v/>
      </c>
      <c r="M904" t="str">
        <f t="shared" si="29"/>
        <v/>
      </c>
    </row>
    <row r="905" spans="9:13">
      <c r="I905" t="str">
        <f t="shared" si="28"/>
        <v/>
      </c>
      <c r="M905" t="str">
        <f t="shared" si="29"/>
        <v/>
      </c>
    </row>
    <row r="906" spans="9:13">
      <c r="I906" t="str">
        <f t="shared" si="28"/>
        <v/>
      </c>
      <c r="M906" t="str">
        <f t="shared" si="29"/>
        <v/>
      </c>
    </row>
    <row r="907" spans="9:13">
      <c r="I907" t="str">
        <f t="shared" si="28"/>
        <v/>
      </c>
      <c r="M907" t="str">
        <f t="shared" si="29"/>
        <v/>
      </c>
    </row>
    <row r="908" spans="9:13">
      <c r="I908" t="str">
        <f t="shared" si="28"/>
        <v/>
      </c>
      <c r="M908" t="str">
        <f t="shared" si="29"/>
        <v/>
      </c>
    </row>
    <row r="909" spans="9:13">
      <c r="I909" t="str">
        <f t="shared" si="28"/>
        <v/>
      </c>
      <c r="M909" t="str">
        <f t="shared" si="29"/>
        <v/>
      </c>
    </row>
    <row r="910" spans="9:13">
      <c r="I910" t="str">
        <f t="shared" si="28"/>
        <v/>
      </c>
      <c r="M910" t="str">
        <f t="shared" si="29"/>
        <v/>
      </c>
    </row>
    <row r="911" spans="9:13">
      <c r="I911" t="str">
        <f t="shared" si="28"/>
        <v/>
      </c>
      <c r="M911" t="str">
        <f t="shared" si="29"/>
        <v/>
      </c>
    </row>
    <row r="912" spans="9:13">
      <c r="I912" t="str">
        <f t="shared" si="28"/>
        <v/>
      </c>
      <c r="M912" t="str">
        <f t="shared" si="29"/>
        <v/>
      </c>
    </row>
    <row r="913" spans="9:13">
      <c r="I913" t="str">
        <f t="shared" si="28"/>
        <v/>
      </c>
      <c r="M913" t="str">
        <f t="shared" si="29"/>
        <v/>
      </c>
    </row>
    <row r="914" spans="9:13">
      <c r="I914" t="str">
        <f t="shared" si="28"/>
        <v/>
      </c>
      <c r="M914" t="str">
        <f t="shared" si="29"/>
        <v/>
      </c>
    </row>
    <row r="915" spans="9:13">
      <c r="I915" t="str">
        <f t="shared" si="28"/>
        <v/>
      </c>
      <c r="M915" t="str">
        <f t="shared" si="29"/>
        <v/>
      </c>
    </row>
    <row r="916" spans="9:13">
      <c r="I916" t="str">
        <f t="shared" si="28"/>
        <v/>
      </c>
      <c r="M916" t="str">
        <f t="shared" si="29"/>
        <v/>
      </c>
    </row>
    <row r="917" spans="9:13">
      <c r="I917" t="str">
        <f t="shared" si="28"/>
        <v/>
      </c>
      <c r="M917" t="str">
        <f t="shared" si="29"/>
        <v/>
      </c>
    </row>
    <row r="918" spans="9:13">
      <c r="I918" t="str">
        <f t="shared" si="28"/>
        <v/>
      </c>
      <c r="M918" t="str">
        <f t="shared" si="29"/>
        <v/>
      </c>
    </row>
    <row r="919" spans="9:13">
      <c r="I919" t="str">
        <f t="shared" si="28"/>
        <v/>
      </c>
      <c r="M919" t="str">
        <f t="shared" si="29"/>
        <v/>
      </c>
    </row>
    <row r="920" spans="9:13">
      <c r="I920" t="str">
        <f t="shared" si="28"/>
        <v/>
      </c>
      <c r="M920" t="str">
        <f t="shared" si="29"/>
        <v/>
      </c>
    </row>
    <row r="921" spans="9:13">
      <c r="I921" t="str">
        <f t="shared" si="28"/>
        <v/>
      </c>
      <c r="M921" t="str">
        <f t="shared" si="29"/>
        <v/>
      </c>
    </row>
    <row r="922" spans="9:13">
      <c r="I922" t="str">
        <f t="shared" si="28"/>
        <v/>
      </c>
      <c r="M922" t="str">
        <f t="shared" si="29"/>
        <v/>
      </c>
    </row>
    <row r="923" spans="9:13">
      <c r="I923" t="str">
        <f t="shared" si="28"/>
        <v/>
      </c>
      <c r="M923" t="str">
        <f t="shared" si="29"/>
        <v/>
      </c>
    </row>
    <row r="924" spans="9:13">
      <c r="I924" t="str">
        <f t="shared" si="28"/>
        <v/>
      </c>
      <c r="M924" t="str">
        <f t="shared" si="29"/>
        <v/>
      </c>
    </row>
    <row r="925" spans="9:13">
      <c r="I925" t="str">
        <f t="shared" si="28"/>
        <v/>
      </c>
      <c r="M925" t="str">
        <f t="shared" si="29"/>
        <v/>
      </c>
    </row>
    <row r="926" spans="9:13">
      <c r="I926" t="str">
        <f t="shared" si="28"/>
        <v/>
      </c>
      <c r="M926" t="str">
        <f t="shared" si="29"/>
        <v/>
      </c>
    </row>
    <row r="927" spans="9:13">
      <c r="I927" t="str">
        <f t="shared" si="28"/>
        <v/>
      </c>
      <c r="M927" t="str">
        <f t="shared" si="29"/>
        <v/>
      </c>
    </row>
    <row r="928" spans="9:13">
      <c r="I928" t="str">
        <f t="shared" si="28"/>
        <v/>
      </c>
      <c r="M928" t="str">
        <f t="shared" si="29"/>
        <v/>
      </c>
    </row>
    <row r="929" spans="9:13">
      <c r="I929" t="str">
        <f t="shared" si="28"/>
        <v/>
      </c>
      <c r="M929" t="str">
        <f t="shared" si="29"/>
        <v/>
      </c>
    </row>
    <row r="930" spans="9:13">
      <c r="I930" t="str">
        <f t="shared" si="28"/>
        <v/>
      </c>
      <c r="M930" t="str">
        <f t="shared" si="29"/>
        <v/>
      </c>
    </row>
    <row r="931" spans="9:13">
      <c r="I931" t="str">
        <f t="shared" si="28"/>
        <v/>
      </c>
      <c r="M931" t="str">
        <f t="shared" si="29"/>
        <v/>
      </c>
    </row>
    <row r="932" spans="9:13">
      <c r="I932" t="str">
        <f t="shared" si="28"/>
        <v/>
      </c>
      <c r="M932" t="str">
        <f t="shared" si="29"/>
        <v/>
      </c>
    </row>
    <row r="933" spans="9:13">
      <c r="I933" t="str">
        <f t="shared" si="28"/>
        <v/>
      </c>
      <c r="M933" t="str">
        <f t="shared" si="29"/>
        <v/>
      </c>
    </row>
    <row r="934" spans="9:13">
      <c r="I934" t="str">
        <f t="shared" si="28"/>
        <v/>
      </c>
      <c r="M934" t="str">
        <f t="shared" si="29"/>
        <v/>
      </c>
    </row>
    <row r="935" spans="9:13">
      <c r="I935" t="str">
        <f t="shared" si="28"/>
        <v/>
      </c>
      <c r="M935" t="str">
        <f t="shared" si="29"/>
        <v/>
      </c>
    </row>
    <row r="936" spans="9:13">
      <c r="I936" t="str">
        <f t="shared" si="28"/>
        <v/>
      </c>
      <c r="M936" t="str">
        <f t="shared" si="29"/>
        <v/>
      </c>
    </row>
    <row r="937" spans="9:13">
      <c r="I937" t="str">
        <f t="shared" si="28"/>
        <v/>
      </c>
      <c r="M937" t="str">
        <f t="shared" si="29"/>
        <v/>
      </c>
    </row>
    <row r="938" spans="9:13">
      <c r="I938" t="str">
        <f t="shared" si="28"/>
        <v/>
      </c>
      <c r="M938" t="str">
        <f t="shared" si="29"/>
        <v/>
      </c>
    </row>
    <row r="939" spans="9:13">
      <c r="I939" t="str">
        <f t="shared" si="28"/>
        <v/>
      </c>
      <c r="M939" t="str">
        <f t="shared" si="29"/>
        <v/>
      </c>
    </row>
    <row r="940" spans="9:13">
      <c r="I940" t="str">
        <f t="shared" si="28"/>
        <v/>
      </c>
      <c r="M940" t="str">
        <f t="shared" si="29"/>
        <v/>
      </c>
    </row>
    <row r="941" spans="9:13">
      <c r="I941" t="str">
        <f t="shared" si="28"/>
        <v/>
      </c>
      <c r="M941" t="str">
        <f t="shared" si="29"/>
        <v/>
      </c>
    </row>
    <row r="942" spans="9:13">
      <c r="I942" t="str">
        <f t="shared" si="28"/>
        <v/>
      </c>
      <c r="M942" t="str">
        <f t="shared" si="29"/>
        <v/>
      </c>
    </row>
    <row r="943" spans="9:13">
      <c r="I943" t="str">
        <f t="shared" si="28"/>
        <v/>
      </c>
      <c r="M943" t="str">
        <f t="shared" si="29"/>
        <v/>
      </c>
    </row>
    <row r="944" spans="9:13">
      <c r="I944" t="str">
        <f t="shared" si="28"/>
        <v/>
      </c>
      <c r="M944" t="str">
        <f t="shared" si="29"/>
        <v/>
      </c>
    </row>
    <row r="945" spans="9:13">
      <c r="I945" t="str">
        <f t="shared" si="28"/>
        <v/>
      </c>
      <c r="M945" t="str">
        <f t="shared" si="29"/>
        <v/>
      </c>
    </row>
    <row r="946" spans="9:13">
      <c r="I946" t="str">
        <f t="shared" si="28"/>
        <v/>
      </c>
      <c r="M946" t="str">
        <f t="shared" si="29"/>
        <v/>
      </c>
    </row>
    <row r="947" spans="9:13">
      <c r="I947" t="str">
        <f t="shared" si="28"/>
        <v/>
      </c>
      <c r="M947" t="str">
        <f t="shared" si="29"/>
        <v/>
      </c>
    </row>
    <row r="948" spans="9:13">
      <c r="I948" t="str">
        <f t="shared" si="28"/>
        <v/>
      </c>
      <c r="M948" t="str">
        <f t="shared" si="29"/>
        <v/>
      </c>
    </row>
    <row r="949" spans="9:13">
      <c r="I949" t="str">
        <f t="shared" si="28"/>
        <v/>
      </c>
      <c r="M949" t="str">
        <f t="shared" si="29"/>
        <v/>
      </c>
    </row>
    <row r="950" spans="9:13">
      <c r="I950" t="str">
        <f t="shared" si="28"/>
        <v/>
      </c>
      <c r="M950" t="str">
        <f t="shared" si="29"/>
        <v/>
      </c>
    </row>
    <row r="951" spans="9:13">
      <c r="I951" t="str">
        <f t="shared" si="28"/>
        <v/>
      </c>
      <c r="M951" t="str">
        <f t="shared" si="29"/>
        <v/>
      </c>
    </row>
    <row r="952" spans="9:13">
      <c r="I952" t="str">
        <f t="shared" si="28"/>
        <v/>
      </c>
      <c r="M952" t="str">
        <f t="shared" si="29"/>
        <v/>
      </c>
    </row>
    <row r="953" spans="9:13">
      <c r="I953" t="str">
        <f t="shared" si="28"/>
        <v/>
      </c>
      <c r="M953" t="str">
        <f t="shared" si="29"/>
        <v/>
      </c>
    </row>
    <row r="954" spans="9:13">
      <c r="I954" t="str">
        <f t="shared" si="28"/>
        <v/>
      </c>
      <c r="M954" t="str">
        <f t="shared" si="29"/>
        <v/>
      </c>
    </row>
    <row r="955" spans="9:13">
      <c r="I955" t="str">
        <f t="shared" si="28"/>
        <v/>
      </c>
      <c r="M955" t="str">
        <f t="shared" si="29"/>
        <v/>
      </c>
    </row>
    <row r="956" spans="9:13">
      <c r="I956" t="str">
        <f t="shared" si="28"/>
        <v/>
      </c>
      <c r="M956" t="str">
        <f t="shared" si="29"/>
        <v/>
      </c>
    </row>
    <row r="957" spans="9:13">
      <c r="I957" t="str">
        <f t="shared" si="28"/>
        <v/>
      </c>
      <c r="M957" t="str">
        <f t="shared" si="29"/>
        <v/>
      </c>
    </row>
    <row r="958" spans="9:13">
      <c r="I958" t="str">
        <f t="shared" si="28"/>
        <v/>
      </c>
      <c r="M958" t="str">
        <f t="shared" si="29"/>
        <v/>
      </c>
    </row>
    <row r="959" spans="9:13">
      <c r="I959" t="str">
        <f t="shared" si="28"/>
        <v/>
      </c>
      <c r="M959" t="str">
        <f t="shared" si="29"/>
        <v/>
      </c>
    </row>
    <row r="960" spans="9:13">
      <c r="I960" t="str">
        <f t="shared" si="28"/>
        <v/>
      </c>
      <c r="M960" t="str">
        <f t="shared" si="29"/>
        <v/>
      </c>
    </row>
    <row r="961" spans="9:13">
      <c r="I961" t="str">
        <f t="shared" si="28"/>
        <v/>
      </c>
      <c r="M961" t="str">
        <f t="shared" si="29"/>
        <v/>
      </c>
    </row>
    <row r="962" spans="9:13">
      <c r="I962" t="str">
        <f t="shared" ref="I962:I1000" si="30">IF(AND(G962&lt;&gt;"", H962&lt;&gt;""), G962*H962, "")</f>
        <v/>
      </c>
      <c r="M962" t="str">
        <f t="shared" ref="M962:M1000" si="31">IF(AND(K962&lt;&gt;"", L962&lt;&gt;""), K962*L962, "")</f>
        <v/>
      </c>
    </row>
    <row r="963" spans="9:13">
      <c r="I963" t="str">
        <f t="shared" si="30"/>
        <v/>
      </c>
      <c r="M963" t="str">
        <f t="shared" si="31"/>
        <v/>
      </c>
    </row>
    <row r="964" spans="9:13">
      <c r="I964" t="str">
        <f t="shared" si="30"/>
        <v/>
      </c>
      <c r="M964" t="str">
        <f t="shared" si="31"/>
        <v/>
      </c>
    </row>
    <row r="965" spans="9:13">
      <c r="I965" t="str">
        <f t="shared" si="30"/>
        <v/>
      </c>
      <c r="M965" t="str">
        <f t="shared" si="31"/>
        <v/>
      </c>
    </row>
    <row r="966" spans="9:13">
      <c r="I966" t="str">
        <f t="shared" si="30"/>
        <v/>
      </c>
      <c r="M966" t="str">
        <f t="shared" si="31"/>
        <v/>
      </c>
    </row>
    <row r="967" spans="9:13">
      <c r="I967" t="str">
        <f t="shared" si="30"/>
        <v/>
      </c>
      <c r="M967" t="str">
        <f t="shared" si="31"/>
        <v/>
      </c>
    </row>
    <row r="968" spans="9:13">
      <c r="I968" t="str">
        <f t="shared" si="30"/>
        <v/>
      </c>
      <c r="M968" t="str">
        <f t="shared" si="31"/>
        <v/>
      </c>
    </row>
    <row r="969" spans="9:13">
      <c r="I969" t="str">
        <f t="shared" si="30"/>
        <v/>
      </c>
      <c r="M969" t="str">
        <f t="shared" si="31"/>
        <v/>
      </c>
    </row>
    <row r="970" spans="9:13">
      <c r="I970" t="str">
        <f t="shared" si="30"/>
        <v/>
      </c>
      <c r="M970" t="str">
        <f t="shared" si="31"/>
        <v/>
      </c>
    </row>
    <row r="971" spans="9:13">
      <c r="I971" t="str">
        <f t="shared" si="30"/>
        <v/>
      </c>
      <c r="M971" t="str">
        <f t="shared" si="31"/>
        <v/>
      </c>
    </row>
    <row r="972" spans="9:13">
      <c r="I972" t="str">
        <f t="shared" si="30"/>
        <v/>
      </c>
      <c r="M972" t="str">
        <f t="shared" si="31"/>
        <v/>
      </c>
    </row>
    <row r="973" spans="9:13">
      <c r="I973" t="str">
        <f t="shared" si="30"/>
        <v/>
      </c>
      <c r="M973" t="str">
        <f t="shared" si="31"/>
        <v/>
      </c>
    </row>
    <row r="974" spans="9:13">
      <c r="I974" t="str">
        <f t="shared" si="30"/>
        <v/>
      </c>
      <c r="M974" t="str">
        <f t="shared" si="31"/>
        <v/>
      </c>
    </row>
    <row r="975" spans="9:13">
      <c r="I975" t="str">
        <f t="shared" si="30"/>
        <v/>
      </c>
      <c r="M975" t="str">
        <f t="shared" si="31"/>
        <v/>
      </c>
    </row>
    <row r="976" spans="9:13">
      <c r="I976" t="str">
        <f t="shared" si="30"/>
        <v/>
      </c>
      <c r="M976" t="str">
        <f t="shared" si="31"/>
        <v/>
      </c>
    </row>
    <row r="977" spans="9:13">
      <c r="I977" t="str">
        <f t="shared" si="30"/>
        <v/>
      </c>
      <c r="M977" t="str">
        <f t="shared" si="31"/>
        <v/>
      </c>
    </row>
    <row r="978" spans="9:13">
      <c r="I978" t="str">
        <f t="shared" si="30"/>
        <v/>
      </c>
      <c r="M978" t="str">
        <f t="shared" si="31"/>
        <v/>
      </c>
    </row>
    <row r="979" spans="9:13">
      <c r="I979" t="str">
        <f t="shared" si="30"/>
        <v/>
      </c>
      <c r="M979" t="str">
        <f t="shared" si="31"/>
        <v/>
      </c>
    </row>
    <row r="980" spans="9:13">
      <c r="I980" t="str">
        <f t="shared" si="30"/>
        <v/>
      </c>
      <c r="M980" t="str">
        <f t="shared" si="31"/>
        <v/>
      </c>
    </row>
    <row r="981" spans="9:13">
      <c r="I981" t="str">
        <f t="shared" si="30"/>
        <v/>
      </c>
      <c r="M981" t="str">
        <f t="shared" si="31"/>
        <v/>
      </c>
    </row>
    <row r="982" spans="9:13">
      <c r="I982" t="str">
        <f t="shared" si="30"/>
        <v/>
      </c>
      <c r="M982" t="str">
        <f t="shared" si="31"/>
        <v/>
      </c>
    </row>
    <row r="983" spans="9:13">
      <c r="I983" t="str">
        <f t="shared" si="30"/>
        <v/>
      </c>
      <c r="M983" t="str">
        <f t="shared" si="31"/>
        <v/>
      </c>
    </row>
    <row r="984" spans="9:13">
      <c r="I984" t="str">
        <f t="shared" si="30"/>
        <v/>
      </c>
      <c r="M984" t="str">
        <f t="shared" si="31"/>
        <v/>
      </c>
    </row>
    <row r="985" spans="9:13">
      <c r="I985" t="str">
        <f t="shared" si="30"/>
        <v/>
      </c>
      <c r="M985" t="str">
        <f t="shared" si="31"/>
        <v/>
      </c>
    </row>
    <row r="986" spans="9:13">
      <c r="I986" t="str">
        <f t="shared" si="30"/>
        <v/>
      </c>
      <c r="M986" t="str">
        <f t="shared" si="31"/>
        <v/>
      </c>
    </row>
    <row r="987" spans="9:13">
      <c r="I987" t="str">
        <f t="shared" si="30"/>
        <v/>
      </c>
      <c r="M987" t="str">
        <f t="shared" si="31"/>
        <v/>
      </c>
    </row>
    <row r="988" spans="9:13">
      <c r="I988" t="str">
        <f t="shared" si="30"/>
        <v/>
      </c>
      <c r="M988" t="str">
        <f t="shared" si="31"/>
        <v/>
      </c>
    </row>
    <row r="989" spans="9:13">
      <c r="I989" t="str">
        <f t="shared" si="30"/>
        <v/>
      </c>
      <c r="M989" t="str">
        <f t="shared" si="31"/>
        <v/>
      </c>
    </row>
    <row r="990" spans="9:13">
      <c r="I990" t="str">
        <f t="shared" si="30"/>
        <v/>
      </c>
      <c r="M990" t="str">
        <f t="shared" si="31"/>
        <v/>
      </c>
    </row>
    <row r="991" spans="9:13">
      <c r="I991" t="str">
        <f t="shared" si="30"/>
        <v/>
      </c>
      <c r="M991" t="str">
        <f t="shared" si="31"/>
        <v/>
      </c>
    </row>
    <row r="992" spans="9:13">
      <c r="I992" t="str">
        <f t="shared" si="30"/>
        <v/>
      </c>
      <c r="M992" t="str">
        <f t="shared" si="31"/>
        <v/>
      </c>
    </row>
    <row r="993" spans="9:13">
      <c r="I993" t="str">
        <f t="shared" si="30"/>
        <v/>
      </c>
      <c r="M993" t="str">
        <f t="shared" si="31"/>
        <v/>
      </c>
    </row>
    <row r="994" spans="9:13">
      <c r="I994" t="str">
        <f t="shared" si="30"/>
        <v/>
      </c>
      <c r="M994" t="str">
        <f t="shared" si="31"/>
        <v/>
      </c>
    </row>
    <row r="995" spans="9:13">
      <c r="I995" t="str">
        <f t="shared" si="30"/>
        <v/>
      </c>
      <c r="M995" t="str">
        <f t="shared" si="31"/>
        <v/>
      </c>
    </row>
    <row r="996" spans="9:13">
      <c r="I996" t="str">
        <f t="shared" si="30"/>
        <v/>
      </c>
      <c r="M996" t="str">
        <f t="shared" si="31"/>
        <v/>
      </c>
    </row>
    <row r="997" spans="9:13">
      <c r="I997" t="str">
        <f t="shared" si="30"/>
        <v/>
      </c>
      <c r="M997" t="str">
        <f t="shared" si="31"/>
        <v/>
      </c>
    </row>
    <row r="998" spans="9:13">
      <c r="I998" t="str">
        <f t="shared" si="30"/>
        <v/>
      </c>
      <c r="M998" t="str">
        <f t="shared" si="31"/>
        <v/>
      </c>
    </row>
    <row r="999" spans="9:13">
      <c r="I999" t="str">
        <f t="shared" si="30"/>
        <v/>
      </c>
      <c r="M999" t="str">
        <f t="shared" si="31"/>
        <v/>
      </c>
    </row>
    <row r="1000" spans="9:13">
      <c r="I1000" t="str">
        <f t="shared" si="30"/>
        <v/>
      </c>
      <c r="M1000" t="str">
        <f t="shared" si="31"/>
        <v/>
      </c>
    </row>
  </sheetData>
  <pageMargins left="0.75" right="0.75" top="1" bottom="1" header="0.5" footer="0.5"/>
  <pageSetup paperSize="0" orientation="portrait" horizontalDpi="0" verticalDpi="0" copie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29"/>
  <dimension ref="A1:N100"/>
  <sheetViews>
    <sheetView workbookViewId="0"/>
  </sheetViews>
  <sheetFormatPr baseColWidth="10" defaultColWidth="9.140625" defaultRowHeight="15"/>
  <cols>
    <col min="1" max="1" width="14.7109375" bestFit="1" customWidth="1"/>
    <col min="2" max="2" width="8.5703125" bestFit="1" customWidth="1"/>
    <col min="3" max="3" width="27" bestFit="1" customWidth="1"/>
    <col min="4" max="4" width="9.7109375" bestFit="1" customWidth="1"/>
    <col min="5" max="5" width="50.7109375" customWidth="1"/>
    <col min="6" max="6" width="12.42578125" bestFit="1" customWidth="1"/>
    <col min="7" max="7" width="14.85546875" bestFit="1" customWidth="1"/>
    <col min="8" max="9" width="10.7109375" bestFit="1" customWidth="1"/>
    <col min="10" max="10" width="11.85546875" bestFit="1" customWidth="1"/>
    <col min="11" max="11" width="8.42578125" bestFit="1" customWidth="1"/>
    <col min="12" max="12" width="8.85546875" bestFit="1" customWidth="1"/>
    <col min="14" max="14" width="39.140625" bestFit="1" customWidth="1"/>
  </cols>
  <sheetData>
    <row r="1" spans="1:14" ht="30">
      <c r="A1" s="7" t="s">
        <v>1842</v>
      </c>
      <c r="B1" s="7" t="s">
        <v>1821</v>
      </c>
      <c r="C1" s="7" t="s">
        <v>1843</v>
      </c>
      <c r="D1" s="7" t="s">
        <v>1844</v>
      </c>
      <c r="E1" s="7" t="s">
        <v>1845</v>
      </c>
      <c r="F1" s="7" t="s">
        <v>1846</v>
      </c>
      <c r="G1" s="7" t="s">
        <v>221</v>
      </c>
      <c r="H1" s="7" t="s">
        <v>1847</v>
      </c>
      <c r="I1" s="7" t="s">
        <v>1848</v>
      </c>
      <c r="J1" s="7" t="s">
        <v>81</v>
      </c>
      <c r="K1" s="7" t="s">
        <v>1849</v>
      </c>
      <c r="L1" s="7" t="s">
        <v>1850</v>
      </c>
      <c r="M1" s="7" t="s">
        <v>791</v>
      </c>
      <c r="N1" s="7" t="s">
        <v>1304</v>
      </c>
    </row>
    <row r="2" spans="1:14">
      <c r="A2" s="8" t="s">
        <v>1851</v>
      </c>
      <c r="B2" s="8" t="s">
        <v>1832</v>
      </c>
      <c r="C2" s="8" t="s">
        <v>1852</v>
      </c>
      <c r="D2" s="8" t="s">
        <v>1853</v>
      </c>
      <c r="E2" s="8" t="s">
        <v>1854</v>
      </c>
      <c r="F2" s="8" t="s">
        <v>1855</v>
      </c>
      <c r="G2" s="8" t="s">
        <v>757</v>
      </c>
      <c r="H2" s="8" t="s">
        <v>1195</v>
      </c>
      <c r="I2" s="8" t="s">
        <v>1856</v>
      </c>
      <c r="J2" s="8" t="s">
        <v>1857</v>
      </c>
      <c r="K2" s="8">
        <v>60</v>
      </c>
      <c r="L2" s="8" t="s">
        <v>684</v>
      </c>
      <c r="M2" s="9" t="s">
        <v>1324</v>
      </c>
      <c r="N2" s="8" t="s">
        <v>1858</v>
      </c>
    </row>
    <row r="3" spans="1:14">
      <c r="A3" s="8" t="s">
        <v>1859</v>
      </c>
      <c r="B3" s="8" t="s">
        <v>1837</v>
      </c>
      <c r="C3" s="8" t="s">
        <v>1860</v>
      </c>
      <c r="D3" s="8" t="s">
        <v>1853</v>
      </c>
      <c r="E3" s="8" t="s">
        <v>1861</v>
      </c>
      <c r="F3" s="8" t="s">
        <v>1855</v>
      </c>
      <c r="G3" s="8" t="s">
        <v>1862</v>
      </c>
      <c r="H3" s="8" t="s">
        <v>1206</v>
      </c>
      <c r="I3" s="8" t="s">
        <v>1863</v>
      </c>
      <c r="J3" s="8" t="s">
        <v>1864</v>
      </c>
      <c r="K3" s="8">
        <v>100</v>
      </c>
      <c r="L3" s="8" t="s">
        <v>688</v>
      </c>
      <c r="M3" s="16" t="s">
        <v>150</v>
      </c>
      <c r="N3" s="8" t="s">
        <v>1865</v>
      </c>
    </row>
    <row r="4" spans="1:14">
      <c r="A4" s="8"/>
      <c r="B4" s="8"/>
      <c r="C4" s="8"/>
      <c r="D4" s="8"/>
      <c r="E4" s="8"/>
      <c r="F4" s="8"/>
      <c r="G4" s="8"/>
      <c r="H4" s="8"/>
      <c r="I4" s="8"/>
      <c r="J4" s="8"/>
      <c r="K4" s="8"/>
      <c r="L4" s="8"/>
      <c r="M4" s="8"/>
      <c r="N4" s="8"/>
    </row>
    <row r="5" spans="1:14">
      <c r="A5" s="8"/>
      <c r="B5" s="8"/>
      <c r="C5" s="8"/>
      <c r="D5" s="8"/>
      <c r="E5" s="8"/>
      <c r="F5" s="8"/>
      <c r="G5" s="8"/>
      <c r="H5" s="8"/>
      <c r="I5" s="8"/>
      <c r="J5" s="8"/>
      <c r="K5" s="8"/>
      <c r="L5" s="8"/>
      <c r="M5" s="8"/>
      <c r="N5" s="8"/>
    </row>
    <row r="6" spans="1:14">
      <c r="A6" s="8"/>
      <c r="B6" s="8"/>
      <c r="C6" s="8"/>
      <c r="D6" s="8"/>
      <c r="E6" s="8"/>
      <c r="F6" s="8"/>
      <c r="G6" s="8"/>
      <c r="H6" s="8"/>
      <c r="I6" s="8"/>
      <c r="J6" s="8"/>
      <c r="K6" s="8"/>
      <c r="L6" s="8"/>
      <c r="M6" s="8"/>
      <c r="N6" s="8"/>
    </row>
    <row r="7" spans="1:14">
      <c r="A7" s="8"/>
      <c r="B7" s="8"/>
      <c r="C7" s="8"/>
      <c r="D7" s="8"/>
      <c r="E7" s="8"/>
      <c r="F7" s="8"/>
      <c r="G7" s="8"/>
      <c r="H7" s="8"/>
      <c r="I7" s="8"/>
      <c r="J7" s="8"/>
      <c r="K7" s="8"/>
      <c r="L7" s="8"/>
      <c r="M7" s="8"/>
      <c r="N7" s="8"/>
    </row>
    <row r="8" spans="1:14">
      <c r="A8" s="8"/>
      <c r="B8" s="8"/>
      <c r="C8" s="8"/>
      <c r="D8" s="8"/>
      <c r="E8" s="8"/>
      <c r="F8" s="8"/>
      <c r="G8" s="8"/>
      <c r="H8" s="8"/>
      <c r="I8" s="8"/>
      <c r="J8" s="8"/>
      <c r="K8" s="8"/>
      <c r="L8" s="8"/>
      <c r="M8" s="8"/>
      <c r="N8" s="8"/>
    </row>
    <row r="9" spans="1:14">
      <c r="A9" s="8"/>
      <c r="B9" s="8"/>
      <c r="C9" s="8"/>
      <c r="D9" s="8"/>
      <c r="E9" s="8"/>
      <c r="F9" s="8"/>
      <c r="G9" s="8"/>
      <c r="H9" s="8"/>
      <c r="I9" s="8"/>
      <c r="J9" s="8"/>
      <c r="K9" s="8"/>
      <c r="L9" s="8"/>
      <c r="M9" s="8"/>
      <c r="N9" s="8"/>
    </row>
    <row r="10" spans="1:14">
      <c r="A10" s="8"/>
      <c r="B10" s="8"/>
      <c r="C10" s="8"/>
      <c r="D10" s="8"/>
      <c r="E10" s="8"/>
      <c r="F10" s="8"/>
      <c r="G10" s="8"/>
      <c r="H10" s="8"/>
      <c r="I10" s="8"/>
      <c r="J10" s="8"/>
      <c r="K10" s="8"/>
      <c r="L10" s="8"/>
      <c r="M10" s="8"/>
      <c r="N10" s="8"/>
    </row>
    <row r="11" spans="1:14">
      <c r="A11" s="8"/>
      <c r="B11" s="8"/>
      <c r="C11" s="8"/>
      <c r="D11" s="8"/>
      <c r="E11" s="8"/>
      <c r="F11" s="8"/>
      <c r="G11" s="8"/>
      <c r="H11" s="8"/>
      <c r="I11" s="8"/>
      <c r="J11" s="8"/>
      <c r="K11" s="8"/>
      <c r="L11" s="8"/>
      <c r="M11" s="8"/>
      <c r="N11" s="8"/>
    </row>
    <row r="12" spans="1:14">
      <c r="A12" s="8"/>
      <c r="B12" s="8"/>
      <c r="C12" s="8"/>
      <c r="D12" s="8"/>
      <c r="E12" s="8"/>
      <c r="F12" s="8"/>
      <c r="G12" s="8"/>
      <c r="H12" s="8"/>
      <c r="I12" s="8"/>
      <c r="J12" s="8"/>
      <c r="K12" s="8"/>
      <c r="L12" s="8"/>
      <c r="M12" s="8"/>
      <c r="N12" s="8"/>
    </row>
    <row r="13" spans="1:14">
      <c r="A13" s="8"/>
      <c r="B13" s="8"/>
      <c r="C13" s="8"/>
      <c r="D13" s="8"/>
      <c r="E13" s="8"/>
      <c r="F13" s="8"/>
      <c r="G13" s="8"/>
      <c r="H13" s="8"/>
      <c r="I13" s="8"/>
      <c r="J13" s="8"/>
      <c r="K13" s="8"/>
      <c r="L13" s="8"/>
      <c r="M13" s="8"/>
      <c r="N13" s="8"/>
    </row>
    <row r="14" spans="1:14">
      <c r="A14" s="8"/>
      <c r="B14" s="8"/>
      <c r="C14" s="8"/>
      <c r="D14" s="8"/>
      <c r="E14" s="8"/>
      <c r="F14" s="8"/>
      <c r="G14" s="8"/>
      <c r="H14" s="8"/>
      <c r="I14" s="8"/>
      <c r="J14" s="8"/>
      <c r="K14" s="8"/>
      <c r="L14" s="8"/>
      <c r="M14" s="8"/>
      <c r="N14" s="8"/>
    </row>
    <row r="15" spans="1:14">
      <c r="A15" s="8"/>
      <c r="B15" s="8"/>
      <c r="C15" s="8"/>
      <c r="D15" s="8"/>
      <c r="E15" s="8"/>
      <c r="F15" s="8"/>
      <c r="G15" s="8"/>
      <c r="H15" s="8"/>
      <c r="I15" s="8"/>
      <c r="J15" s="8"/>
      <c r="K15" s="8"/>
      <c r="L15" s="8"/>
      <c r="M15" s="8"/>
      <c r="N15" s="8"/>
    </row>
    <row r="16" spans="1:14">
      <c r="A16" s="8"/>
      <c r="B16" s="8"/>
      <c r="C16" s="8"/>
      <c r="D16" s="8"/>
      <c r="E16" s="8"/>
      <c r="F16" s="8"/>
      <c r="G16" s="8"/>
      <c r="H16" s="8"/>
      <c r="I16" s="8"/>
      <c r="J16" s="8"/>
      <c r="K16" s="8"/>
      <c r="L16" s="8"/>
      <c r="M16" s="8"/>
      <c r="N16" s="8"/>
    </row>
    <row r="17" spans="1:14">
      <c r="A17" s="8"/>
      <c r="B17" s="8"/>
      <c r="C17" s="8"/>
      <c r="D17" s="8"/>
      <c r="E17" s="8"/>
      <c r="F17" s="8"/>
      <c r="G17" s="8"/>
      <c r="H17" s="8"/>
      <c r="I17" s="8"/>
      <c r="J17" s="8"/>
      <c r="K17" s="8"/>
      <c r="L17" s="8"/>
      <c r="M17" s="8"/>
      <c r="N17" s="8"/>
    </row>
    <row r="18" spans="1:14">
      <c r="A18" s="8"/>
      <c r="B18" s="8"/>
      <c r="C18" s="8"/>
      <c r="D18" s="8"/>
      <c r="E18" s="8"/>
      <c r="F18" s="8"/>
      <c r="G18" s="8"/>
      <c r="H18" s="8"/>
      <c r="I18" s="8"/>
      <c r="J18" s="8"/>
      <c r="K18" s="8"/>
      <c r="L18" s="8"/>
      <c r="M18" s="8"/>
      <c r="N18" s="8"/>
    </row>
    <row r="19" spans="1:14">
      <c r="A19" s="8"/>
      <c r="B19" s="8"/>
      <c r="C19" s="8"/>
      <c r="D19" s="8"/>
      <c r="E19" s="8"/>
      <c r="F19" s="8"/>
      <c r="G19" s="8"/>
      <c r="H19" s="8"/>
      <c r="I19" s="8"/>
      <c r="J19" s="8"/>
      <c r="K19" s="8"/>
      <c r="L19" s="8"/>
      <c r="M19" s="8"/>
      <c r="N19" s="8"/>
    </row>
    <row r="20" spans="1:14">
      <c r="A20" s="8"/>
      <c r="B20" s="8"/>
      <c r="C20" s="8"/>
      <c r="D20" s="8"/>
      <c r="E20" s="8"/>
      <c r="F20" s="8"/>
      <c r="G20" s="8"/>
      <c r="H20" s="8"/>
      <c r="I20" s="8"/>
      <c r="J20" s="8"/>
      <c r="K20" s="8"/>
      <c r="L20" s="8"/>
      <c r="M20" s="8"/>
      <c r="N20" s="8"/>
    </row>
    <row r="21" spans="1:14">
      <c r="A21" s="8"/>
      <c r="B21" s="8"/>
      <c r="C21" s="8"/>
      <c r="D21" s="8"/>
      <c r="E21" s="8"/>
      <c r="F21" s="8"/>
      <c r="G21" s="8"/>
      <c r="H21" s="8"/>
      <c r="I21" s="8"/>
      <c r="J21" s="8"/>
      <c r="K21" s="8"/>
      <c r="L21" s="8"/>
      <c r="M21" s="8"/>
      <c r="N21" s="8"/>
    </row>
    <row r="22" spans="1:14">
      <c r="A22" s="8"/>
      <c r="B22" s="8"/>
      <c r="C22" s="8"/>
      <c r="D22" s="8"/>
      <c r="E22" s="8"/>
      <c r="F22" s="8"/>
      <c r="G22" s="8"/>
      <c r="H22" s="8"/>
      <c r="I22" s="8"/>
      <c r="J22" s="8"/>
      <c r="K22" s="8"/>
      <c r="L22" s="8"/>
      <c r="M22" s="8"/>
      <c r="N22" s="8"/>
    </row>
    <row r="23" spans="1:14">
      <c r="A23" s="8"/>
      <c r="B23" s="8"/>
      <c r="C23" s="8"/>
      <c r="D23" s="8"/>
      <c r="E23" s="8"/>
      <c r="F23" s="8"/>
      <c r="G23" s="8"/>
      <c r="H23" s="8"/>
      <c r="I23" s="8"/>
      <c r="J23" s="8"/>
      <c r="K23" s="8"/>
      <c r="L23" s="8"/>
      <c r="M23" s="8"/>
      <c r="N23" s="8"/>
    </row>
    <row r="24" spans="1:14">
      <c r="A24" s="8"/>
      <c r="B24" s="8"/>
      <c r="C24" s="8"/>
      <c r="D24" s="8"/>
      <c r="E24" s="8"/>
      <c r="F24" s="8"/>
      <c r="G24" s="8"/>
      <c r="H24" s="8"/>
      <c r="I24" s="8"/>
      <c r="J24" s="8"/>
      <c r="K24" s="8"/>
      <c r="L24" s="8"/>
      <c r="M24" s="8"/>
      <c r="N24" s="8"/>
    </row>
    <row r="25" spans="1:14">
      <c r="A25" s="8"/>
      <c r="B25" s="8"/>
      <c r="C25" s="8"/>
      <c r="D25" s="8"/>
      <c r="E25" s="8"/>
      <c r="F25" s="8"/>
      <c r="G25" s="8"/>
      <c r="H25" s="8"/>
      <c r="I25" s="8"/>
      <c r="J25" s="8"/>
      <c r="K25" s="8"/>
      <c r="L25" s="8"/>
      <c r="M25" s="8"/>
      <c r="N25" s="8"/>
    </row>
    <row r="26" spans="1:14">
      <c r="A26" s="8"/>
      <c r="B26" s="8"/>
      <c r="C26" s="8"/>
      <c r="D26" s="8"/>
      <c r="E26" s="8"/>
      <c r="F26" s="8"/>
      <c r="G26" s="8"/>
      <c r="H26" s="8"/>
      <c r="I26" s="8"/>
      <c r="J26" s="8"/>
      <c r="K26" s="8"/>
      <c r="L26" s="8"/>
      <c r="M26" s="8"/>
      <c r="N26" s="8"/>
    </row>
    <row r="27" spans="1:14">
      <c r="A27" s="8"/>
      <c r="B27" s="8"/>
      <c r="C27" s="8"/>
      <c r="D27" s="8"/>
      <c r="E27" s="8"/>
      <c r="F27" s="8"/>
      <c r="G27" s="8"/>
      <c r="H27" s="8"/>
      <c r="I27" s="8"/>
      <c r="J27" s="8"/>
      <c r="K27" s="8"/>
      <c r="L27" s="8"/>
      <c r="M27" s="8"/>
      <c r="N27" s="8"/>
    </row>
    <row r="28" spans="1:14">
      <c r="A28" s="8"/>
      <c r="B28" s="8"/>
      <c r="C28" s="8"/>
      <c r="D28" s="8"/>
      <c r="E28" s="8"/>
      <c r="F28" s="8"/>
      <c r="G28" s="8"/>
      <c r="H28" s="8"/>
      <c r="I28" s="8"/>
      <c r="J28" s="8"/>
      <c r="K28" s="8"/>
      <c r="L28" s="8"/>
      <c r="M28" s="8"/>
      <c r="N28" s="8"/>
    </row>
    <row r="29" spans="1:14">
      <c r="A29" s="8"/>
      <c r="B29" s="8"/>
      <c r="C29" s="8"/>
      <c r="D29" s="8"/>
      <c r="E29" s="8"/>
      <c r="F29" s="8"/>
      <c r="G29" s="8"/>
      <c r="H29" s="8"/>
      <c r="I29" s="8"/>
      <c r="J29" s="8"/>
      <c r="K29" s="8"/>
      <c r="L29" s="8"/>
      <c r="M29" s="8"/>
      <c r="N29" s="8"/>
    </row>
    <row r="30" spans="1:14">
      <c r="A30" s="8"/>
      <c r="B30" s="8"/>
      <c r="C30" s="8"/>
      <c r="D30" s="8"/>
      <c r="E30" s="8"/>
      <c r="F30" s="8"/>
      <c r="G30" s="8"/>
      <c r="H30" s="8"/>
      <c r="I30" s="8"/>
      <c r="J30" s="8"/>
      <c r="K30" s="8"/>
      <c r="L30" s="8"/>
      <c r="M30" s="8"/>
      <c r="N30" s="8"/>
    </row>
    <row r="31" spans="1:14">
      <c r="A31" s="8"/>
      <c r="B31" s="8"/>
      <c r="C31" s="8"/>
      <c r="D31" s="8"/>
      <c r="E31" s="8"/>
      <c r="F31" s="8"/>
      <c r="G31" s="8"/>
      <c r="H31" s="8"/>
      <c r="I31" s="8"/>
      <c r="J31" s="8"/>
      <c r="K31" s="8"/>
      <c r="L31" s="8"/>
      <c r="M31" s="8"/>
      <c r="N31" s="8"/>
    </row>
    <row r="32" spans="1:14">
      <c r="A32" s="8"/>
      <c r="B32" s="8"/>
      <c r="C32" s="8"/>
      <c r="D32" s="8"/>
      <c r="E32" s="8"/>
      <c r="F32" s="8"/>
      <c r="G32" s="8"/>
      <c r="H32" s="8"/>
      <c r="I32" s="8"/>
      <c r="J32" s="8"/>
      <c r="K32" s="8"/>
      <c r="L32" s="8"/>
      <c r="M32" s="8"/>
      <c r="N32" s="8"/>
    </row>
    <row r="33" spans="1:14">
      <c r="A33" s="8"/>
      <c r="B33" s="8"/>
      <c r="C33" s="8"/>
      <c r="D33" s="8"/>
      <c r="E33" s="8"/>
      <c r="F33" s="8"/>
      <c r="G33" s="8"/>
      <c r="H33" s="8"/>
      <c r="I33" s="8"/>
      <c r="J33" s="8"/>
      <c r="K33" s="8"/>
      <c r="L33" s="8"/>
      <c r="M33" s="8"/>
      <c r="N33" s="8"/>
    </row>
    <row r="34" spans="1:14">
      <c r="A34" s="8"/>
      <c r="B34" s="8"/>
      <c r="C34" s="8"/>
      <c r="D34" s="8"/>
      <c r="E34" s="8"/>
      <c r="F34" s="8"/>
      <c r="G34" s="8"/>
      <c r="H34" s="8"/>
      <c r="I34" s="8"/>
      <c r="J34" s="8"/>
      <c r="K34" s="8"/>
      <c r="L34" s="8"/>
      <c r="M34" s="8"/>
      <c r="N34" s="8"/>
    </row>
    <row r="35" spans="1:14">
      <c r="A35" s="8"/>
      <c r="B35" s="8"/>
      <c r="C35" s="8"/>
      <c r="D35" s="8"/>
      <c r="E35" s="8"/>
      <c r="F35" s="8"/>
      <c r="G35" s="8"/>
      <c r="H35" s="8"/>
      <c r="I35" s="8"/>
      <c r="J35" s="8"/>
      <c r="K35" s="8"/>
      <c r="L35" s="8"/>
      <c r="M35" s="8"/>
      <c r="N35" s="8"/>
    </row>
    <row r="36" spans="1:14">
      <c r="A36" s="8"/>
      <c r="B36" s="8"/>
      <c r="C36" s="8"/>
      <c r="D36" s="8"/>
      <c r="E36" s="8"/>
      <c r="F36" s="8"/>
      <c r="G36" s="8"/>
      <c r="H36" s="8"/>
      <c r="I36" s="8"/>
      <c r="J36" s="8"/>
      <c r="K36" s="8"/>
      <c r="L36" s="8"/>
      <c r="M36" s="8"/>
      <c r="N36" s="8"/>
    </row>
    <row r="37" spans="1:14">
      <c r="A37" s="8"/>
      <c r="B37" s="8"/>
      <c r="C37" s="8"/>
      <c r="D37" s="8"/>
      <c r="E37" s="8"/>
      <c r="F37" s="8"/>
      <c r="G37" s="8"/>
      <c r="H37" s="8"/>
      <c r="I37" s="8"/>
      <c r="J37" s="8"/>
      <c r="K37" s="8"/>
      <c r="L37" s="8"/>
      <c r="M37" s="8"/>
      <c r="N37" s="8"/>
    </row>
    <row r="38" spans="1:14">
      <c r="A38" s="8"/>
      <c r="B38" s="8"/>
      <c r="C38" s="8"/>
      <c r="D38" s="8"/>
      <c r="E38" s="8"/>
      <c r="F38" s="8"/>
      <c r="G38" s="8"/>
      <c r="H38" s="8"/>
      <c r="I38" s="8"/>
      <c r="J38" s="8"/>
      <c r="K38" s="8"/>
      <c r="L38" s="8"/>
      <c r="M38" s="8"/>
      <c r="N38" s="8"/>
    </row>
    <row r="39" spans="1:14">
      <c r="A39" s="8"/>
      <c r="B39" s="8"/>
      <c r="C39" s="8"/>
      <c r="D39" s="8"/>
      <c r="E39" s="8"/>
      <c r="F39" s="8"/>
      <c r="G39" s="8"/>
      <c r="H39" s="8"/>
      <c r="I39" s="8"/>
      <c r="J39" s="8"/>
      <c r="K39" s="8"/>
      <c r="L39" s="8"/>
      <c r="M39" s="8"/>
      <c r="N39" s="8"/>
    </row>
    <row r="40" spans="1:14">
      <c r="A40" s="8"/>
      <c r="B40" s="8"/>
      <c r="C40" s="8"/>
      <c r="D40" s="8"/>
      <c r="E40" s="8"/>
      <c r="F40" s="8"/>
      <c r="G40" s="8"/>
      <c r="H40" s="8"/>
      <c r="I40" s="8"/>
      <c r="J40" s="8"/>
      <c r="K40" s="8"/>
      <c r="L40" s="8"/>
      <c r="M40" s="8"/>
      <c r="N40" s="8"/>
    </row>
    <row r="41" spans="1:14">
      <c r="A41" s="8"/>
      <c r="B41" s="8"/>
      <c r="C41" s="8"/>
      <c r="D41" s="8"/>
      <c r="E41" s="8"/>
      <c r="F41" s="8"/>
      <c r="G41" s="8"/>
      <c r="H41" s="8"/>
      <c r="I41" s="8"/>
      <c r="J41" s="8"/>
      <c r="K41" s="8"/>
      <c r="L41" s="8"/>
      <c r="M41" s="8"/>
      <c r="N41" s="8"/>
    </row>
    <row r="42" spans="1:14">
      <c r="A42" s="8"/>
      <c r="B42" s="8"/>
      <c r="C42" s="8"/>
      <c r="D42" s="8"/>
      <c r="E42" s="8"/>
      <c r="F42" s="8"/>
      <c r="G42" s="8"/>
      <c r="H42" s="8"/>
      <c r="I42" s="8"/>
      <c r="J42" s="8"/>
      <c r="K42" s="8"/>
      <c r="L42" s="8"/>
      <c r="M42" s="8"/>
      <c r="N42" s="8"/>
    </row>
    <row r="43" spans="1:14">
      <c r="A43" s="8"/>
      <c r="B43" s="8"/>
      <c r="C43" s="8"/>
      <c r="D43" s="8"/>
      <c r="E43" s="8"/>
      <c r="F43" s="8"/>
      <c r="G43" s="8"/>
      <c r="H43" s="8"/>
      <c r="I43" s="8"/>
      <c r="J43" s="8"/>
      <c r="K43" s="8"/>
      <c r="L43" s="8"/>
      <c r="M43" s="8"/>
      <c r="N43" s="8"/>
    </row>
    <row r="44" spans="1:14">
      <c r="A44" s="8"/>
      <c r="B44" s="8"/>
      <c r="C44" s="8"/>
      <c r="D44" s="8"/>
      <c r="E44" s="8"/>
      <c r="F44" s="8"/>
      <c r="G44" s="8"/>
      <c r="H44" s="8"/>
      <c r="I44" s="8"/>
      <c r="J44" s="8"/>
      <c r="K44" s="8"/>
      <c r="L44" s="8"/>
      <c r="M44" s="8"/>
      <c r="N44" s="8"/>
    </row>
    <row r="45" spans="1:14">
      <c r="A45" s="8"/>
      <c r="B45" s="8"/>
      <c r="C45" s="8"/>
      <c r="D45" s="8"/>
      <c r="E45" s="8"/>
      <c r="F45" s="8"/>
      <c r="G45" s="8"/>
      <c r="H45" s="8"/>
      <c r="I45" s="8"/>
      <c r="J45" s="8"/>
      <c r="K45" s="8"/>
      <c r="L45" s="8"/>
      <c r="M45" s="8"/>
      <c r="N45" s="8"/>
    </row>
    <row r="46" spans="1:14">
      <c r="A46" s="8"/>
      <c r="B46" s="8"/>
      <c r="C46" s="8"/>
      <c r="D46" s="8"/>
      <c r="E46" s="8"/>
      <c r="F46" s="8"/>
      <c r="G46" s="8"/>
      <c r="H46" s="8"/>
      <c r="I46" s="8"/>
      <c r="J46" s="8"/>
      <c r="K46" s="8"/>
      <c r="L46" s="8"/>
      <c r="M46" s="8"/>
      <c r="N46" s="8"/>
    </row>
    <row r="47" spans="1:14">
      <c r="A47" s="8"/>
      <c r="B47" s="8"/>
      <c r="C47" s="8"/>
      <c r="D47" s="8"/>
      <c r="E47" s="8"/>
      <c r="F47" s="8"/>
      <c r="G47" s="8"/>
      <c r="H47" s="8"/>
      <c r="I47" s="8"/>
      <c r="J47" s="8"/>
      <c r="K47" s="8"/>
      <c r="L47" s="8"/>
      <c r="M47" s="8"/>
      <c r="N47" s="8"/>
    </row>
    <row r="48" spans="1:14">
      <c r="A48" s="8"/>
      <c r="B48" s="8"/>
      <c r="C48" s="8"/>
      <c r="D48" s="8"/>
      <c r="E48" s="8"/>
      <c r="F48" s="8"/>
      <c r="G48" s="8"/>
      <c r="H48" s="8"/>
      <c r="I48" s="8"/>
      <c r="J48" s="8"/>
      <c r="K48" s="8"/>
      <c r="L48" s="8"/>
      <c r="M48" s="8"/>
      <c r="N48" s="8"/>
    </row>
    <row r="49" spans="1:14">
      <c r="A49" s="8"/>
      <c r="B49" s="8"/>
      <c r="C49" s="8"/>
      <c r="D49" s="8"/>
      <c r="E49" s="8"/>
      <c r="F49" s="8"/>
      <c r="G49" s="8"/>
      <c r="H49" s="8"/>
      <c r="I49" s="8"/>
      <c r="J49" s="8"/>
      <c r="K49" s="8"/>
      <c r="L49" s="8"/>
      <c r="M49" s="8"/>
      <c r="N49" s="8"/>
    </row>
    <row r="50" spans="1:14">
      <c r="A50" s="8"/>
      <c r="B50" s="8"/>
      <c r="C50" s="8"/>
      <c r="D50" s="8"/>
      <c r="E50" s="8"/>
      <c r="F50" s="8"/>
      <c r="G50" s="8"/>
      <c r="H50" s="8"/>
      <c r="I50" s="8"/>
      <c r="J50" s="8"/>
      <c r="K50" s="8"/>
      <c r="L50" s="8"/>
      <c r="M50" s="8"/>
      <c r="N50" s="8"/>
    </row>
    <row r="51" spans="1:14">
      <c r="A51" s="8"/>
      <c r="B51" s="8"/>
      <c r="C51" s="8"/>
      <c r="D51" s="8"/>
      <c r="E51" s="8"/>
      <c r="F51" s="8"/>
      <c r="G51" s="8"/>
      <c r="H51" s="8"/>
      <c r="I51" s="8"/>
      <c r="J51" s="8"/>
      <c r="K51" s="8"/>
      <c r="L51" s="8"/>
      <c r="M51" s="8"/>
      <c r="N51" s="8"/>
    </row>
    <row r="52" spans="1:14">
      <c r="A52" s="8"/>
      <c r="B52" s="8"/>
      <c r="C52" s="8"/>
      <c r="D52" s="8"/>
      <c r="E52" s="8"/>
      <c r="F52" s="8"/>
      <c r="G52" s="8"/>
      <c r="H52" s="8"/>
      <c r="I52" s="8"/>
      <c r="J52" s="8"/>
      <c r="K52" s="8"/>
      <c r="L52" s="8"/>
      <c r="M52" s="8"/>
      <c r="N52" s="8"/>
    </row>
    <row r="53" spans="1:14">
      <c r="A53" s="8"/>
      <c r="B53" s="8"/>
      <c r="C53" s="8"/>
      <c r="D53" s="8"/>
      <c r="E53" s="8"/>
      <c r="F53" s="8"/>
      <c r="G53" s="8"/>
      <c r="H53" s="8"/>
      <c r="I53" s="8"/>
      <c r="J53" s="8"/>
      <c r="K53" s="8"/>
      <c r="L53" s="8"/>
      <c r="M53" s="8"/>
      <c r="N53" s="8"/>
    </row>
    <row r="54" spans="1:14">
      <c r="A54" s="8"/>
      <c r="B54" s="8"/>
      <c r="C54" s="8"/>
      <c r="D54" s="8"/>
      <c r="E54" s="8"/>
      <c r="F54" s="8"/>
      <c r="G54" s="8"/>
      <c r="H54" s="8"/>
      <c r="I54" s="8"/>
      <c r="J54" s="8"/>
      <c r="K54" s="8"/>
      <c r="L54" s="8"/>
      <c r="M54" s="8"/>
      <c r="N54" s="8"/>
    </row>
    <row r="55" spans="1:14">
      <c r="A55" s="8"/>
      <c r="B55" s="8"/>
      <c r="C55" s="8"/>
      <c r="D55" s="8"/>
      <c r="E55" s="8"/>
      <c r="F55" s="8"/>
      <c r="G55" s="8"/>
      <c r="H55" s="8"/>
      <c r="I55" s="8"/>
      <c r="J55" s="8"/>
      <c r="K55" s="8"/>
      <c r="L55" s="8"/>
      <c r="M55" s="8"/>
      <c r="N55" s="8"/>
    </row>
    <row r="56" spans="1:14">
      <c r="A56" s="8"/>
      <c r="B56" s="8"/>
      <c r="C56" s="8"/>
      <c r="D56" s="8"/>
      <c r="E56" s="8"/>
      <c r="F56" s="8"/>
      <c r="G56" s="8"/>
      <c r="H56" s="8"/>
      <c r="I56" s="8"/>
      <c r="J56" s="8"/>
      <c r="K56" s="8"/>
      <c r="L56" s="8"/>
      <c r="M56" s="8"/>
      <c r="N56" s="8"/>
    </row>
    <row r="57" spans="1:14">
      <c r="A57" s="8"/>
      <c r="B57" s="8"/>
      <c r="C57" s="8"/>
      <c r="D57" s="8"/>
      <c r="E57" s="8"/>
      <c r="F57" s="8"/>
      <c r="G57" s="8"/>
      <c r="H57" s="8"/>
      <c r="I57" s="8"/>
      <c r="J57" s="8"/>
      <c r="K57" s="8"/>
      <c r="L57" s="8"/>
      <c r="M57" s="8"/>
      <c r="N57" s="8"/>
    </row>
    <row r="58" spans="1:14">
      <c r="A58" s="8"/>
      <c r="B58" s="8"/>
      <c r="C58" s="8"/>
      <c r="D58" s="8"/>
      <c r="E58" s="8"/>
      <c r="F58" s="8"/>
      <c r="G58" s="8"/>
      <c r="H58" s="8"/>
      <c r="I58" s="8"/>
      <c r="J58" s="8"/>
      <c r="K58" s="8"/>
      <c r="L58" s="8"/>
      <c r="M58" s="8"/>
      <c r="N58" s="8"/>
    </row>
    <row r="59" spans="1:14">
      <c r="A59" s="8"/>
      <c r="B59" s="8"/>
      <c r="C59" s="8"/>
      <c r="D59" s="8"/>
      <c r="E59" s="8"/>
      <c r="F59" s="8"/>
      <c r="G59" s="8"/>
      <c r="H59" s="8"/>
      <c r="I59" s="8"/>
      <c r="J59" s="8"/>
      <c r="K59" s="8"/>
      <c r="L59" s="8"/>
      <c r="M59" s="8"/>
      <c r="N59" s="8"/>
    </row>
    <row r="60" spans="1:14">
      <c r="A60" s="8"/>
      <c r="B60" s="8"/>
      <c r="C60" s="8"/>
      <c r="D60" s="8"/>
      <c r="E60" s="8"/>
      <c r="F60" s="8"/>
      <c r="G60" s="8"/>
      <c r="H60" s="8"/>
      <c r="I60" s="8"/>
      <c r="J60" s="8"/>
      <c r="K60" s="8"/>
      <c r="L60" s="8"/>
      <c r="M60" s="8"/>
      <c r="N60" s="8"/>
    </row>
    <row r="61" spans="1:14">
      <c r="A61" s="8"/>
      <c r="B61" s="8"/>
      <c r="C61" s="8"/>
      <c r="D61" s="8"/>
      <c r="E61" s="8"/>
      <c r="F61" s="8"/>
      <c r="G61" s="8"/>
      <c r="H61" s="8"/>
      <c r="I61" s="8"/>
      <c r="J61" s="8"/>
      <c r="K61" s="8"/>
      <c r="L61" s="8"/>
      <c r="M61" s="8"/>
      <c r="N61" s="8"/>
    </row>
    <row r="62" spans="1:14">
      <c r="A62" s="8"/>
      <c r="B62" s="8"/>
      <c r="C62" s="8"/>
      <c r="D62" s="8"/>
      <c r="E62" s="8"/>
      <c r="F62" s="8"/>
      <c r="G62" s="8"/>
      <c r="H62" s="8"/>
      <c r="I62" s="8"/>
      <c r="J62" s="8"/>
      <c r="K62" s="8"/>
      <c r="L62" s="8"/>
      <c r="M62" s="8"/>
      <c r="N62" s="8"/>
    </row>
    <row r="63" spans="1:14">
      <c r="A63" s="8"/>
      <c r="B63" s="8"/>
      <c r="C63" s="8"/>
      <c r="D63" s="8"/>
      <c r="E63" s="8"/>
      <c r="F63" s="8"/>
      <c r="G63" s="8"/>
      <c r="H63" s="8"/>
      <c r="I63" s="8"/>
      <c r="J63" s="8"/>
      <c r="K63" s="8"/>
      <c r="L63" s="8"/>
      <c r="M63" s="8"/>
      <c r="N63" s="8"/>
    </row>
    <row r="64" spans="1:14">
      <c r="A64" s="8"/>
      <c r="B64" s="8"/>
      <c r="C64" s="8"/>
      <c r="D64" s="8"/>
      <c r="E64" s="8"/>
      <c r="F64" s="8"/>
      <c r="G64" s="8"/>
      <c r="H64" s="8"/>
      <c r="I64" s="8"/>
      <c r="J64" s="8"/>
      <c r="K64" s="8"/>
      <c r="L64" s="8"/>
      <c r="M64" s="8"/>
      <c r="N64" s="8"/>
    </row>
    <row r="65" spans="1:14">
      <c r="A65" s="8"/>
      <c r="B65" s="8"/>
      <c r="C65" s="8"/>
      <c r="D65" s="8"/>
      <c r="E65" s="8"/>
      <c r="F65" s="8"/>
      <c r="G65" s="8"/>
      <c r="H65" s="8"/>
      <c r="I65" s="8"/>
      <c r="J65" s="8"/>
      <c r="K65" s="8"/>
      <c r="L65" s="8"/>
      <c r="M65" s="8"/>
      <c r="N65" s="8"/>
    </row>
    <row r="66" spans="1:14">
      <c r="A66" s="8"/>
      <c r="B66" s="8"/>
      <c r="C66" s="8"/>
      <c r="D66" s="8"/>
      <c r="E66" s="8"/>
      <c r="F66" s="8"/>
      <c r="G66" s="8"/>
      <c r="H66" s="8"/>
      <c r="I66" s="8"/>
      <c r="J66" s="8"/>
      <c r="K66" s="8"/>
      <c r="L66" s="8"/>
      <c r="M66" s="8"/>
      <c r="N66" s="8"/>
    </row>
    <row r="67" spans="1:14">
      <c r="A67" s="8"/>
      <c r="B67" s="8"/>
      <c r="C67" s="8"/>
      <c r="D67" s="8"/>
      <c r="E67" s="8"/>
      <c r="F67" s="8"/>
      <c r="G67" s="8"/>
      <c r="H67" s="8"/>
      <c r="I67" s="8"/>
      <c r="J67" s="8"/>
      <c r="K67" s="8"/>
      <c r="L67" s="8"/>
      <c r="M67" s="8"/>
      <c r="N67" s="8"/>
    </row>
    <row r="68" spans="1:14">
      <c r="A68" s="8"/>
      <c r="B68" s="8"/>
      <c r="C68" s="8"/>
      <c r="D68" s="8"/>
      <c r="E68" s="8"/>
      <c r="F68" s="8"/>
      <c r="G68" s="8"/>
      <c r="H68" s="8"/>
      <c r="I68" s="8"/>
      <c r="J68" s="8"/>
      <c r="K68" s="8"/>
      <c r="L68" s="8"/>
      <c r="M68" s="8"/>
      <c r="N68" s="8"/>
    </row>
    <row r="69" spans="1:14">
      <c r="A69" s="8"/>
      <c r="B69" s="8"/>
      <c r="C69" s="8"/>
      <c r="D69" s="8"/>
      <c r="E69" s="8"/>
      <c r="F69" s="8"/>
      <c r="G69" s="8"/>
      <c r="H69" s="8"/>
      <c r="I69" s="8"/>
      <c r="J69" s="8"/>
      <c r="K69" s="8"/>
      <c r="L69" s="8"/>
      <c r="M69" s="8"/>
      <c r="N69" s="8"/>
    </row>
    <row r="70" spans="1:14">
      <c r="A70" s="8"/>
      <c r="B70" s="8"/>
      <c r="C70" s="8"/>
      <c r="D70" s="8"/>
      <c r="E70" s="8"/>
      <c r="F70" s="8"/>
      <c r="G70" s="8"/>
      <c r="H70" s="8"/>
      <c r="I70" s="8"/>
      <c r="J70" s="8"/>
      <c r="K70" s="8"/>
      <c r="L70" s="8"/>
      <c r="M70" s="8"/>
      <c r="N70" s="8"/>
    </row>
    <row r="71" spans="1:14">
      <c r="A71" s="8"/>
      <c r="B71" s="8"/>
      <c r="C71" s="8"/>
      <c r="D71" s="8"/>
      <c r="E71" s="8"/>
      <c r="F71" s="8"/>
      <c r="G71" s="8"/>
      <c r="H71" s="8"/>
      <c r="I71" s="8"/>
      <c r="J71" s="8"/>
      <c r="K71" s="8"/>
      <c r="L71" s="8"/>
      <c r="M71" s="8"/>
      <c r="N71" s="8"/>
    </row>
    <row r="72" spans="1:14">
      <c r="A72" s="8"/>
      <c r="B72" s="8"/>
      <c r="C72" s="8"/>
      <c r="D72" s="8"/>
      <c r="E72" s="8"/>
      <c r="F72" s="8"/>
      <c r="G72" s="8"/>
      <c r="H72" s="8"/>
      <c r="I72" s="8"/>
      <c r="J72" s="8"/>
      <c r="K72" s="8"/>
      <c r="L72" s="8"/>
      <c r="M72" s="8"/>
      <c r="N72" s="8"/>
    </row>
    <row r="73" spans="1:14">
      <c r="A73" s="8"/>
      <c r="B73" s="8"/>
      <c r="C73" s="8"/>
      <c r="D73" s="8"/>
      <c r="E73" s="8"/>
      <c r="F73" s="8"/>
      <c r="G73" s="8"/>
      <c r="H73" s="8"/>
      <c r="I73" s="8"/>
      <c r="J73" s="8"/>
      <c r="K73" s="8"/>
      <c r="L73" s="8"/>
      <c r="M73" s="8"/>
      <c r="N73" s="8"/>
    </row>
    <row r="74" spans="1:14">
      <c r="A74" s="8"/>
      <c r="B74" s="8"/>
      <c r="C74" s="8"/>
      <c r="D74" s="8"/>
      <c r="E74" s="8"/>
      <c r="F74" s="8"/>
      <c r="G74" s="8"/>
      <c r="H74" s="8"/>
      <c r="I74" s="8"/>
      <c r="J74" s="8"/>
      <c r="K74" s="8"/>
      <c r="L74" s="8"/>
      <c r="M74" s="8"/>
      <c r="N74" s="8"/>
    </row>
    <row r="75" spans="1:14">
      <c r="A75" s="8"/>
      <c r="B75" s="8"/>
      <c r="C75" s="8"/>
      <c r="D75" s="8"/>
      <c r="E75" s="8"/>
      <c r="F75" s="8"/>
      <c r="G75" s="8"/>
      <c r="H75" s="8"/>
      <c r="I75" s="8"/>
      <c r="J75" s="8"/>
      <c r="K75" s="8"/>
      <c r="L75" s="8"/>
      <c r="M75" s="8"/>
      <c r="N75" s="8"/>
    </row>
    <row r="76" spans="1:14">
      <c r="A76" s="8"/>
      <c r="B76" s="8"/>
      <c r="C76" s="8"/>
      <c r="D76" s="8"/>
      <c r="E76" s="8"/>
      <c r="F76" s="8"/>
      <c r="G76" s="8"/>
      <c r="H76" s="8"/>
      <c r="I76" s="8"/>
      <c r="J76" s="8"/>
      <c r="K76" s="8"/>
      <c r="L76" s="8"/>
      <c r="M76" s="8"/>
      <c r="N76" s="8"/>
    </row>
    <row r="77" spans="1:14">
      <c r="A77" s="8"/>
      <c r="B77" s="8"/>
      <c r="C77" s="8"/>
      <c r="D77" s="8"/>
      <c r="E77" s="8"/>
      <c r="F77" s="8"/>
      <c r="G77" s="8"/>
      <c r="H77" s="8"/>
      <c r="I77" s="8"/>
      <c r="J77" s="8"/>
      <c r="K77" s="8"/>
      <c r="L77" s="8"/>
      <c r="M77" s="8"/>
      <c r="N77" s="8"/>
    </row>
    <row r="78" spans="1:14">
      <c r="A78" s="8"/>
      <c r="B78" s="8"/>
      <c r="C78" s="8"/>
      <c r="D78" s="8"/>
      <c r="E78" s="8"/>
      <c r="F78" s="8"/>
      <c r="G78" s="8"/>
      <c r="H78" s="8"/>
      <c r="I78" s="8"/>
      <c r="J78" s="8"/>
      <c r="K78" s="8"/>
      <c r="L78" s="8"/>
      <c r="M78" s="8"/>
      <c r="N78" s="8"/>
    </row>
    <row r="79" spans="1:14">
      <c r="A79" s="8"/>
      <c r="B79" s="8"/>
      <c r="C79" s="8"/>
      <c r="D79" s="8"/>
      <c r="E79" s="8"/>
      <c r="F79" s="8"/>
      <c r="G79" s="8"/>
      <c r="H79" s="8"/>
      <c r="I79" s="8"/>
      <c r="J79" s="8"/>
      <c r="K79" s="8"/>
      <c r="L79" s="8"/>
      <c r="M79" s="8"/>
      <c r="N79" s="8"/>
    </row>
    <row r="80" spans="1:14">
      <c r="A80" s="8"/>
      <c r="B80" s="8"/>
      <c r="C80" s="8"/>
      <c r="D80" s="8"/>
      <c r="E80" s="8"/>
      <c r="F80" s="8"/>
      <c r="G80" s="8"/>
      <c r="H80" s="8"/>
      <c r="I80" s="8"/>
      <c r="J80" s="8"/>
      <c r="K80" s="8"/>
      <c r="L80" s="8"/>
      <c r="M80" s="8"/>
      <c r="N80" s="8"/>
    </row>
    <row r="81" spans="1:14">
      <c r="A81" s="8"/>
      <c r="B81" s="8"/>
      <c r="C81" s="8"/>
      <c r="D81" s="8"/>
      <c r="E81" s="8"/>
      <c r="F81" s="8"/>
      <c r="G81" s="8"/>
      <c r="H81" s="8"/>
      <c r="I81" s="8"/>
      <c r="J81" s="8"/>
      <c r="K81" s="8"/>
      <c r="L81" s="8"/>
      <c r="M81" s="8"/>
      <c r="N81" s="8"/>
    </row>
    <row r="82" spans="1:14">
      <c r="A82" s="8"/>
      <c r="B82" s="8"/>
      <c r="C82" s="8"/>
      <c r="D82" s="8"/>
      <c r="E82" s="8"/>
      <c r="F82" s="8"/>
      <c r="G82" s="8"/>
      <c r="H82" s="8"/>
      <c r="I82" s="8"/>
      <c r="J82" s="8"/>
      <c r="K82" s="8"/>
      <c r="L82" s="8"/>
      <c r="M82" s="8"/>
      <c r="N82" s="8"/>
    </row>
    <row r="83" spans="1:14">
      <c r="A83" s="8"/>
      <c r="B83" s="8"/>
      <c r="C83" s="8"/>
      <c r="D83" s="8"/>
      <c r="E83" s="8"/>
      <c r="F83" s="8"/>
      <c r="G83" s="8"/>
      <c r="H83" s="8"/>
      <c r="I83" s="8"/>
      <c r="J83" s="8"/>
      <c r="K83" s="8"/>
      <c r="L83" s="8"/>
      <c r="M83" s="8"/>
      <c r="N83" s="8"/>
    </row>
    <row r="84" spans="1:14">
      <c r="A84" s="8"/>
      <c r="B84" s="8"/>
      <c r="C84" s="8"/>
      <c r="D84" s="8"/>
      <c r="E84" s="8"/>
      <c r="F84" s="8"/>
      <c r="G84" s="8"/>
      <c r="H84" s="8"/>
      <c r="I84" s="8"/>
      <c r="J84" s="8"/>
      <c r="K84" s="8"/>
      <c r="L84" s="8"/>
      <c r="M84" s="8"/>
      <c r="N84" s="8"/>
    </row>
    <row r="85" spans="1:14">
      <c r="A85" s="8"/>
      <c r="B85" s="8"/>
      <c r="C85" s="8"/>
      <c r="D85" s="8"/>
      <c r="E85" s="8"/>
      <c r="F85" s="8"/>
      <c r="G85" s="8"/>
      <c r="H85" s="8"/>
      <c r="I85" s="8"/>
      <c r="J85" s="8"/>
      <c r="K85" s="8"/>
      <c r="L85" s="8"/>
      <c r="M85" s="8"/>
      <c r="N85" s="8"/>
    </row>
    <row r="86" spans="1:14">
      <c r="A86" s="8"/>
      <c r="B86" s="8"/>
      <c r="C86" s="8"/>
      <c r="D86" s="8"/>
      <c r="E86" s="8"/>
      <c r="F86" s="8"/>
      <c r="G86" s="8"/>
      <c r="H86" s="8"/>
      <c r="I86" s="8"/>
      <c r="J86" s="8"/>
      <c r="K86" s="8"/>
      <c r="L86" s="8"/>
      <c r="M86" s="8"/>
      <c r="N86" s="8"/>
    </row>
    <row r="87" spans="1:14">
      <c r="A87" s="8"/>
      <c r="B87" s="8"/>
      <c r="C87" s="8"/>
      <c r="D87" s="8"/>
      <c r="E87" s="8"/>
      <c r="F87" s="8"/>
      <c r="G87" s="8"/>
      <c r="H87" s="8"/>
      <c r="I87" s="8"/>
      <c r="J87" s="8"/>
      <c r="K87" s="8"/>
      <c r="L87" s="8"/>
      <c r="M87" s="8"/>
      <c r="N87" s="8"/>
    </row>
    <row r="88" spans="1:14">
      <c r="A88" s="8"/>
      <c r="B88" s="8"/>
      <c r="C88" s="8"/>
      <c r="D88" s="8"/>
      <c r="E88" s="8"/>
      <c r="F88" s="8"/>
      <c r="G88" s="8"/>
      <c r="H88" s="8"/>
      <c r="I88" s="8"/>
      <c r="J88" s="8"/>
      <c r="K88" s="8"/>
      <c r="L88" s="8"/>
      <c r="M88" s="8"/>
      <c r="N88" s="8"/>
    </row>
    <row r="89" spans="1:14">
      <c r="A89" s="8"/>
      <c r="B89" s="8"/>
      <c r="C89" s="8"/>
      <c r="D89" s="8"/>
      <c r="E89" s="8"/>
      <c r="F89" s="8"/>
      <c r="G89" s="8"/>
      <c r="H89" s="8"/>
      <c r="I89" s="8"/>
      <c r="J89" s="8"/>
      <c r="K89" s="8"/>
      <c r="L89" s="8"/>
      <c r="M89" s="8"/>
      <c r="N89" s="8"/>
    </row>
    <row r="90" spans="1:14">
      <c r="A90" s="8"/>
      <c r="B90" s="8"/>
      <c r="C90" s="8"/>
      <c r="D90" s="8"/>
      <c r="E90" s="8"/>
      <c r="F90" s="8"/>
      <c r="G90" s="8"/>
      <c r="H90" s="8"/>
      <c r="I90" s="8"/>
      <c r="J90" s="8"/>
      <c r="K90" s="8"/>
      <c r="L90" s="8"/>
      <c r="M90" s="8"/>
      <c r="N90" s="8"/>
    </row>
    <row r="91" spans="1:14">
      <c r="A91" s="8"/>
      <c r="B91" s="8"/>
      <c r="C91" s="8"/>
      <c r="D91" s="8"/>
      <c r="E91" s="8"/>
      <c r="F91" s="8"/>
      <c r="G91" s="8"/>
      <c r="H91" s="8"/>
      <c r="I91" s="8"/>
      <c r="J91" s="8"/>
      <c r="K91" s="8"/>
      <c r="L91" s="8"/>
      <c r="M91" s="8"/>
      <c r="N91" s="8"/>
    </row>
    <row r="92" spans="1:14">
      <c r="A92" s="8"/>
      <c r="B92" s="8"/>
      <c r="C92" s="8"/>
      <c r="D92" s="8"/>
      <c r="E92" s="8"/>
      <c r="F92" s="8"/>
      <c r="G92" s="8"/>
      <c r="H92" s="8"/>
      <c r="I92" s="8"/>
      <c r="J92" s="8"/>
      <c r="K92" s="8"/>
      <c r="L92" s="8"/>
      <c r="M92" s="8"/>
      <c r="N92" s="8"/>
    </row>
    <row r="93" spans="1:14">
      <c r="A93" s="8"/>
      <c r="B93" s="8"/>
      <c r="C93" s="8"/>
      <c r="D93" s="8"/>
      <c r="E93" s="8"/>
      <c r="F93" s="8"/>
      <c r="G93" s="8"/>
      <c r="H93" s="8"/>
      <c r="I93" s="8"/>
      <c r="J93" s="8"/>
      <c r="K93" s="8"/>
      <c r="L93" s="8"/>
      <c r="M93" s="8"/>
      <c r="N93" s="8"/>
    </row>
    <row r="94" spans="1:14">
      <c r="A94" s="8"/>
      <c r="B94" s="8"/>
      <c r="C94" s="8"/>
      <c r="D94" s="8"/>
      <c r="E94" s="8"/>
      <c r="F94" s="8"/>
      <c r="G94" s="8"/>
      <c r="H94" s="8"/>
      <c r="I94" s="8"/>
      <c r="J94" s="8"/>
      <c r="K94" s="8"/>
      <c r="L94" s="8"/>
      <c r="M94" s="8"/>
      <c r="N94" s="8"/>
    </row>
    <row r="95" spans="1:14">
      <c r="A95" s="8"/>
      <c r="B95" s="8"/>
      <c r="C95" s="8"/>
      <c r="D95" s="8"/>
      <c r="E95" s="8"/>
      <c r="F95" s="8"/>
      <c r="G95" s="8"/>
      <c r="H95" s="8"/>
      <c r="I95" s="8"/>
      <c r="J95" s="8"/>
      <c r="K95" s="8"/>
      <c r="L95" s="8"/>
      <c r="M95" s="8"/>
      <c r="N95" s="8"/>
    </row>
    <row r="96" spans="1:14">
      <c r="A96" s="8"/>
      <c r="B96" s="8"/>
      <c r="C96" s="8"/>
      <c r="D96" s="8"/>
      <c r="E96" s="8"/>
      <c r="F96" s="8"/>
      <c r="G96" s="8"/>
      <c r="H96" s="8"/>
      <c r="I96" s="8"/>
      <c r="J96" s="8"/>
      <c r="K96" s="8"/>
      <c r="L96" s="8"/>
      <c r="M96" s="8"/>
      <c r="N96" s="8"/>
    </row>
    <row r="97" spans="1:14">
      <c r="A97" s="8"/>
      <c r="B97" s="8"/>
      <c r="C97" s="8"/>
      <c r="D97" s="8"/>
      <c r="E97" s="8"/>
      <c r="F97" s="8"/>
      <c r="G97" s="8"/>
      <c r="H97" s="8"/>
      <c r="I97" s="8"/>
      <c r="J97" s="8"/>
      <c r="K97" s="8"/>
      <c r="L97" s="8"/>
      <c r="M97" s="8"/>
      <c r="N97" s="8"/>
    </row>
    <row r="98" spans="1:14">
      <c r="A98" s="8"/>
      <c r="B98" s="8"/>
      <c r="C98" s="8"/>
      <c r="D98" s="8"/>
      <c r="E98" s="8"/>
      <c r="F98" s="8"/>
      <c r="G98" s="8"/>
      <c r="H98" s="8"/>
      <c r="I98" s="8"/>
      <c r="J98" s="8"/>
      <c r="K98" s="8"/>
      <c r="L98" s="8"/>
      <c r="M98" s="8"/>
      <c r="N98" s="8"/>
    </row>
    <row r="99" spans="1:14">
      <c r="A99" s="8"/>
      <c r="B99" s="8"/>
      <c r="C99" s="8"/>
      <c r="D99" s="8"/>
      <c r="E99" s="8"/>
      <c r="F99" s="8"/>
      <c r="G99" s="8"/>
      <c r="H99" s="8"/>
      <c r="I99" s="8"/>
      <c r="J99" s="8"/>
      <c r="K99" s="8"/>
      <c r="L99" s="8"/>
      <c r="M99" s="8"/>
      <c r="N99" s="8"/>
    </row>
    <row r="100" spans="1:14">
      <c r="A100" s="8"/>
      <c r="B100" s="8"/>
      <c r="C100" s="8"/>
      <c r="D100" s="8"/>
      <c r="E100" s="8"/>
      <c r="F100" s="8"/>
      <c r="G100" s="8"/>
      <c r="H100" s="8"/>
      <c r="I100" s="8"/>
      <c r="J100" s="8"/>
      <c r="K100" s="8"/>
      <c r="L100" s="8"/>
      <c r="M100" s="8"/>
      <c r="N100" s="8"/>
    </row>
  </sheetData>
  <pageMargins left="0.75" right="0.75" top="1" bottom="1" header="0.5" footer="0.5"/>
  <pageSetup paperSize="0" orientation="portrait" horizontalDpi="0" verticalDpi="0" copie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30"/>
  <dimension ref="A1:J100"/>
  <sheetViews>
    <sheetView workbookViewId="0"/>
  </sheetViews>
  <sheetFormatPr baseColWidth="10" defaultColWidth="9.140625" defaultRowHeight="15"/>
  <cols>
    <col min="2" max="2" width="27" bestFit="1" customWidth="1"/>
    <col min="3" max="3" width="5.7109375" bestFit="1" customWidth="1"/>
    <col min="4" max="4" width="6.85546875" bestFit="1" customWidth="1"/>
    <col min="6" max="6" width="7.140625" bestFit="1" customWidth="1"/>
    <col min="7" max="7" width="9.140625" bestFit="1" customWidth="1"/>
    <col min="8" max="8" width="10.5703125" bestFit="1" customWidth="1"/>
  </cols>
  <sheetData>
    <row r="1" spans="1:10">
      <c r="A1" s="8"/>
      <c r="B1" s="8"/>
      <c r="C1" s="8"/>
      <c r="D1" s="8"/>
      <c r="E1" s="8"/>
      <c r="F1" s="8"/>
      <c r="G1" s="8"/>
      <c r="H1" s="8"/>
      <c r="I1" s="8"/>
      <c r="J1" s="8"/>
    </row>
    <row r="2" spans="1:10" ht="21" customHeight="1">
      <c r="A2" s="8"/>
      <c r="B2" s="132" t="s">
        <v>1866</v>
      </c>
      <c r="C2" s="93"/>
      <c r="D2" s="93"/>
      <c r="E2" s="93"/>
      <c r="F2" s="93"/>
      <c r="G2" s="93"/>
      <c r="H2" s="8"/>
      <c r="I2" s="8"/>
      <c r="J2" s="8"/>
    </row>
    <row r="3" spans="1:10">
      <c r="A3" s="8"/>
      <c r="B3" s="8"/>
      <c r="C3" s="8"/>
      <c r="D3" s="8"/>
      <c r="E3" s="8"/>
      <c r="F3" s="8"/>
      <c r="G3" s="8"/>
      <c r="H3" s="8"/>
      <c r="I3" s="8"/>
      <c r="J3" s="8"/>
    </row>
    <row r="4" spans="1:10" ht="15.75" customHeight="1">
      <c r="A4" s="8"/>
      <c r="B4" s="134" t="s">
        <v>1867</v>
      </c>
      <c r="C4" s="93"/>
      <c r="D4" s="93"/>
      <c r="E4" s="8"/>
      <c r="F4" s="134" t="s">
        <v>1868</v>
      </c>
      <c r="G4" s="93"/>
      <c r="H4" s="93"/>
      <c r="I4" s="8"/>
      <c r="J4" s="8"/>
    </row>
    <row r="5" spans="1:10">
      <c r="A5" s="8"/>
      <c r="B5" s="8" t="s">
        <v>1869</v>
      </c>
      <c r="C5" s="8">
        <f>COUNTA(Activos!A:A)-1</f>
        <v>4</v>
      </c>
      <c r="D5" s="8"/>
      <c r="E5" s="8"/>
      <c r="F5" s="68" t="s">
        <v>74</v>
      </c>
      <c r="G5" s="68" t="s">
        <v>1822</v>
      </c>
      <c r="H5" s="68" t="s">
        <v>136</v>
      </c>
      <c r="I5" s="8"/>
      <c r="J5" s="8"/>
    </row>
    <row r="6" spans="1:10">
      <c r="A6" s="8"/>
      <c r="B6" s="8" t="s">
        <v>1870</v>
      </c>
      <c r="C6" s="8">
        <f>COUNTIF(Activos!M:M,"Crítico")</f>
        <v>0</v>
      </c>
      <c r="D6" s="8"/>
      <c r="E6" s="8"/>
      <c r="F6" s="8"/>
      <c r="G6" s="8"/>
      <c r="H6" s="8"/>
      <c r="I6" s="8"/>
      <c r="J6" s="8"/>
    </row>
    <row r="7" spans="1:10">
      <c r="A7" s="8"/>
      <c r="B7" s="8" t="s">
        <v>1871</v>
      </c>
      <c r="C7" s="8">
        <f>COUNTIF(Activos!M:M,"Alto")</f>
        <v>0</v>
      </c>
      <c r="D7" s="8"/>
      <c r="E7" s="8"/>
      <c r="F7" s="8"/>
      <c r="G7" s="8"/>
      <c r="H7" s="8"/>
      <c r="I7" s="8"/>
      <c r="J7" s="8"/>
    </row>
    <row r="8" spans="1:10">
      <c r="A8" s="8"/>
      <c r="B8" s="8"/>
      <c r="C8" s="8"/>
      <c r="D8" s="8"/>
      <c r="E8" s="8"/>
      <c r="F8" s="8"/>
      <c r="G8" s="8"/>
      <c r="H8" s="8"/>
      <c r="I8" s="8"/>
      <c r="J8" s="8"/>
    </row>
    <row r="9" spans="1:10" ht="15.75" customHeight="1">
      <c r="A9" s="8"/>
      <c r="B9" s="134" t="s">
        <v>1872</v>
      </c>
      <c r="C9" s="93"/>
      <c r="D9" s="93"/>
      <c r="E9" s="8"/>
      <c r="F9" s="8"/>
      <c r="G9" s="8"/>
      <c r="H9" s="8"/>
      <c r="I9" s="8"/>
      <c r="J9" s="8"/>
    </row>
    <row r="10" spans="1:10">
      <c r="A10" s="8"/>
      <c r="B10" s="8" t="s">
        <v>1873</v>
      </c>
      <c r="C10" s="8">
        <f>COUNTA(Analisis_Riesgos!A:A)-1</f>
        <v>2</v>
      </c>
      <c r="D10" s="8"/>
      <c r="E10" s="8"/>
      <c r="F10" s="8"/>
      <c r="G10" s="8"/>
      <c r="H10" s="8"/>
      <c r="I10" s="8"/>
      <c r="J10" s="8"/>
    </row>
    <row r="11" spans="1:10">
      <c r="A11" s="8"/>
      <c r="B11" s="8" t="s">
        <v>1874</v>
      </c>
      <c r="C11" s="8">
        <f>COUNTIF(Analisis_Riesgos!I:I,"&gt;=15")</f>
        <v>2</v>
      </c>
      <c r="D11" s="8"/>
      <c r="E11" s="8"/>
      <c r="F11" s="8"/>
      <c r="G11" s="8"/>
      <c r="H11" s="8"/>
      <c r="I11" s="8"/>
      <c r="J11" s="8"/>
    </row>
    <row r="12" spans="1:10">
      <c r="A12" s="8"/>
      <c r="B12" s="8" t="s">
        <v>1875</v>
      </c>
      <c r="C12" s="8">
        <f>COUNTIFS(Analisis_Riesgos!I:I,"&gt;=10",Analisis_Riesgos!I:I,"&lt;15")</f>
        <v>0</v>
      </c>
      <c r="D12" s="8"/>
      <c r="E12" s="8"/>
      <c r="F12" s="8"/>
      <c r="G12" s="8"/>
      <c r="H12" s="8"/>
      <c r="I12" s="8"/>
      <c r="J12" s="8"/>
    </row>
    <row r="13" spans="1:10">
      <c r="A13" s="8"/>
      <c r="B13" s="8" t="s">
        <v>1876</v>
      </c>
      <c r="C13" s="8">
        <f>COUNTIFS(Analisis_Riesgos!I:I,"&gt;=6",Analisis_Riesgos!I:I,"&lt;10")</f>
        <v>0</v>
      </c>
      <c r="D13" s="8"/>
      <c r="E13" s="8"/>
      <c r="F13" s="8"/>
      <c r="G13" s="8"/>
      <c r="H13" s="8"/>
      <c r="I13" s="8"/>
      <c r="J13" s="8"/>
    </row>
    <row r="14" spans="1:10">
      <c r="A14" s="8"/>
      <c r="B14" s="8"/>
      <c r="C14" s="8"/>
      <c r="D14" s="8"/>
      <c r="E14" s="8"/>
      <c r="F14" s="8"/>
      <c r="G14" s="8"/>
      <c r="H14" s="8"/>
      <c r="I14" s="8"/>
      <c r="J14" s="8"/>
    </row>
    <row r="15" spans="1:10" ht="15.75" customHeight="1">
      <c r="A15" s="8"/>
      <c r="B15" s="134" t="s">
        <v>1877</v>
      </c>
      <c r="C15" s="93"/>
      <c r="D15" s="93"/>
      <c r="E15" s="8"/>
      <c r="F15" s="8"/>
      <c r="G15" s="8"/>
      <c r="H15" s="8"/>
      <c r="I15" s="8"/>
      <c r="J15" s="8"/>
    </row>
    <row r="16" spans="1:10">
      <c r="A16" s="8"/>
      <c r="B16" s="8" t="s">
        <v>1878</v>
      </c>
      <c r="C16" s="8">
        <f>COUNTA(Plan_Tratamiento!A:A)-1</f>
        <v>2</v>
      </c>
      <c r="D16" s="8"/>
      <c r="E16" s="8"/>
      <c r="F16" s="8"/>
      <c r="G16" s="8"/>
      <c r="H16" s="8"/>
      <c r="I16" s="8"/>
      <c r="J16" s="8"/>
    </row>
    <row r="17" spans="1:10">
      <c r="A17" s="8"/>
      <c r="B17" s="8" t="s">
        <v>1879</v>
      </c>
      <c r="C17" s="8">
        <f>COUNTIF(Plan_Tratamiento!J:J,"Completado")</f>
        <v>1</v>
      </c>
      <c r="D17" s="8"/>
      <c r="E17" s="8"/>
      <c r="F17" s="8"/>
      <c r="G17" s="8"/>
      <c r="H17" s="8"/>
      <c r="I17" s="8"/>
      <c r="J17" s="8"/>
    </row>
    <row r="18" spans="1:10">
      <c r="A18" s="8"/>
      <c r="B18" s="8" t="s">
        <v>1880</v>
      </c>
      <c r="C18" s="8">
        <f>COUNTIF(Plan_Tratamiento!J:J,"En Progreso")</f>
        <v>1</v>
      </c>
      <c r="D18" s="8"/>
      <c r="E18" s="8"/>
      <c r="F18" s="8"/>
      <c r="G18" s="8"/>
      <c r="H18" s="8"/>
      <c r="I18" s="8"/>
      <c r="J18" s="8"/>
    </row>
    <row r="19" spans="1:10">
      <c r="A19" s="8"/>
      <c r="B19" s="8" t="s">
        <v>1881</v>
      </c>
      <c r="C19" s="8">
        <f>COUNTIF(Plan_Tratamiento!J:J,"Pendiente")</f>
        <v>0</v>
      </c>
      <c r="D19" s="8"/>
      <c r="E19" s="8"/>
      <c r="F19" s="8"/>
      <c r="G19" s="8"/>
      <c r="H19" s="8"/>
      <c r="I19" s="8"/>
      <c r="J19" s="8"/>
    </row>
    <row r="20" spans="1:10">
      <c r="A20" s="8"/>
      <c r="B20" s="8"/>
      <c r="C20" s="8"/>
      <c r="D20" s="8"/>
      <c r="E20" s="8"/>
      <c r="F20" s="8"/>
      <c r="G20" s="8"/>
      <c r="H20" s="8"/>
      <c r="I20" s="8"/>
      <c r="J20" s="8"/>
    </row>
    <row r="21" spans="1:10" ht="15.75" customHeight="1">
      <c r="A21" s="8"/>
      <c r="B21" s="134" t="s">
        <v>1882</v>
      </c>
      <c r="C21" s="93"/>
      <c r="D21" s="93"/>
      <c r="E21" s="8"/>
      <c r="F21" s="8"/>
      <c r="G21" s="8"/>
      <c r="H21" s="8"/>
      <c r="I21" s="8"/>
      <c r="J21" s="8"/>
    </row>
    <row r="22" spans="1:10">
      <c r="A22" s="8"/>
      <c r="B22" s="68" t="s">
        <v>1883</v>
      </c>
      <c r="C22" s="68" t="s">
        <v>137</v>
      </c>
      <c r="D22" s="68" t="s">
        <v>1884</v>
      </c>
      <c r="E22" s="8"/>
      <c r="F22" s="8"/>
      <c r="G22" s="8"/>
      <c r="H22" s="8"/>
      <c r="I22" s="8"/>
      <c r="J22" s="8"/>
    </row>
    <row r="23" spans="1:10">
      <c r="A23" s="8"/>
      <c r="B23" s="8" t="s">
        <v>1885</v>
      </c>
      <c r="C23" s="8">
        <f>IF(C10&gt;0,C17/C10*100,0)</f>
        <v>50</v>
      </c>
      <c r="D23" s="8" t="s">
        <v>1886</v>
      </c>
      <c r="E23" s="8"/>
      <c r="F23" s="8"/>
      <c r="G23" s="8"/>
      <c r="H23" s="8"/>
      <c r="I23" s="8"/>
      <c r="J23" s="8"/>
    </row>
    <row r="24" spans="1:10">
      <c r="A24" s="8"/>
      <c r="B24" s="8" t="s">
        <v>1887</v>
      </c>
      <c r="C24" s="8" t="s">
        <v>1888</v>
      </c>
      <c r="D24" s="8" t="s">
        <v>1889</v>
      </c>
      <c r="E24" s="8"/>
      <c r="F24" s="8"/>
      <c r="G24" s="8"/>
      <c r="H24" s="8"/>
      <c r="I24" s="8"/>
      <c r="J24" s="8"/>
    </row>
    <row r="25" spans="1:10">
      <c r="A25" s="8"/>
      <c r="B25" s="8" t="s">
        <v>1890</v>
      </c>
      <c r="C25" s="8">
        <f>IF(C5&gt;0,C10/C5*100,0)</f>
        <v>50</v>
      </c>
      <c r="D25" s="8" t="s">
        <v>1891</v>
      </c>
      <c r="E25" s="8"/>
      <c r="F25" s="8"/>
      <c r="G25" s="8"/>
      <c r="H25" s="8"/>
      <c r="I25" s="8"/>
      <c r="J25" s="8"/>
    </row>
    <row r="26" spans="1:10">
      <c r="A26" s="8"/>
      <c r="B26" s="8" t="s">
        <v>1892</v>
      </c>
      <c r="C26" s="8" t="s">
        <v>1888</v>
      </c>
      <c r="D26" s="8" t="s">
        <v>1893</v>
      </c>
      <c r="E26" s="8"/>
      <c r="F26" s="8"/>
      <c r="G26" s="8"/>
      <c r="H26" s="8"/>
      <c r="I26" s="8"/>
      <c r="J26" s="8"/>
    </row>
    <row r="27" spans="1:10">
      <c r="A27" s="8"/>
      <c r="B27" s="8"/>
      <c r="C27" s="8"/>
      <c r="D27" s="8"/>
      <c r="E27" s="8"/>
      <c r="F27" s="8"/>
      <c r="G27" s="8"/>
      <c r="H27" s="8"/>
      <c r="I27" s="8"/>
      <c r="J27" s="8"/>
    </row>
    <row r="28" spans="1:10">
      <c r="A28" s="8"/>
      <c r="B28" s="8"/>
      <c r="C28" s="8"/>
      <c r="D28" s="8"/>
      <c r="E28" s="8"/>
      <c r="F28" s="8"/>
      <c r="G28" s="8"/>
      <c r="H28" s="8"/>
      <c r="I28" s="8"/>
      <c r="J28" s="8"/>
    </row>
    <row r="29" spans="1:10">
      <c r="A29" s="8"/>
      <c r="B29" s="8"/>
      <c r="C29" s="8"/>
      <c r="D29" s="8"/>
      <c r="E29" s="8"/>
      <c r="F29" s="8"/>
      <c r="G29" s="8"/>
      <c r="H29" s="8"/>
      <c r="I29" s="8"/>
      <c r="J29" s="8"/>
    </row>
    <row r="30" spans="1:10">
      <c r="A30" s="8"/>
      <c r="B30" s="8"/>
      <c r="C30" s="8"/>
      <c r="D30" s="8"/>
      <c r="E30" s="8"/>
      <c r="F30" s="8"/>
      <c r="G30" s="8"/>
      <c r="H30" s="8"/>
      <c r="I30" s="8"/>
      <c r="J30" s="8"/>
    </row>
    <row r="31" spans="1:10">
      <c r="A31" s="8"/>
      <c r="B31" s="8"/>
      <c r="C31" s="8"/>
      <c r="D31" s="8"/>
      <c r="E31" s="8"/>
      <c r="F31" s="8"/>
      <c r="G31" s="8"/>
      <c r="H31" s="8"/>
      <c r="I31" s="8"/>
      <c r="J31" s="8"/>
    </row>
    <row r="32" spans="1:10">
      <c r="A32" s="8"/>
      <c r="B32" s="8"/>
      <c r="C32" s="8"/>
      <c r="D32" s="8"/>
      <c r="E32" s="8"/>
      <c r="F32" s="8"/>
      <c r="G32" s="8"/>
      <c r="H32" s="8"/>
      <c r="I32" s="8"/>
      <c r="J32" s="8"/>
    </row>
    <row r="33" spans="1:10">
      <c r="A33" s="8"/>
      <c r="B33" s="8"/>
      <c r="C33" s="8"/>
      <c r="D33" s="8"/>
      <c r="E33" s="8"/>
      <c r="F33" s="8"/>
      <c r="G33" s="8"/>
      <c r="H33" s="8"/>
      <c r="I33" s="8"/>
      <c r="J33" s="8"/>
    </row>
    <row r="34" spans="1:10">
      <c r="A34" s="8"/>
      <c r="B34" s="8"/>
      <c r="C34" s="8"/>
      <c r="D34" s="8"/>
      <c r="E34" s="8"/>
      <c r="F34" s="8"/>
      <c r="G34" s="8"/>
      <c r="H34" s="8"/>
      <c r="I34" s="8"/>
      <c r="J34" s="8"/>
    </row>
    <row r="35" spans="1:10">
      <c r="A35" s="8"/>
      <c r="B35" s="8"/>
      <c r="C35" s="8"/>
      <c r="D35" s="8"/>
      <c r="E35" s="8"/>
      <c r="F35" s="8"/>
      <c r="G35" s="8"/>
      <c r="H35" s="8"/>
      <c r="I35" s="8"/>
      <c r="J35" s="8"/>
    </row>
    <row r="36" spans="1:10">
      <c r="A36" s="8"/>
      <c r="B36" s="8"/>
      <c r="C36" s="8"/>
      <c r="D36" s="8"/>
      <c r="E36" s="8"/>
      <c r="F36" s="8"/>
      <c r="G36" s="8"/>
      <c r="H36" s="8"/>
      <c r="I36" s="8"/>
      <c r="J36" s="8"/>
    </row>
    <row r="37" spans="1:10">
      <c r="A37" s="8"/>
      <c r="B37" s="8"/>
      <c r="C37" s="8"/>
      <c r="D37" s="8"/>
      <c r="E37" s="8"/>
      <c r="F37" s="8"/>
      <c r="G37" s="8"/>
      <c r="H37" s="8"/>
      <c r="I37" s="8"/>
      <c r="J37" s="8"/>
    </row>
    <row r="38" spans="1:10">
      <c r="A38" s="8"/>
      <c r="B38" s="8"/>
      <c r="C38" s="8"/>
      <c r="D38" s="8"/>
      <c r="E38" s="8"/>
      <c r="F38" s="8"/>
      <c r="G38" s="8"/>
      <c r="H38" s="8"/>
      <c r="I38" s="8"/>
      <c r="J38" s="8"/>
    </row>
    <row r="39" spans="1:10">
      <c r="A39" s="8"/>
      <c r="B39" s="8"/>
      <c r="C39" s="8"/>
      <c r="D39" s="8"/>
      <c r="E39" s="8"/>
      <c r="F39" s="8"/>
      <c r="G39" s="8"/>
      <c r="H39" s="8"/>
      <c r="I39" s="8"/>
      <c r="J39" s="8"/>
    </row>
    <row r="40" spans="1:10">
      <c r="A40" s="8"/>
      <c r="B40" s="8"/>
      <c r="C40" s="8"/>
      <c r="D40" s="8"/>
      <c r="E40" s="8"/>
      <c r="F40" s="8"/>
      <c r="G40" s="8"/>
      <c r="H40" s="8"/>
      <c r="I40" s="8"/>
      <c r="J40" s="8"/>
    </row>
    <row r="41" spans="1:10">
      <c r="A41" s="8"/>
      <c r="B41" s="8"/>
      <c r="C41" s="8"/>
      <c r="D41" s="8"/>
      <c r="E41" s="8"/>
      <c r="F41" s="8"/>
      <c r="G41" s="8"/>
      <c r="H41" s="8"/>
      <c r="I41" s="8"/>
      <c r="J41" s="8"/>
    </row>
    <row r="42" spans="1:10">
      <c r="A42" s="8"/>
      <c r="B42" s="8"/>
      <c r="C42" s="8"/>
      <c r="D42" s="8"/>
      <c r="E42" s="8"/>
      <c r="F42" s="8"/>
      <c r="G42" s="8"/>
      <c r="H42" s="8"/>
      <c r="I42" s="8"/>
      <c r="J42" s="8"/>
    </row>
    <row r="43" spans="1:10">
      <c r="A43" s="8"/>
      <c r="B43" s="8"/>
      <c r="C43" s="8"/>
      <c r="D43" s="8"/>
      <c r="E43" s="8"/>
      <c r="F43" s="8"/>
      <c r="G43" s="8"/>
      <c r="H43" s="8"/>
      <c r="I43" s="8"/>
      <c r="J43" s="8"/>
    </row>
    <row r="44" spans="1:10">
      <c r="A44" s="8"/>
      <c r="B44" s="8"/>
      <c r="C44" s="8"/>
      <c r="D44" s="8"/>
      <c r="E44" s="8"/>
      <c r="F44" s="8"/>
      <c r="G44" s="8"/>
      <c r="H44" s="8"/>
      <c r="I44" s="8"/>
      <c r="J44" s="8"/>
    </row>
    <row r="45" spans="1:10">
      <c r="A45" s="8"/>
      <c r="B45" s="8"/>
      <c r="C45" s="8"/>
      <c r="D45" s="8"/>
      <c r="E45" s="8"/>
      <c r="F45" s="8"/>
      <c r="G45" s="8"/>
      <c r="H45" s="8"/>
      <c r="I45" s="8"/>
      <c r="J45" s="8"/>
    </row>
    <row r="46" spans="1:10">
      <c r="A46" s="8"/>
      <c r="B46" s="8"/>
      <c r="C46" s="8"/>
      <c r="D46" s="8"/>
      <c r="E46" s="8"/>
      <c r="F46" s="8"/>
      <c r="G46" s="8"/>
      <c r="H46" s="8"/>
      <c r="I46" s="8"/>
      <c r="J46" s="8"/>
    </row>
    <row r="47" spans="1:10">
      <c r="A47" s="8"/>
      <c r="B47" s="8"/>
      <c r="C47" s="8"/>
      <c r="D47" s="8"/>
      <c r="E47" s="8"/>
      <c r="F47" s="8"/>
      <c r="G47" s="8"/>
      <c r="H47" s="8"/>
      <c r="I47" s="8"/>
      <c r="J47" s="8"/>
    </row>
    <row r="48" spans="1:10">
      <c r="A48" s="8"/>
      <c r="B48" s="8"/>
      <c r="C48" s="8"/>
      <c r="D48" s="8"/>
      <c r="E48" s="8"/>
      <c r="F48" s="8"/>
      <c r="G48" s="8"/>
      <c r="H48" s="8"/>
      <c r="I48" s="8"/>
      <c r="J48" s="8"/>
    </row>
    <row r="49" spans="1:10">
      <c r="A49" s="8"/>
      <c r="B49" s="8"/>
      <c r="C49" s="8"/>
      <c r="D49" s="8"/>
      <c r="E49" s="8"/>
      <c r="F49" s="8"/>
      <c r="G49" s="8"/>
      <c r="H49" s="8"/>
      <c r="I49" s="8"/>
      <c r="J49" s="8"/>
    </row>
    <row r="50" spans="1:10">
      <c r="A50" s="8"/>
      <c r="B50" s="8"/>
      <c r="C50" s="8"/>
      <c r="D50" s="8"/>
      <c r="E50" s="8"/>
      <c r="F50" s="8"/>
      <c r="G50" s="8"/>
      <c r="H50" s="8"/>
      <c r="I50" s="8"/>
      <c r="J50" s="8"/>
    </row>
    <row r="51" spans="1:10">
      <c r="A51" s="8"/>
      <c r="B51" s="8"/>
      <c r="C51" s="8"/>
      <c r="D51" s="8"/>
      <c r="E51" s="8"/>
      <c r="F51" s="8"/>
      <c r="G51" s="8"/>
      <c r="H51" s="8"/>
      <c r="I51" s="8"/>
      <c r="J51" s="8"/>
    </row>
    <row r="52" spans="1:10">
      <c r="A52" s="8"/>
      <c r="B52" s="8"/>
      <c r="C52" s="8"/>
      <c r="D52" s="8"/>
      <c r="E52" s="8"/>
      <c r="F52" s="8"/>
      <c r="G52" s="8"/>
      <c r="H52" s="8"/>
      <c r="I52" s="8"/>
      <c r="J52" s="8"/>
    </row>
    <row r="53" spans="1:10">
      <c r="A53" s="8"/>
      <c r="B53" s="8"/>
      <c r="C53" s="8"/>
      <c r="D53" s="8"/>
      <c r="E53" s="8"/>
      <c r="F53" s="8"/>
      <c r="G53" s="8"/>
      <c r="H53" s="8"/>
      <c r="I53" s="8"/>
      <c r="J53" s="8"/>
    </row>
    <row r="54" spans="1:10">
      <c r="A54" s="8"/>
      <c r="B54" s="8"/>
      <c r="C54" s="8"/>
      <c r="D54" s="8"/>
      <c r="E54" s="8"/>
      <c r="F54" s="8"/>
      <c r="G54" s="8"/>
      <c r="H54" s="8"/>
      <c r="I54" s="8"/>
      <c r="J54" s="8"/>
    </row>
    <row r="55" spans="1:10">
      <c r="A55" s="8"/>
      <c r="B55" s="8"/>
      <c r="C55" s="8"/>
      <c r="D55" s="8"/>
      <c r="E55" s="8"/>
      <c r="F55" s="8"/>
      <c r="G55" s="8"/>
      <c r="H55" s="8"/>
      <c r="I55" s="8"/>
      <c r="J55" s="8"/>
    </row>
    <row r="56" spans="1:10">
      <c r="A56" s="8"/>
      <c r="B56" s="8"/>
      <c r="C56" s="8"/>
      <c r="D56" s="8"/>
      <c r="E56" s="8"/>
      <c r="F56" s="8"/>
      <c r="G56" s="8"/>
      <c r="H56" s="8"/>
      <c r="I56" s="8"/>
      <c r="J56" s="8"/>
    </row>
    <row r="57" spans="1:10">
      <c r="A57" s="8"/>
      <c r="B57" s="8"/>
      <c r="C57" s="8"/>
      <c r="D57" s="8"/>
      <c r="E57" s="8"/>
      <c r="F57" s="8"/>
      <c r="G57" s="8"/>
      <c r="H57" s="8"/>
      <c r="I57" s="8"/>
      <c r="J57" s="8"/>
    </row>
    <row r="58" spans="1:10">
      <c r="A58" s="8"/>
      <c r="B58" s="8"/>
      <c r="C58" s="8"/>
      <c r="D58" s="8"/>
      <c r="E58" s="8"/>
      <c r="F58" s="8"/>
      <c r="G58" s="8"/>
      <c r="H58" s="8"/>
      <c r="I58" s="8"/>
      <c r="J58" s="8"/>
    </row>
    <row r="59" spans="1:10">
      <c r="A59" s="8"/>
      <c r="B59" s="8"/>
      <c r="C59" s="8"/>
      <c r="D59" s="8"/>
      <c r="E59" s="8"/>
      <c r="F59" s="8"/>
      <c r="G59" s="8"/>
      <c r="H59" s="8"/>
      <c r="I59" s="8"/>
      <c r="J59" s="8"/>
    </row>
    <row r="60" spans="1:10">
      <c r="A60" s="8"/>
      <c r="B60" s="8"/>
      <c r="C60" s="8"/>
      <c r="D60" s="8"/>
      <c r="E60" s="8"/>
      <c r="F60" s="8"/>
      <c r="G60" s="8"/>
      <c r="H60" s="8"/>
      <c r="I60" s="8"/>
      <c r="J60" s="8"/>
    </row>
    <row r="61" spans="1:10">
      <c r="A61" s="8"/>
      <c r="B61" s="8"/>
      <c r="C61" s="8"/>
      <c r="D61" s="8"/>
      <c r="E61" s="8"/>
      <c r="F61" s="8"/>
      <c r="G61" s="8"/>
      <c r="H61" s="8"/>
      <c r="I61" s="8"/>
      <c r="J61" s="8"/>
    </row>
    <row r="62" spans="1:10">
      <c r="A62" s="8"/>
      <c r="B62" s="8"/>
      <c r="C62" s="8"/>
      <c r="D62" s="8"/>
      <c r="E62" s="8"/>
      <c r="F62" s="8"/>
      <c r="G62" s="8"/>
      <c r="H62" s="8"/>
      <c r="I62" s="8"/>
      <c r="J62" s="8"/>
    </row>
    <row r="63" spans="1:10">
      <c r="A63" s="8"/>
      <c r="B63" s="8"/>
      <c r="C63" s="8"/>
      <c r="D63" s="8"/>
      <c r="E63" s="8"/>
      <c r="F63" s="8"/>
      <c r="G63" s="8"/>
      <c r="H63" s="8"/>
      <c r="I63" s="8"/>
      <c r="J63" s="8"/>
    </row>
    <row r="64" spans="1:10">
      <c r="A64" s="8"/>
      <c r="B64" s="8"/>
      <c r="C64" s="8"/>
      <c r="D64" s="8"/>
      <c r="E64" s="8"/>
      <c r="F64" s="8"/>
      <c r="G64" s="8"/>
      <c r="H64" s="8"/>
      <c r="I64" s="8"/>
      <c r="J64" s="8"/>
    </row>
    <row r="65" spans="1:10">
      <c r="A65" s="8"/>
      <c r="B65" s="8"/>
      <c r="C65" s="8"/>
      <c r="D65" s="8"/>
      <c r="E65" s="8"/>
      <c r="F65" s="8"/>
      <c r="G65" s="8"/>
      <c r="H65" s="8"/>
      <c r="I65" s="8"/>
      <c r="J65" s="8"/>
    </row>
    <row r="66" spans="1:10">
      <c r="A66" s="8"/>
      <c r="B66" s="8"/>
      <c r="C66" s="8"/>
      <c r="D66" s="8"/>
      <c r="E66" s="8"/>
      <c r="F66" s="8"/>
      <c r="G66" s="8"/>
      <c r="H66" s="8"/>
      <c r="I66" s="8"/>
      <c r="J66" s="8"/>
    </row>
    <row r="67" spans="1:10">
      <c r="A67" s="8"/>
      <c r="B67" s="8"/>
      <c r="C67" s="8"/>
      <c r="D67" s="8"/>
      <c r="E67" s="8"/>
      <c r="F67" s="8"/>
      <c r="G67" s="8"/>
      <c r="H67" s="8"/>
      <c r="I67" s="8"/>
      <c r="J67" s="8"/>
    </row>
    <row r="68" spans="1:10">
      <c r="A68" s="8"/>
      <c r="B68" s="8"/>
      <c r="C68" s="8"/>
      <c r="D68" s="8"/>
      <c r="E68" s="8"/>
      <c r="F68" s="8"/>
      <c r="G68" s="8"/>
      <c r="H68" s="8"/>
      <c r="I68" s="8"/>
      <c r="J68" s="8"/>
    </row>
    <row r="69" spans="1:10">
      <c r="A69" s="8"/>
      <c r="B69" s="8"/>
      <c r="C69" s="8"/>
      <c r="D69" s="8"/>
      <c r="E69" s="8"/>
      <c r="F69" s="8"/>
      <c r="G69" s="8"/>
      <c r="H69" s="8"/>
      <c r="I69" s="8"/>
      <c r="J69" s="8"/>
    </row>
    <row r="70" spans="1:10">
      <c r="A70" s="8"/>
      <c r="B70" s="8"/>
      <c r="C70" s="8"/>
      <c r="D70" s="8"/>
      <c r="E70" s="8"/>
      <c r="F70" s="8"/>
      <c r="G70" s="8"/>
      <c r="H70" s="8"/>
      <c r="I70" s="8"/>
      <c r="J70" s="8"/>
    </row>
    <row r="71" spans="1:10">
      <c r="A71" s="8"/>
      <c r="B71" s="8"/>
      <c r="C71" s="8"/>
      <c r="D71" s="8"/>
      <c r="E71" s="8"/>
      <c r="F71" s="8"/>
      <c r="G71" s="8"/>
      <c r="H71" s="8"/>
      <c r="I71" s="8"/>
      <c r="J71" s="8"/>
    </row>
    <row r="72" spans="1:10">
      <c r="A72" s="8"/>
      <c r="B72" s="8"/>
      <c r="C72" s="8"/>
      <c r="D72" s="8"/>
      <c r="E72" s="8"/>
      <c r="F72" s="8"/>
      <c r="G72" s="8"/>
      <c r="H72" s="8"/>
      <c r="I72" s="8"/>
      <c r="J72" s="8"/>
    </row>
    <row r="73" spans="1:10">
      <c r="A73" s="8"/>
      <c r="B73" s="8"/>
      <c r="C73" s="8"/>
      <c r="D73" s="8"/>
      <c r="E73" s="8"/>
      <c r="F73" s="8"/>
      <c r="G73" s="8"/>
      <c r="H73" s="8"/>
      <c r="I73" s="8"/>
      <c r="J73" s="8"/>
    </row>
    <row r="74" spans="1:10">
      <c r="A74" s="8"/>
      <c r="B74" s="8"/>
      <c r="C74" s="8"/>
      <c r="D74" s="8"/>
      <c r="E74" s="8"/>
      <c r="F74" s="8"/>
      <c r="G74" s="8"/>
      <c r="H74" s="8"/>
      <c r="I74" s="8"/>
      <c r="J74" s="8"/>
    </row>
    <row r="75" spans="1:10">
      <c r="A75" s="8"/>
      <c r="B75" s="8"/>
      <c r="C75" s="8"/>
      <c r="D75" s="8"/>
      <c r="E75" s="8"/>
      <c r="F75" s="8"/>
      <c r="G75" s="8"/>
      <c r="H75" s="8"/>
      <c r="I75" s="8"/>
      <c r="J75" s="8"/>
    </row>
    <row r="76" spans="1:10">
      <c r="A76" s="8"/>
      <c r="B76" s="8"/>
      <c r="C76" s="8"/>
      <c r="D76" s="8"/>
      <c r="E76" s="8"/>
      <c r="F76" s="8"/>
      <c r="G76" s="8"/>
      <c r="H76" s="8"/>
      <c r="I76" s="8"/>
      <c r="J76" s="8"/>
    </row>
    <row r="77" spans="1:10">
      <c r="A77" s="8"/>
      <c r="B77" s="8"/>
      <c r="C77" s="8"/>
      <c r="D77" s="8"/>
      <c r="E77" s="8"/>
      <c r="F77" s="8"/>
      <c r="G77" s="8"/>
      <c r="H77" s="8"/>
      <c r="I77" s="8"/>
      <c r="J77" s="8"/>
    </row>
    <row r="78" spans="1:10">
      <c r="A78" s="8"/>
      <c r="B78" s="8"/>
      <c r="C78" s="8"/>
      <c r="D78" s="8"/>
      <c r="E78" s="8"/>
      <c r="F78" s="8"/>
      <c r="G78" s="8"/>
      <c r="H78" s="8"/>
      <c r="I78" s="8"/>
      <c r="J78" s="8"/>
    </row>
    <row r="79" spans="1:10">
      <c r="A79" s="8"/>
      <c r="B79" s="8"/>
      <c r="C79" s="8"/>
      <c r="D79" s="8"/>
      <c r="E79" s="8"/>
      <c r="F79" s="8"/>
      <c r="G79" s="8"/>
      <c r="H79" s="8"/>
      <c r="I79" s="8"/>
      <c r="J79" s="8"/>
    </row>
    <row r="80" spans="1:10">
      <c r="A80" s="8"/>
      <c r="B80" s="8"/>
      <c r="C80" s="8"/>
      <c r="D80" s="8"/>
      <c r="E80" s="8"/>
      <c r="F80" s="8"/>
      <c r="G80" s="8"/>
      <c r="H80" s="8"/>
      <c r="I80" s="8"/>
      <c r="J80" s="8"/>
    </row>
    <row r="81" spans="1:10">
      <c r="A81" s="8"/>
      <c r="B81" s="8"/>
      <c r="C81" s="8"/>
      <c r="D81" s="8"/>
      <c r="E81" s="8"/>
      <c r="F81" s="8"/>
      <c r="G81" s="8"/>
      <c r="H81" s="8"/>
      <c r="I81" s="8"/>
      <c r="J81" s="8"/>
    </row>
    <row r="82" spans="1:10">
      <c r="A82" s="8"/>
      <c r="B82" s="8"/>
      <c r="C82" s="8"/>
      <c r="D82" s="8"/>
      <c r="E82" s="8"/>
      <c r="F82" s="8"/>
      <c r="G82" s="8"/>
      <c r="H82" s="8"/>
      <c r="I82" s="8"/>
      <c r="J82" s="8"/>
    </row>
    <row r="83" spans="1:10">
      <c r="A83" s="8"/>
      <c r="B83" s="8"/>
      <c r="C83" s="8"/>
      <c r="D83" s="8"/>
      <c r="E83" s="8"/>
      <c r="F83" s="8"/>
      <c r="G83" s="8"/>
      <c r="H83" s="8"/>
      <c r="I83" s="8"/>
      <c r="J83" s="8"/>
    </row>
    <row r="84" spans="1:10">
      <c r="A84" s="8"/>
      <c r="B84" s="8"/>
      <c r="C84" s="8"/>
      <c r="D84" s="8"/>
      <c r="E84" s="8"/>
      <c r="F84" s="8"/>
      <c r="G84" s="8"/>
      <c r="H84" s="8"/>
      <c r="I84" s="8"/>
      <c r="J84" s="8"/>
    </row>
    <row r="85" spans="1:10">
      <c r="A85" s="8"/>
      <c r="B85" s="8"/>
      <c r="C85" s="8"/>
      <c r="D85" s="8"/>
      <c r="E85" s="8"/>
      <c r="F85" s="8"/>
      <c r="G85" s="8"/>
      <c r="H85" s="8"/>
      <c r="I85" s="8"/>
      <c r="J85" s="8"/>
    </row>
    <row r="86" spans="1:10">
      <c r="A86" s="8"/>
      <c r="B86" s="8"/>
      <c r="C86" s="8"/>
      <c r="D86" s="8"/>
      <c r="E86" s="8"/>
      <c r="F86" s="8"/>
      <c r="G86" s="8"/>
      <c r="H86" s="8"/>
      <c r="I86" s="8"/>
      <c r="J86" s="8"/>
    </row>
    <row r="87" spans="1:10">
      <c r="A87" s="8"/>
      <c r="B87" s="8"/>
      <c r="C87" s="8"/>
      <c r="D87" s="8"/>
      <c r="E87" s="8"/>
      <c r="F87" s="8"/>
      <c r="G87" s="8"/>
      <c r="H87" s="8"/>
      <c r="I87" s="8"/>
      <c r="J87" s="8"/>
    </row>
    <row r="88" spans="1:10">
      <c r="A88" s="8"/>
      <c r="B88" s="8"/>
      <c r="C88" s="8"/>
      <c r="D88" s="8"/>
      <c r="E88" s="8"/>
      <c r="F88" s="8"/>
      <c r="G88" s="8"/>
      <c r="H88" s="8"/>
      <c r="I88" s="8"/>
      <c r="J88" s="8"/>
    </row>
    <row r="89" spans="1:10">
      <c r="A89" s="8"/>
      <c r="B89" s="8"/>
      <c r="C89" s="8"/>
      <c r="D89" s="8"/>
      <c r="E89" s="8"/>
      <c r="F89" s="8"/>
      <c r="G89" s="8"/>
      <c r="H89" s="8"/>
      <c r="I89" s="8"/>
      <c r="J89" s="8"/>
    </row>
    <row r="90" spans="1:10">
      <c r="A90" s="8"/>
      <c r="B90" s="8"/>
      <c r="C90" s="8"/>
      <c r="D90" s="8"/>
      <c r="E90" s="8"/>
      <c r="F90" s="8"/>
      <c r="G90" s="8"/>
      <c r="H90" s="8"/>
      <c r="I90" s="8"/>
      <c r="J90" s="8"/>
    </row>
    <row r="91" spans="1:10">
      <c r="A91" s="8"/>
      <c r="B91" s="8"/>
      <c r="C91" s="8"/>
      <c r="D91" s="8"/>
      <c r="E91" s="8"/>
      <c r="F91" s="8"/>
      <c r="G91" s="8"/>
      <c r="H91" s="8"/>
      <c r="I91" s="8"/>
      <c r="J91" s="8"/>
    </row>
    <row r="92" spans="1:10">
      <c r="A92" s="8"/>
      <c r="B92" s="8"/>
      <c r="C92" s="8"/>
      <c r="D92" s="8"/>
      <c r="E92" s="8"/>
      <c r="F92" s="8"/>
      <c r="G92" s="8"/>
      <c r="H92" s="8"/>
      <c r="I92" s="8"/>
      <c r="J92" s="8"/>
    </row>
    <row r="93" spans="1:10">
      <c r="A93" s="8"/>
      <c r="B93" s="8"/>
      <c r="C93" s="8"/>
      <c r="D93" s="8"/>
      <c r="E93" s="8"/>
      <c r="F93" s="8"/>
      <c r="G93" s="8"/>
      <c r="H93" s="8"/>
      <c r="I93" s="8"/>
      <c r="J93" s="8"/>
    </row>
    <row r="94" spans="1:10">
      <c r="A94" s="8"/>
      <c r="B94" s="8"/>
      <c r="C94" s="8"/>
      <c r="D94" s="8"/>
      <c r="E94" s="8"/>
      <c r="F94" s="8"/>
      <c r="G94" s="8"/>
      <c r="H94" s="8"/>
      <c r="I94" s="8"/>
      <c r="J94" s="8"/>
    </row>
    <row r="95" spans="1:10">
      <c r="A95" s="8"/>
      <c r="B95" s="8"/>
      <c r="C95" s="8"/>
      <c r="D95" s="8"/>
      <c r="E95" s="8"/>
      <c r="F95" s="8"/>
      <c r="G95" s="8"/>
      <c r="H95" s="8"/>
      <c r="I95" s="8"/>
      <c r="J95" s="8"/>
    </row>
    <row r="96" spans="1:10">
      <c r="A96" s="8"/>
      <c r="B96" s="8"/>
      <c r="C96" s="8"/>
      <c r="D96" s="8"/>
      <c r="E96" s="8"/>
      <c r="F96" s="8"/>
      <c r="G96" s="8"/>
      <c r="H96" s="8"/>
      <c r="I96" s="8"/>
      <c r="J96" s="8"/>
    </row>
    <row r="97" spans="1:10">
      <c r="A97" s="8"/>
      <c r="B97" s="8"/>
      <c r="C97" s="8"/>
      <c r="D97" s="8"/>
      <c r="E97" s="8"/>
      <c r="F97" s="8"/>
      <c r="G97" s="8"/>
      <c r="H97" s="8"/>
      <c r="I97" s="8"/>
      <c r="J97" s="8"/>
    </row>
    <row r="98" spans="1:10">
      <c r="A98" s="8"/>
      <c r="B98" s="8"/>
      <c r="C98" s="8"/>
      <c r="D98" s="8"/>
      <c r="E98" s="8"/>
      <c r="F98" s="8"/>
      <c r="G98" s="8"/>
      <c r="H98" s="8"/>
      <c r="I98" s="8"/>
      <c r="J98" s="8"/>
    </row>
    <row r="99" spans="1:10">
      <c r="A99" s="8"/>
      <c r="B99" s="8"/>
      <c r="C99" s="8"/>
      <c r="D99" s="8"/>
      <c r="E99" s="8"/>
      <c r="F99" s="8"/>
      <c r="G99" s="8"/>
      <c r="H99" s="8"/>
      <c r="I99" s="8"/>
      <c r="J99" s="8"/>
    </row>
    <row r="100" spans="1:10">
      <c r="A100" s="8"/>
      <c r="B100" s="8"/>
      <c r="C100" s="8"/>
      <c r="D100" s="8"/>
      <c r="E100" s="8"/>
      <c r="F100" s="8"/>
      <c r="G100" s="8"/>
      <c r="H100" s="8"/>
      <c r="I100" s="8"/>
      <c r="J100" s="8"/>
    </row>
  </sheetData>
  <mergeCells count="6">
    <mergeCell ref="B2:G2"/>
    <mergeCell ref="B4:D4"/>
    <mergeCell ref="B9:D9"/>
    <mergeCell ref="F4:H4"/>
    <mergeCell ref="B21:D21"/>
    <mergeCell ref="B15:D15"/>
  </mergeCells>
  <pageMargins left="0.75" right="0.75" top="1" bottom="1" header="0.5" footer="0.5"/>
  <pageSetup paperSize="0" orientation="portrait" horizontalDpi="0" verticalDpi="0" copie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31"/>
  <dimension ref="A1:J100"/>
  <sheetViews>
    <sheetView workbookViewId="0"/>
  </sheetViews>
  <sheetFormatPr baseColWidth="10" defaultColWidth="9.140625" defaultRowHeight="15"/>
  <cols>
    <col min="2" max="2" width="12.28515625" bestFit="1" customWidth="1"/>
    <col min="3" max="3" width="19.28515625" bestFit="1" customWidth="1"/>
    <col min="5" max="5" width="15.28515625" bestFit="1" customWidth="1"/>
    <col min="6" max="6" width="19.28515625" bestFit="1" customWidth="1"/>
    <col min="7" max="7" width="21.5703125" bestFit="1" customWidth="1"/>
  </cols>
  <sheetData>
    <row r="1" spans="1:10">
      <c r="A1" s="8"/>
      <c r="B1" s="8"/>
      <c r="C1" s="8"/>
      <c r="D1" s="8"/>
      <c r="E1" s="8"/>
      <c r="F1" s="8"/>
      <c r="G1" s="8"/>
      <c r="H1" s="8"/>
      <c r="I1" s="8"/>
      <c r="J1" s="8"/>
    </row>
    <row r="2" spans="1:10" ht="18.75" customHeight="1">
      <c r="A2" s="8"/>
      <c r="B2" s="133" t="s">
        <v>1894</v>
      </c>
      <c r="C2" s="93"/>
      <c r="D2" s="93"/>
      <c r="E2" s="93"/>
      <c r="F2" s="8"/>
      <c r="G2" s="8"/>
      <c r="H2" s="8"/>
      <c r="I2" s="8"/>
      <c r="J2" s="8"/>
    </row>
    <row r="3" spans="1:10">
      <c r="A3" s="8"/>
      <c r="B3" s="137" t="s">
        <v>1895</v>
      </c>
      <c r="C3" s="93"/>
      <c r="D3" s="93"/>
      <c r="E3" s="93"/>
      <c r="F3" s="8"/>
      <c r="G3" s="8"/>
      <c r="H3" s="8"/>
      <c r="I3" s="8"/>
      <c r="J3" s="8"/>
    </row>
    <row r="4" spans="1:10">
      <c r="A4" s="8"/>
      <c r="B4" s="8"/>
      <c r="C4" s="8"/>
      <c r="D4" s="8"/>
      <c r="E4" s="8"/>
      <c r="F4" s="8"/>
      <c r="G4" s="8"/>
      <c r="H4" s="8"/>
      <c r="I4" s="8"/>
      <c r="J4" s="8"/>
    </row>
    <row r="5" spans="1:10">
      <c r="A5" s="8"/>
      <c r="B5" s="136" t="s">
        <v>1896</v>
      </c>
      <c r="C5" s="93"/>
      <c r="D5" s="8"/>
      <c r="E5" s="136" t="s">
        <v>1897</v>
      </c>
      <c r="F5" s="93"/>
      <c r="G5" s="93"/>
      <c r="H5" s="8"/>
      <c r="I5" s="8"/>
      <c r="J5" s="8"/>
    </row>
    <row r="6" spans="1:10">
      <c r="A6" s="8"/>
      <c r="B6" s="17" t="s">
        <v>1898</v>
      </c>
      <c r="C6" s="17" t="s">
        <v>1899</v>
      </c>
      <c r="D6" s="8"/>
      <c r="E6" s="17" t="s">
        <v>1900</v>
      </c>
      <c r="F6" s="17" t="s">
        <v>1901</v>
      </c>
      <c r="G6" s="17" t="s">
        <v>1902</v>
      </c>
      <c r="H6" s="8"/>
      <c r="I6" s="8"/>
      <c r="J6" s="8"/>
    </row>
    <row r="7" spans="1:10">
      <c r="A7" s="8"/>
      <c r="B7" s="8" t="s">
        <v>1903</v>
      </c>
      <c r="C7" s="8" t="s">
        <v>1307</v>
      </c>
      <c r="D7" s="8"/>
      <c r="E7" s="8" t="s">
        <v>1904</v>
      </c>
      <c r="F7" s="8" t="s">
        <v>1307</v>
      </c>
      <c r="G7" s="8" t="s">
        <v>1308</v>
      </c>
      <c r="H7" s="8"/>
      <c r="I7" s="8"/>
      <c r="J7" s="8"/>
    </row>
    <row r="8" spans="1:10">
      <c r="A8" s="8"/>
      <c r="B8" s="8" t="s">
        <v>1905</v>
      </c>
      <c r="C8" s="8" t="s">
        <v>1318</v>
      </c>
      <c r="D8" s="8"/>
      <c r="E8" s="8" t="s">
        <v>1906</v>
      </c>
      <c r="F8" s="8" t="s">
        <v>1307</v>
      </c>
      <c r="G8" s="8" t="s">
        <v>1907</v>
      </c>
      <c r="H8" s="8"/>
      <c r="I8" s="8"/>
      <c r="J8" s="8"/>
    </row>
    <row r="9" spans="1:10">
      <c r="A9" s="8"/>
      <c r="B9" s="8" t="s">
        <v>1908</v>
      </c>
      <c r="C9" s="8" t="s">
        <v>1909</v>
      </c>
      <c r="D9" s="8"/>
      <c r="E9" s="8" t="s">
        <v>1910</v>
      </c>
      <c r="F9" s="8" t="s">
        <v>1307</v>
      </c>
      <c r="G9" s="8" t="s">
        <v>961</v>
      </c>
      <c r="H9" s="8"/>
      <c r="I9" s="8"/>
      <c r="J9" s="8"/>
    </row>
    <row r="10" spans="1:10">
      <c r="A10" s="8"/>
      <c r="B10" s="8" t="s">
        <v>1911</v>
      </c>
      <c r="C10" s="8" t="s">
        <v>1912</v>
      </c>
      <c r="D10" s="8"/>
      <c r="E10" s="8" t="s">
        <v>1913</v>
      </c>
      <c r="F10" s="8" t="s">
        <v>1307</v>
      </c>
      <c r="G10" s="8" t="s">
        <v>783</v>
      </c>
      <c r="H10" s="8"/>
      <c r="I10" s="8"/>
      <c r="J10" s="8"/>
    </row>
    <row r="11" spans="1:10">
      <c r="A11" s="8"/>
      <c r="B11" s="8" t="s">
        <v>1914</v>
      </c>
      <c r="C11" s="8" t="s">
        <v>1915</v>
      </c>
      <c r="D11" s="8"/>
      <c r="E11" s="8" t="s">
        <v>1916</v>
      </c>
      <c r="F11" s="8" t="s">
        <v>1318</v>
      </c>
      <c r="G11" s="8" t="s">
        <v>1319</v>
      </c>
      <c r="H11" s="8"/>
      <c r="I11" s="8"/>
      <c r="J11" s="8"/>
    </row>
    <row r="12" spans="1:10">
      <c r="A12" s="8"/>
      <c r="B12" s="8" t="s">
        <v>1917</v>
      </c>
      <c r="C12" s="8" t="s">
        <v>1918</v>
      </c>
      <c r="D12" s="8"/>
      <c r="E12" s="8" t="s">
        <v>1919</v>
      </c>
      <c r="F12" s="8" t="s">
        <v>1318</v>
      </c>
      <c r="G12" s="8" t="s">
        <v>1920</v>
      </c>
      <c r="H12" s="8"/>
      <c r="I12" s="8"/>
      <c r="J12" s="8"/>
    </row>
    <row r="13" spans="1:10">
      <c r="A13" s="8"/>
      <c r="B13" s="8" t="s">
        <v>1921</v>
      </c>
      <c r="C13" s="8" t="s">
        <v>1922</v>
      </c>
      <c r="D13" s="8"/>
      <c r="E13" s="8" t="s">
        <v>1923</v>
      </c>
      <c r="F13" s="8" t="s">
        <v>1318</v>
      </c>
      <c r="G13" s="8" t="s">
        <v>1924</v>
      </c>
      <c r="H13" s="8"/>
      <c r="I13" s="8"/>
      <c r="J13" s="8"/>
    </row>
    <row r="14" spans="1:10">
      <c r="A14" s="8"/>
      <c r="B14" s="8" t="s">
        <v>1925</v>
      </c>
      <c r="C14" s="8" t="s">
        <v>1926</v>
      </c>
      <c r="D14" s="8"/>
      <c r="E14" s="8" t="s">
        <v>1927</v>
      </c>
      <c r="F14" s="8" t="s">
        <v>1909</v>
      </c>
      <c r="G14" s="8" t="s">
        <v>1928</v>
      </c>
      <c r="H14" s="8"/>
      <c r="I14" s="8"/>
      <c r="J14" s="8"/>
    </row>
    <row r="15" spans="1:10">
      <c r="A15" s="8"/>
      <c r="B15" s="8" t="s">
        <v>1929</v>
      </c>
      <c r="C15" s="8" t="s">
        <v>1930</v>
      </c>
      <c r="D15" s="8"/>
      <c r="E15" s="8" t="s">
        <v>1931</v>
      </c>
      <c r="F15" s="8" t="s">
        <v>1909</v>
      </c>
      <c r="G15" s="8" t="s">
        <v>1932</v>
      </c>
      <c r="H15" s="8"/>
      <c r="I15" s="8"/>
      <c r="J15" s="8"/>
    </row>
    <row r="16" spans="1:10">
      <c r="A16" s="8"/>
      <c r="B16" s="8" t="s">
        <v>1933</v>
      </c>
      <c r="C16" s="8" t="s">
        <v>1934</v>
      </c>
      <c r="D16" s="8"/>
      <c r="E16" s="8" t="s">
        <v>1935</v>
      </c>
      <c r="F16" s="8" t="s">
        <v>1909</v>
      </c>
      <c r="G16" s="8" t="s">
        <v>1936</v>
      </c>
      <c r="H16" s="8"/>
      <c r="I16" s="8"/>
      <c r="J16" s="8"/>
    </row>
    <row r="17" spans="1:10">
      <c r="A17" s="8"/>
      <c r="B17" s="8"/>
      <c r="C17" s="8"/>
      <c r="D17" s="8"/>
      <c r="E17" s="8" t="s">
        <v>1937</v>
      </c>
      <c r="F17" s="8" t="s">
        <v>1912</v>
      </c>
      <c r="G17" s="8" t="s">
        <v>1938</v>
      </c>
      <c r="H17" s="8"/>
      <c r="I17" s="8"/>
      <c r="J17" s="8"/>
    </row>
    <row r="18" spans="1:10">
      <c r="A18" s="8"/>
      <c r="B18" s="8"/>
      <c r="C18" s="8"/>
      <c r="D18" s="8"/>
      <c r="E18" s="8" t="s">
        <v>1939</v>
      </c>
      <c r="F18" s="8" t="s">
        <v>1912</v>
      </c>
      <c r="G18" s="8" t="s">
        <v>1940</v>
      </c>
      <c r="H18" s="8"/>
      <c r="I18" s="8"/>
      <c r="J18" s="8"/>
    </row>
    <row r="19" spans="1:10">
      <c r="A19" s="8"/>
      <c r="B19" s="8"/>
      <c r="C19" s="8"/>
      <c r="D19" s="8"/>
      <c r="E19" s="8" t="s">
        <v>1941</v>
      </c>
      <c r="F19" s="8" t="s">
        <v>1912</v>
      </c>
      <c r="G19" s="8" t="s">
        <v>1942</v>
      </c>
      <c r="H19" s="8"/>
      <c r="I19" s="8"/>
      <c r="J19" s="8"/>
    </row>
    <row r="20" spans="1:10">
      <c r="A20" s="8"/>
      <c r="B20" s="8"/>
      <c r="C20" s="8"/>
      <c r="D20" s="8"/>
      <c r="E20" s="8" t="s">
        <v>1943</v>
      </c>
      <c r="F20" s="8" t="s">
        <v>1915</v>
      </c>
      <c r="G20" s="8" t="s">
        <v>1944</v>
      </c>
      <c r="H20" s="8"/>
      <c r="I20" s="8"/>
      <c r="J20" s="8"/>
    </row>
    <row r="21" spans="1:10">
      <c r="A21" s="8"/>
      <c r="B21" s="8"/>
      <c r="C21" s="8"/>
      <c r="D21" s="8"/>
      <c r="E21" s="8" t="s">
        <v>1945</v>
      </c>
      <c r="F21" s="8" t="s">
        <v>1915</v>
      </c>
      <c r="G21" s="8" t="s">
        <v>1946</v>
      </c>
      <c r="H21" s="8"/>
      <c r="I21" s="8"/>
      <c r="J21" s="8"/>
    </row>
    <row r="22" spans="1:10">
      <c r="A22" s="8"/>
      <c r="B22" s="8"/>
      <c r="C22" s="8"/>
      <c r="D22" s="8"/>
      <c r="E22" s="8" t="s">
        <v>1947</v>
      </c>
      <c r="F22" s="8" t="s">
        <v>1918</v>
      </c>
      <c r="G22" s="8" t="s">
        <v>1948</v>
      </c>
      <c r="H22" s="8"/>
      <c r="I22" s="8"/>
      <c r="J22" s="8"/>
    </row>
    <row r="23" spans="1:10">
      <c r="A23" s="8"/>
      <c r="B23" s="8"/>
      <c r="C23" s="8"/>
      <c r="D23" s="8"/>
      <c r="E23" s="8" t="s">
        <v>1949</v>
      </c>
      <c r="F23" s="8" t="s">
        <v>1918</v>
      </c>
      <c r="G23" s="8" t="s">
        <v>1950</v>
      </c>
      <c r="H23" s="8"/>
      <c r="I23" s="8"/>
      <c r="J23" s="8"/>
    </row>
    <row r="24" spans="1:10">
      <c r="A24" s="8"/>
      <c r="B24" s="8"/>
      <c r="C24" s="8"/>
      <c r="D24" s="8"/>
      <c r="E24" s="8" t="s">
        <v>1951</v>
      </c>
      <c r="F24" s="8" t="s">
        <v>1922</v>
      </c>
      <c r="G24" s="8" t="s">
        <v>1952</v>
      </c>
      <c r="H24" s="8"/>
      <c r="I24" s="8"/>
      <c r="J24" s="8"/>
    </row>
    <row r="25" spans="1:10">
      <c r="A25" s="8"/>
      <c r="B25" s="8"/>
      <c r="C25" s="8"/>
      <c r="D25" s="8"/>
      <c r="E25" s="8" t="s">
        <v>1953</v>
      </c>
      <c r="F25" s="8" t="s">
        <v>1922</v>
      </c>
      <c r="G25" s="8" t="s">
        <v>1954</v>
      </c>
      <c r="H25" s="8"/>
      <c r="I25" s="8"/>
      <c r="J25" s="8"/>
    </row>
    <row r="26" spans="1:10">
      <c r="A26" s="8"/>
      <c r="B26" s="8"/>
      <c r="C26" s="8"/>
      <c r="D26" s="8"/>
      <c r="E26" s="8" t="s">
        <v>1955</v>
      </c>
      <c r="F26" s="8" t="s">
        <v>1926</v>
      </c>
      <c r="G26" s="8" t="s">
        <v>1956</v>
      </c>
      <c r="H26" s="8"/>
      <c r="I26" s="8"/>
      <c r="J26" s="8"/>
    </row>
    <row r="27" spans="1:10">
      <c r="A27" s="8"/>
      <c r="B27" s="8"/>
      <c r="C27" s="8"/>
      <c r="D27" s="8"/>
      <c r="E27" s="8" t="s">
        <v>1957</v>
      </c>
      <c r="F27" s="8" t="s">
        <v>1926</v>
      </c>
      <c r="G27" s="8" t="s">
        <v>1958</v>
      </c>
      <c r="H27" s="8"/>
      <c r="I27" s="8"/>
      <c r="J27" s="8"/>
    </row>
    <row r="28" spans="1:10">
      <c r="A28" s="8"/>
      <c r="B28" s="8"/>
      <c r="C28" s="8"/>
      <c r="D28" s="8"/>
      <c r="E28" s="8" t="s">
        <v>1959</v>
      </c>
      <c r="F28" s="8" t="s">
        <v>1930</v>
      </c>
      <c r="G28" s="8" t="s">
        <v>1960</v>
      </c>
      <c r="H28" s="8"/>
      <c r="I28" s="8"/>
      <c r="J28" s="8"/>
    </row>
    <row r="29" spans="1:10">
      <c r="A29" s="8"/>
      <c r="B29" s="8"/>
      <c r="C29" s="8"/>
      <c r="D29" s="8"/>
      <c r="E29" s="8" t="s">
        <v>1961</v>
      </c>
      <c r="F29" s="8" t="s">
        <v>1930</v>
      </c>
      <c r="G29" s="8" t="s">
        <v>1962</v>
      </c>
      <c r="H29" s="8"/>
      <c r="I29" s="8"/>
      <c r="J29" s="8"/>
    </row>
    <row r="30" spans="1:10">
      <c r="A30" s="8"/>
      <c r="B30" s="8"/>
      <c r="C30" s="8"/>
      <c r="D30" s="8"/>
      <c r="E30" s="8" t="s">
        <v>1963</v>
      </c>
      <c r="F30" s="8" t="s">
        <v>1934</v>
      </c>
      <c r="G30" s="8" t="s">
        <v>1964</v>
      </c>
      <c r="H30" s="8"/>
      <c r="I30" s="8"/>
      <c r="J30" s="8"/>
    </row>
    <row r="31" spans="1:10">
      <c r="A31" s="8"/>
      <c r="B31" s="8"/>
      <c r="C31" s="8"/>
      <c r="D31" s="8"/>
      <c r="E31" s="8" t="s">
        <v>1965</v>
      </c>
      <c r="F31" s="8" t="s">
        <v>1934</v>
      </c>
      <c r="G31" s="8" t="s">
        <v>1966</v>
      </c>
      <c r="H31" s="8"/>
      <c r="I31" s="8"/>
      <c r="J31" s="8"/>
    </row>
    <row r="32" spans="1:10">
      <c r="A32" s="8"/>
      <c r="B32" s="8"/>
      <c r="C32" s="8"/>
      <c r="D32" s="8"/>
      <c r="E32" s="8"/>
      <c r="F32" s="8"/>
      <c r="G32" s="8"/>
      <c r="H32" s="8"/>
      <c r="I32" s="8"/>
      <c r="J32" s="8"/>
    </row>
    <row r="33" spans="1:10">
      <c r="A33" s="8"/>
      <c r="B33" s="8"/>
      <c r="C33" s="8"/>
      <c r="D33" s="8"/>
      <c r="E33" s="8"/>
      <c r="F33" s="8"/>
      <c r="G33" s="8"/>
      <c r="H33" s="8"/>
      <c r="I33" s="8"/>
      <c r="J33" s="8"/>
    </row>
    <row r="34" spans="1:10">
      <c r="A34" s="8"/>
      <c r="B34" s="8"/>
      <c r="C34" s="8"/>
      <c r="D34" s="8"/>
      <c r="E34" s="8"/>
      <c r="F34" s="8"/>
      <c r="G34" s="8"/>
      <c r="H34" s="8"/>
      <c r="I34" s="8"/>
      <c r="J34" s="8"/>
    </row>
    <row r="35" spans="1:10">
      <c r="A35" s="8"/>
      <c r="B35" s="8"/>
      <c r="C35" s="8"/>
      <c r="D35" s="8"/>
      <c r="E35" s="8"/>
      <c r="F35" s="8"/>
      <c r="G35" s="8"/>
      <c r="H35" s="8"/>
      <c r="I35" s="8"/>
      <c r="J35" s="8"/>
    </row>
    <row r="36" spans="1:10">
      <c r="A36" s="8"/>
      <c r="B36" s="8"/>
      <c r="C36" s="8"/>
      <c r="D36" s="8"/>
      <c r="E36" s="8"/>
      <c r="F36" s="8"/>
      <c r="G36" s="8"/>
      <c r="H36" s="8"/>
      <c r="I36" s="8"/>
      <c r="J36" s="8"/>
    </row>
    <row r="37" spans="1:10">
      <c r="A37" s="8"/>
      <c r="B37" s="8"/>
      <c r="C37" s="8"/>
      <c r="D37" s="8"/>
      <c r="E37" s="8"/>
      <c r="F37" s="8"/>
      <c r="G37" s="8"/>
      <c r="H37" s="8"/>
      <c r="I37" s="8"/>
      <c r="J37" s="8"/>
    </row>
    <row r="38" spans="1:10">
      <c r="A38" s="8"/>
      <c r="B38" s="8"/>
      <c r="C38" s="8"/>
      <c r="D38" s="8"/>
      <c r="E38" s="8"/>
      <c r="F38" s="8"/>
      <c r="G38" s="8"/>
      <c r="H38" s="8"/>
      <c r="I38" s="8"/>
      <c r="J38" s="8"/>
    </row>
    <row r="39" spans="1:10">
      <c r="A39" s="8"/>
      <c r="B39" s="8"/>
      <c r="C39" s="8"/>
      <c r="D39" s="8"/>
      <c r="E39" s="8"/>
      <c r="F39" s="8"/>
      <c r="G39" s="8"/>
      <c r="H39" s="8"/>
      <c r="I39" s="8"/>
      <c r="J39" s="8"/>
    </row>
    <row r="40" spans="1:10">
      <c r="A40" s="8"/>
      <c r="B40" s="8"/>
      <c r="C40" s="8"/>
      <c r="D40" s="8"/>
      <c r="E40" s="8"/>
      <c r="F40" s="8"/>
      <c r="G40" s="8"/>
      <c r="H40" s="8"/>
      <c r="I40" s="8"/>
      <c r="J40" s="8"/>
    </row>
    <row r="41" spans="1:10">
      <c r="A41" s="8"/>
      <c r="B41" s="8"/>
      <c r="C41" s="8"/>
      <c r="D41" s="8"/>
      <c r="E41" s="8"/>
      <c r="F41" s="8"/>
      <c r="G41" s="8"/>
      <c r="H41" s="8"/>
      <c r="I41" s="8"/>
      <c r="J41" s="8"/>
    </row>
    <row r="42" spans="1:10">
      <c r="A42" s="8"/>
      <c r="B42" s="8"/>
      <c r="C42" s="8"/>
      <c r="D42" s="8"/>
      <c r="E42" s="8"/>
      <c r="F42" s="8"/>
      <c r="G42" s="8"/>
      <c r="H42" s="8"/>
      <c r="I42" s="8"/>
      <c r="J42" s="8"/>
    </row>
    <row r="43" spans="1:10">
      <c r="A43" s="8"/>
      <c r="B43" s="8"/>
      <c r="C43" s="8"/>
      <c r="D43" s="8"/>
      <c r="E43" s="8"/>
      <c r="F43" s="8"/>
      <c r="G43" s="8"/>
      <c r="H43" s="8"/>
      <c r="I43" s="8"/>
      <c r="J43" s="8"/>
    </row>
    <row r="44" spans="1:10">
      <c r="A44" s="8"/>
      <c r="B44" s="8"/>
      <c r="C44" s="8"/>
      <c r="D44" s="8"/>
      <c r="E44" s="8"/>
      <c r="F44" s="8"/>
      <c r="G44" s="8"/>
      <c r="H44" s="8"/>
      <c r="I44" s="8"/>
      <c r="J44" s="8"/>
    </row>
    <row r="45" spans="1:10">
      <c r="A45" s="8"/>
      <c r="B45" s="8"/>
      <c r="C45" s="8"/>
      <c r="D45" s="8"/>
      <c r="E45" s="8"/>
      <c r="F45" s="8"/>
      <c r="G45" s="8"/>
      <c r="H45" s="8"/>
      <c r="I45" s="8"/>
      <c r="J45" s="8"/>
    </row>
    <row r="46" spans="1:10">
      <c r="A46" s="8"/>
      <c r="B46" s="8"/>
      <c r="C46" s="8"/>
      <c r="D46" s="8"/>
      <c r="E46" s="8"/>
      <c r="F46" s="8"/>
      <c r="G46" s="8"/>
      <c r="H46" s="8"/>
      <c r="I46" s="8"/>
      <c r="J46" s="8"/>
    </row>
    <row r="47" spans="1:10">
      <c r="A47" s="8"/>
      <c r="B47" s="8"/>
      <c r="C47" s="8"/>
      <c r="D47" s="8"/>
      <c r="E47" s="8"/>
      <c r="F47" s="8"/>
      <c r="G47" s="8"/>
      <c r="H47" s="8"/>
      <c r="I47" s="8"/>
      <c r="J47" s="8"/>
    </row>
    <row r="48" spans="1:10">
      <c r="A48" s="8"/>
      <c r="B48" s="8"/>
      <c r="C48" s="8"/>
      <c r="D48" s="8"/>
      <c r="E48" s="8"/>
      <c r="F48" s="8"/>
      <c r="G48" s="8"/>
      <c r="H48" s="8"/>
      <c r="I48" s="8"/>
      <c r="J48" s="8"/>
    </row>
    <row r="49" spans="1:10">
      <c r="A49" s="8"/>
      <c r="B49" s="8"/>
      <c r="C49" s="8"/>
      <c r="D49" s="8"/>
      <c r="E49" s="8"/>
      <c r="F49" s="8"/>
      <c r="G49" s="8"/>
      <c r="H49" s="8"/>
      <c r="I49" s="8"/>
      <c r="J49" s="8"/>
    </row>
    <row r="50" spans="1:10">
      <c r="A50" s="8"/>
      <c r="B50" s="8"/>
      <c r="C50" s="8"/>
      <c r="D50" s="8"/>
      <c r="E50" s="8"/>
      <c r="F50" s="8"/>
      <c r="G50" s="8"/>
      <c r="H50" s="8"/>
      <c r="I50" s="8"/>
      <c r="J50" s="8"/>
    </row>
    <row r="51" spans="1:10">
      <c r="A51" s="8"/>
      <c r="B51" s="8"/>
      <c r="C51" s="8"/>
      <c r="D51" s="8"/>
      <c r="E51" s="8"/>
      <c r="F51" s="8"/>
      <c r="G51" s="8"/>
      <c r="H51" s="8"/>
      <c r="I51" s="8"/>
      <c r="J51" s="8"/>
    </row>
    <row r="52" spans="1:10">
      <c r="A52" s="8"/>
      <c r="B52" s="8"/>
      <c r="C52" s="8"/>
      <c r="D52" s="8"/>
      <c r="E52" s="8"/>
      <c r="F52" s="8"/>
      <c r="G52" s="8"/>
      <c r="H52" s="8"/>
      <c r="I52" s="8"/>
      <c r="J52" s="8"/>
    </row>
    <row r="53" spans="1:10">
      <c r="A53" s="8"/>
      <c r="B53" s="8"/>
      <c r="C53" s="8"/>
      <c r="D53" s="8"/>
      <c r="E53" s="8"/>
      <c r="F53" s="8"/>
      <c r="G53" s="8"/>
      <c r="H53" s="8"/>
      <c r="I53" s="8"/>
      <c r="J53" s="8"/>
    </row>
    <row r="54" spans="1:10">
      <c r="A54" s="8"/>
      <c r="B54" s="8"/>
      <c r="C54" s="8"/>
      <c r="D54" s="8"/>
      <c r="E54" s="8"/>
      <c r="F54" s="8"/>
      <c r="G54" s="8"/>
      <c r="H54" s="8"/>
      <c r="I54" s="8"/>
      <c r="J54" s="8"/>
    </row>
    <row r="55" spans="1:10">
      <c r="A55" s="8"/>
      <c r="B55" s="8"/>
      <c r="C55" s="8"/>
      <c r="D55" s="8"/>
      <c r="E55" s="8"/>
      <c r="F55" s="8"/>
      <c r="G55" s="8"/>
      <c r="H55" s="8"/>
      <c r="I55" s="8"/>
      <c r="J55" s="8"/>
    </row>
    <row r="56" spans="1:10">
      <c r="A56" s="8"/>
      <c r="B56" s="8"/>
      <c r="C56" s="8"/>
      <c r="D56" s="8"/>
      <c r="E56" s="8"/>
      <c r="F56" s="8"/>
      <c r="G56" s="8"/>
      <c r="H56" s="8"/>
      <c r="I56" s="8"/>
      <c r="J56" s="8"/>
    </row>
    <row r="57" spans="1:10">
      <c r="A57" s="8"/>
      <c r="B57" s="8"/>
      <c r="C57" s="8"/>
      <c r="D57" s="8"/>
      <c r="E57" s="8"/>
      <c r="F57" s="8"/>
      <c r="G57" s="8"/>
      <c r="H57" s="8"/>
      <c r="I57" s="8"/>
      <c r="J57" s="8"/>
    </row>
    <row r="58" spans="1:10">
      <c r="A58" s="8"/>
      <c r="B58" s="8"/>
      <c r="C58" s="8"/>
      <c r="D58" s="8"/>
      <c r="E58" s="8"/>
      <c r="F58" s="8"/>
      <c r="G58" s="8"/>
      <c r="H58" s="8"/>
      <c r="I58" s="8"/>
      <c r="J58" s="8"/>
    </row>
    <row r="59" spans="1:10">
      <c r="A59" s="8"/>
      <c r="B59" s="8"/>
      <c r="C59" s="8"/>
      <c r="D59" s="8"/>
      <c r="E59" s="8"/>
      <c r="F59" s="8"/>
      <c r="G59" s="8"/>
      <c r="H59" s="8"/>
      <c r="I59" s="8"/>
      <c r="J59" s="8"/>
    </row>
    <row r="60" spans="1:10">
      <c r="A60" s="8"/>
      <c r="B60" s="8"/>
      <c r="C60" s="8"/>
      <c r="D60" s="8"/>
      <c r="E60" s="8"/>
      <c r="F60" s="8"/>
      <c r="G60" s="8"/>
      <c r="H60" s="8"/>
      <c r="I60" s="8"/>
      <c r="J60" s="8"/>
    </row>
    <row r="61" spans="1:10">
      <c r="A61" s="8"/>
      <c r="B61" s="8"/>
      <c r="C61" s="8"/>
      <c r="D61" s="8"/>
      <c r="E61" s="8"/>
      <c r="F61" s="8"/>
      <c r="G61" s="8"/>
      <c r="H61" s="8"/>
      <c r="I61" s="8"/>
      <c r="J61" s="8"/>
    </row>
    <row r="62" spans="1:10">
      <c r="A62" s="8"/>
      <c r="B62" s="8"/>
      <c r="C62" s="8"/>
      <c r="D62" s="8"/>
      <c r="E62" s="8"/>
      <c r="F62" s="8"/>
      <c r="G62" s="8"/>
      <c r="H62" s="8"/>
      <c r="I62" s="8"/>
      <c r="J62" s="8"/>
    </row>
    <row r="63" spans="1:10">
      <c r="A63" s="8"/>
      <c r="B63" s="8"/>
      <c r="C63" s="8"/>
      <c r="D63" s="8"/>
      <c r="E63" s="8"/>
      <c r="F63" s="8"/>
      <c r="G63" s="8"/>
      <c r="H63" s="8"/>
      <c r="I63" s="8"/>
      <c r="J63" s="8"/>
    </row>
    <row r="64" spans="1:10">
      <c r="A64" s="8"/>
      <c r="B64" s="8"/>
      <c r="C64" s="8"/>
      <c r="D64" s="8"/>
      <c r="E64" s="8"/>
      <c r="F64" s="8"/>
      <c r="G64" s="8"/>
      <c r="H64" s="8"/>
      <c r="I64" s="8"/>
      <c r="J64" s="8"/>
    </row>
    <row r="65" spans="1:10">
      <c r="A65" s="8"/>
      <c r="B65" s="8"/>
      <c r="C65" s="8"/>
      <c r="D65" s="8"/>
      <c r="E65" s="8"/>
      <c r="F65" s="8"/>
      <c r="G65" s="8"/>
      <c r="H65" s="8"/>
      <c r="I65" s="8"/>
      <c r="J65" s="8"/>
    </row>
    <row r="66" spans="1:10">
      <c r="A66" s="8"/>
      <c r="B66" s="8"/>
      <c r="C66" s="8"/>
      <c r="D66" s="8"/>
      <c r="E66" s="8"/>
      <c r="F66" s="8"/>
      <c r="G66" s="8"/>
      <c r="H66" s="8"/>
      <c r="I66" s="8"/>
      <c r="J66" s="8"/>
    </row>
    <row r="67" spans="1:10">
      <c r="A67" s="8"/>
      <c r="B67" s="8"/>
      <c r="C67" s="8"/>
      <c r="D67" s="8"/>
      <c r="E67" s="8"/>
      <c r="F67" s="8"/>
      <c r="G67" s="8"/>
      <c r="H67" s="8"/>
      <c r="I67" s="8"/>
      <c r="J67" s="8"/>
    </row>
    <row r="68" spans="1:10">
      <c r="A68" s="8"/>
      <c r="B68" s="8"/>
      <c r="C68" s="8"/>
      <c r="D68" s="8"/>
      <c r="E68" s="8"/>
      <c r="F68" s="8"/>
      <c r="G68" s="8"/>
      <c r="H68" s="8"/>
      <c r="I68" s="8"/>
      <c r="J68" s="8"/>
    </row>
    <row r="69" spans="1:10">
      <c r="A69" s="8"/>
      <c r="B69" s="8"/>
      <c r="C69" s="8"/>
      <c r="D69" s="8"/>
      <c r="E69" s="8"/>
      <c r="F69" s="8"/>
      <c r="G69" s="8"/>
      <c r="H69" s="8"/>
      <c r="I69" s="8"/>
      <c r="J69" s="8"/>
    </row>
    <row r="70" spans="1:10">
      <c r="A70" s="8"/>
      <c r="B70" s="8"/>
      <c r="C70" s="8"/>
      <c r="D70" s="8"/>
      <c r="E70" s="8"/>
      <c r="F70" s="8"/>
      <c r="G70" s="8"/>
      <c r="H70" s="8"/>
      <c r="I70" s="8"/>
      <c r="J70" s="8"/>
    </row>
    <row r="71" spans="1:10">
      <c r="A71" s="8"/>
      <c r="B71" s="8"/>
      <c r="C71" s="8"/>
      <c r="D71" s="8"/>
      <c r="E71" s="8"/>
      <c r="F71" s="8"/>
      <c r="G71" s="8"/>
      <c r="H71" s="8"/>
      <c r="I71" s="8"/>
      <c r="J71" s="8"/>
    </row>
    <row r="72" spans="1:10">
      <c r="A72" s="8"/>
      <c r="B72" s="8"/>
      <c r="C72" s="8"/>
      <c r="D72" s="8"/>
      <c r="E72" s="8"/>
      <c r="F72" s="8"/>
      <c r="G72" s="8"/>
      <c r="H72" s="8"/>
      <c r="I72" s="8"/>
      <c r="J72" s="8"/>
    </row>
    <row r="73" spans="1:10">
      <c r="A73" s="8"/>
      <c r="B73" s="8"/>
      <c r="C73" s="8"/>
      <c r="D73" s="8"/>
      <c r="E73" s="8"/>
      <c r="F73" s="8"/>
      <c r="G73" s="8"/>
      <c r="H73" s="8"/>
      <c r="I73" s="8"/>
      <c r="J73" s="8"/>
    </row>
    <row r="74" spans="1:10">
      <c r="A74" s="8"/>
      <c r="B74" s="8"/>
      <c r="C74" s="8"/>
      <c r="D74" s="8"/>
      <c r="E74" s="8"/>
      <c r="F74" s="8"/>
      <c r="G74" s="8"/>
      <c r="H74" s="8"/>
      <c r="I74" s="8"/>
      <c r="J74" s="8"/>
    </row>
    <row r="75" spans="1:10">
      <c r="A75" s="8"/>
      <c r="B75" s="8"/>
      <c r="C75" s="8"/>
      <c r="D75" s="8"/>
      <c r="E75" s="8"/>
      <c r="F75" s="8"/>
      <c r="G75" s="8"/>
      <c r="H75" s="8"/>
      <c r="I75" s="8"/>
      <c r="J75" s="8"/>
    </row>
    <row r="76" spans="1:10">
      <c r="A76" s="8"/>
      <c r="B76" s="8"/>
      <c r="C76" s="8"/>
      <c r="D76" s="8"/>
      <c r="E76" s="8"/>
      <c r="F76" s="8"/>
      <c r="G76" s="8"/>
      <c r="H76" s="8"/>
      <c r="I76" s="8"/>
      <c r="J76" s="8"/>
    </row>
    <row r="77" spans="1:10">
      <c r="A77" s="8"/>
      <c r="B77" s="8"/>
      <c r="C77" s="8"/>
      <c r="D77" s="8"/>
      <c r="E77" s="8"/>
      <c r="F77" s="8"/>
      <c r="G77" s="8"/>
      <c r="H77" s="8"/>
      <c r="I77" s="8"/>
      <c r="J77" s="8"/>
    </row>
    <row r="78" spans="1:10">
      <c r="A78" s="8"/>
      <c r="B78" s="8"/>
      <c r="C78" s="8"/>
      <c r="D78" s="8"/>
      <c r="E78" s="8"/>
      <c r="F78" s="8"/>
      <c r="G78" s="8"/>
      <c r="H78" s="8"/>
      <c r="I78" s="8"/>
      <c r="J78" s="8"/>
    </row>
    <row r="79" spans="1:10">
      <c r="A79" s="8"/>
      <c r="B79" s="8"/>
      <c r="C79" s="8"/>
      <c r="D79" s="8"/>
      <c r="E79" s="8"/>
      <c r="F79" s="8"/>
      <c r="G79" s="8"/>
      <c r="H79" s="8"/>
      <c r="I79" s="8"/>
      <c r="J79" s="8"/>
    </row>
    <row r="80" spans="1:10">
      <c r="A80" s="8"/>
      <c r="B80" s="8"/>
      <c r="C80" s="8"/>
      <c r="D80" s="8"/>
      <c r="E80" s="8"/>
      <c r="F80" s="8"/>
      <c r="G80" s="8"/>
      <c r="H80" s="8"/>
      <c r="I80" s="8"/>
      <c r="J80" s="8"/>
    </row>
    <row r="81" spans="1:10">
      <c r="A81" s="8"/>
      <c r="B81" s="8"/>
      <c r="C81" s="8"/>
      <c r="D81" s="8"/>
      <c r="E81" s="8"/>
      <c r="F81" s="8"/>
      <c r="G81" s="8"/>
      <c r="H81" s="8"/>
      <c r="I81" s="8"/>
      <c r="J81" s="8"/>
    </row>
    <row r="82" spans="1:10">
      <c r="A82" s="8"/>
      <c r="B82" s="8"/>
      <c r="C82" s="8"/>
      <c r="D82" s="8"/>
      <c r="E82" s="8"/>
      <c r="F82" s="8"/>
      <c r="G82" s="8"/>
      <c r="H82" s="8"/>
      <c r="I82" s="8"/>
      <c r="J82" s="8"/>
    </row>
    <row r="83" spans="1:10">
      <c r="A83" s="8"/>
      <c r="B83" s="8"/>
      <c r="C83" s="8"/>
      <c r="D83" s="8"/>
      <c r="E83" s="8"/>
      <c r="F83" s="8"/>
      <c r="G83" s="8"/>
      <c r="H83" s="8"/>
      <c r="I83" s="8"/>
      <c r="J83" s="8"/>
    </row>
    <row r="84" spans="1:10">
      <c r="A84" s="8"/>
      <c r="B84" s="8"/>
      <c r="C84" s="8"/>
      <c r="D84" s="8"/>
      <c r="E84" s="8"/>
      <c r="F84" s="8"/>
      <c r="G84" s="8"/>
      <c r="H84" s="8"/>
      <c r="I84" s="8"/>
      <c r="J84" s="8"/>
    </row>
    <row r="85" spans="1:10">
      <c r="A85" s="8"/>
      <c r="B85" s="8"/>
      <c r="C85" s="8"/>
      <c r="D85" s="8"/>
      <c r="E85" s="8"/>
      <c r="F85" s="8"/>
      <c r="G85" s="8"/>
      <c r="H85" s="8"/>
      <c r="I85" s="8"/>
      <c r="J85" s="8"/>
    </row>
    <row r="86" spans="1:10">
      <c r="A86" s="8"/>
      <c r="B86" s="8"/>
      <c r="C86" s="8"/>
      <c r="D86" s="8"/>
      <c r="E86" s="8"/>
      <c r="F86" s="8"/>
      <c r="G86" s="8"/>
      <c r="H86" s="8"/>
      <c r="I86" s="8"/>
      <c r="J86" s="8"/>
    </row>
    <row r="87" spans="1:10">
      <c r="A87" s="8"/>
      <c r="B87" s="8"/>
      <c r="C87" s="8"/>
      <c r="D87" s="8"/>
      <c r="E87" s="8"/>
      <c r="F87" s="8"/>
      <c r="G87" s="8"/>
      <c r="H87" s="8"/>
      <c r="I87" s="8"/>
      <c r="J87" s="8"/>
    </row>
    <row r="88" spans="1:10">
      <c r="A88" s="8"/>
      <c r="B88" s="8"/>
      <c r="C88" s="8"/>
      <c r="D88" s="8"/>
      <c r="E88" s="8"/>
      <c r="F88" s="8"/>
      <c r="G88" s="8"/>
      <c r="H88" s="8"/>
      <c r="I88" s="8"/>
      <c r="J88" s="8"/>
    </row>
    <row r="89" spans="1:10">
      <c r="A89" s="8"/>
      <c r="B89" s="8"/>
      <c r="C89" s="8"/>
      <c r="D89" s="8"/>
      <c r="E89" s="8"/>
      <c r="F89" s="8"/>
      <c r="G89" s="8"/>
      <c r="H89" s="8"/>
      <c r="I89" s="8"/>
      <c r="J89" s="8"/>
    </row>
    <row r="90" spans="1:10">
      <c r="A90" s="8"/>
      <c r="B90" s="8"/>
      <c r="C90" s="8"/>
      <c r="D90" s="8"/>
      <c r="E90" s="8"/>
      <c r="F90" s="8"/>
      <c r="G90" s="8"/>
      <c r="H90" s="8"/>
      <c r="I90" s="8"/>
      <c r="J90" s="8"/>
    </row>
    <row r="91" spans="1:10">
      <c r="A91" s="8"/>
      <c r="B91" s="8"/>
      <c r="C91" s="8"/>
      <c r="D91" s="8"/>
      <c r="E91" s="8"/>
      <c r="F91" s="8"/>
      <c r="G91" s="8"/>
      <c r="H91" s="8"/>
      <c r="I91" s="8"/>
      <c r="J91" s="8"/>
    </row>
    <row r="92" spans="1:10">
      <c r="A92" s="8"/>
      <c r="B92" s="8"/>
      <c r="C92" s="8"/>
      <c r="D92" s="8"/>
      <c r="E92" s="8"/>
      <c r="F92" s="8"/>
      <c r="G92" s="8"/>
      <c r="H92" s="8"/>
      <c r="I92" s="8"/>
      <c r="J92" s="8"/>
    </row>
    <row r="93" spans="1:10">
      <c r="A93" s="8"/>
      <c r="B93" s="8"/>
      <c r="C93" s="8"/>
      <c r="D93" s="8"/>
      <c r="E93" s="8"/>
      <c r="F93" s="8"/>
      <c r="G93" s="8"/>
      <c r="H93" s="8"/>
      <c r="I93" s="8"/>
      <c r="J93" s="8"/>
    </row>
    <row r="94" spans="1:10">
      <c r="A94" s="8"/>
      <c r="B94" s="8"/>
      <c r="C94" s="8"/>
      <c r="D94" s="8"/>
      <c r="E94" s="8"/>
      <c r="F94" s="8"/>
      <c r="G94" s="8"/>
      <c r="H94" s="8"/>
      <c r="I94" s="8"/>
      <c r="J94" s="8"/>
    </row>
    <row r="95" spans="1:10">
      <c r="A95" s="8"/>
      <c r="B95" s="8"/>
      <c r="C95" s="8"/>
      <c r="D95" s="8"/>
      <c r="E95" s="8"/>
      <c r="F95" s="8"/>
      <c r="G95" s="8"/>
      <c r="H95" s="8"/>
      <c r="I95" s="8"/>
      <c r="J95" s="8"/>
    </row>
    <row r="96" spans="1:10">
      <c r="A96" s="8"/>
      <c r="B96" s="8"/>
      <c r="C96" s="8"/>
      <c r="D96" s="8"/>
      <c r="E96" s="8"/>
      <c r="F96" s="8"/>
      <c r="G96" s="8"/>
      <c r="H96" s="8"/>
      <c r="I96" s="8"/>
      <c r="J96" s="8"/>
    </row>
    <row r="97" spans="1:10">
      <c r="A97" s="8"/>
      <c r="B97" s="8"/>
      <c r="C97" s="8"/>
      <c r="D97" s="8"/>
      <c r="E97" s="8"/>
      <c r="F97" s="8"/>
      <c r="G97" s="8"/>
      <c r="H97" s="8"/>
      <c r="I97" s="8"/>
      <c r="J97" s="8"/>
    </row>
    <row r="98" spans="1:10">
      <c r="A98" s="8"/>
      <c r="B98" s="8"/>
      <c r="C98" s="8"/>
      <c r="D98" s="8"/>
      <c r="E98" s="8"/>
      <c r="F98" s="8"/>
      <c r="G98" s="8"/>
      <c r="H98" s="8"/>
      <c r="I98" s="8"/>
      <c r="J98" s="8"/>
    </row>
    <row r="99" spans="1:10">
      <c r="A99" s="8"/>
      <c r="B99" s="8"/>
      <c r="C99" s="8"/>
      <c r="D99" s="8"/>
      <c r="E99" s="8"/>
      <c r="F99" s="8"/>
      <c r="G99" s="8"/>
      <c r="H99" s="8"/>
      <c r="I99" s="8"/>
      <c r="J99" s="8"/>
    </row>
    <row r="100" spans="1:10">
      <c r="A100" s="8"/>
      <c r="B100" s="8"/>
      <c r="C100" s="8"/>
      <c r="D100" s="8"/>
      <c r="E100" s="8"/>
      <c r="F100" s="8"/>
      <c r="G100" s="8"/>
      <c r="H100" s="8"/>
      <c r="I100" s="8"/>
      <c r="J100" s="8"/>
    </row>
  </sheetData>
  <mergeCells count="4">
    <mergeCell ref="E5:G5"/>
    <mergeCell ref="B5:C5"/>
    <mergeCell ref="B3:E3"/>
    <mergeCell ref="B2:E2"/>
  </mergeCells>
  <pageMargins left="0.75" right="0.75" top="1" bottom="1" header="0.5" footer="0.5"/>
  <pageSetup paperSize="0" orientation="portrait" horizontalDpi="0" verticalDpi="0" copie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32"/>
  <dimension ref="A1:J100"/>
  <sheetViews>
    <sheetView workbookViewId="0"/>
  </sheetViews>
  <sheetFormatPr baseColWidth="10" defaultColWidth="9.140625" defaultRowHeight="15"/>
  <cols>
    <col min="2" max="2" width="8.42578125" bestFit="1" customWidth="1"/>
    <col min="3" max="3" width="26" bestFit="1" customWidth="1"/>
    <col min="4" max="4" width="12.28515625" bestFit="1" customWidth="1"/>
    <col min="6" max="6" width="12.5703125" bestFit="1" customWidth="1"/>
    <col min="7" max="7" width="19.42578125" bestFit="1" customWidth="1"/>
    <col min="8" max="8" width="19.5703125" bestFit="1" customWidth="1"/>
  </cols>
  <sheetData>
    <row r="1" spans="1:10">
      <c r="A1" s="8"/>
      <c r="B1" s="8"/>
      <c r="C1" s="8"/>
      <c r="D1" s="8"/>
      <c r="E1" s="8"/>
      <c r="F1" s="8"/>
      <c r="G1" s="8"/>
      <c r="H1" s="8"/>
      <c r="I1" s="8"/>
      <c r="J1" s="8"/>
    </row>
    <row r="2" spans="1:10" ht="18.75" customHeight="1">
      <c r="A2" s="8"/>
      <c r="B2" s="133" t="s">
        <v>1967</v>
      </c>
      <c r="C2" s="93"/>
      <c r="D2" s="93"/>
      <c r="E2" s="93"/>
      <c r="F2" s="8"/>
      <c r="G2" s="8"/>
      <c r="H2" s="8"/>
      <c r="I2" s="8"/>
      <c r="J2" s="8"/>
    </row>
    <row r="3" spans="1:10">
      <c r="A3" s="8"/>
      <c r="B3" s="137" t="s">
        <v>1968</v>
      </c>
      <c r="C3" s="93"/>
      <c r="D3" s="93"/>
      <c r="E3" s="93"/>
      <c r="F3" s="8"/>
      <c r="G3" s="8"/>
      <c r="H3" s="8"/>
      <c r="I3" s="8"/>
      <c r="J3" s="8"/>
    </row>
    <row r="4" spans="1:10">
      <c r="A4" s="8"/>
      <c r="B4" s="8"/>
      <c r="C4" s="8"/>
      <c r="D4" s="8"/>
      <c r="E4" s="8"/>
      <c r="F4" s="8"/>
      <c r="G4" s="8"/>
      <c r="H4" s="8"/>
      <c r="I4" s="8"/>
      <c r="J4" s="8"/>
    </row>
    <row r="5" spans="1:10">
      <c r="A5" s="8"/>
      <c r="B5" s="136" t="s">
        <v>1969</v>
      </c>
      <c r="C5" s="93"/>
      <c r="D5" s="93"/>
      <c r="E5" s="8"/>
      <c r="F5" s="136" t="s">
        <v>1970</v>
      </c>
      <c r="G5" s="93"/>
      <c r="H5" s="93"/>
      <c r="I5" s="8"/>
      <c r="J5" s="8"/>
    </row>
    <row r="6" spans="1:10">
      <c r="A6" s="8"/>
      <c r="B6" s="17" t="s">
        <v>1971</v>
      </c>
      <c r="C6" s="17" t="s">
        <v>1972</v>
      </c>
      <c r="D6" s="17" t="s">
        <v>221</v>
      </c>
      <c r="E6" s="8"/>
      <c r="F6" s="17" t="s">
        <v>1973</v>
      </c>
      <c r="G6" s="17" t="s">
        <v>1974</v>
      </c>
      <c r="H6" s="17" t="s">
        <v>1975</v>
      </c>
      <c r="I6" s="8"/>
      <c r="J6" s="8"/>
    </row>
    <row r="7" spans="1:10">
      <c r="A7" s="8"/>
      <c r="B7" s="8" t="s">
        <v>1976</v>
      </c>
      <c r="C7" s="8" t="s">
        <v>1311</v>
      </c>
      <c r="D7" s="8"/>
      <c r="E7" s="8"/>
      <c r="F7" s="8" t="s">
        <v>1977</v>
      </c>
      <c r="G7" s="8" t="s">
        <v>940</v>
      </c>
      <c r="H7" s="8"/>
      <c r="I7" s="8"/>
      <c r="J7" s="8"/>
    </row>
    <row r="8" spans="1:10">
      <c r="A8" s="8"/>
      <c r="B8" s="8" t="s">
        <v>1978</v>
      </c>
      <c r="C8" s="8" t="s">
        <v>1330</v>
      </c>
      <c r="D8" s="8"/>
      <c r="E8" s="8"/>
      <c r="F8" s="8" t="s">
        <v>1979</v>
      </c>
      <c r="G8" s="8" t="s">
        <v>1980</v>
      </c>
      <c r="H8" s="8"/>
      <c r="I8" s="8"/>
      <c r="J8" s="8"/>
    </row>
    <row r="9" spans="1:10">
      <c r="A9" s="8"/>
      <c r="B9" s="8" t="s">
        <v>1981</v>
      </c>
      <c r="C9" s="8" t="s">
        <v>1982</v>
      </c>
      <c r="D9" s="8"/>
      <c r="E9" s="8"/>
      <c r="F9" s="8" t="s">
        <v>1983</v>
      </c>
      <c r="G9" s="8" t="s">
        <v>1984</v>
      </c>
      <c r="H9" s="8"/>
      <c r="I9" s="8"/>
      <c r="J9" s="8"/>
    </row>
    <row r="10" spans="1:10">
      <c r="A10" s="8"/>
      <c r="B10" s="8" t="s">
        <v>1985</v>
      </c>
      <c r="C10" s="8" t="s">
        <v>1986</v>
      </c>
      <c r="D10" s="8"/>
      <c r="E10" s="8"/>
      <c r="F10" s="8" t="s">
        <v>1987</v>
      </c>
      <c r="G10" s="8" t="s">
        <v>1988</v>
      </c>
      <c r="H10" s="8"/>
      <c r="I10" s="8"/>
      <c r="J10" s="8"/>
    </row>
    <row r="11" spans="1:10">
      <c r="A11" s="8"/>
      <c r="B11" s="8" t="s">
        <v>1989</v>
      </c>
      <c r="C11" s="8" t="s">
        <v>1307</v>
      </c>
      <c r="D11" s="8"/>
      <c r="E11" s="8"/>
      <c r="F11" s="8" t="s">
        <v>1990</v>
      </c>
      <c r="G11" s="8" t="s">
        <v>1991</v>
      </c>
      <c r="H11" s="8"/>
      <c r="I11" s="8"/>
      <c r="J11" s="8"/>
    </row>
    <row r="12" spans="1:10">
      <c r="A12" s="8"/>
      <c r="B12" s="8" t="s">
        <v>1992</v>
      </c>
      <c r="C12" s="8" t="s">
        <v>1993</v>
      </c>
      <c r="D12" s="8"/>
      <c r="E12" s="8"/>
      <c r="F12" s="8" t="s">
        <v>1994</v>
      </c>
      <c r="G12" s="8" t="s">
        <v>1995</v>
      </c>
      <c r="H12" s="8" t="s">
        <v>982</v>
      </c>
      <c r="I12" s="8"/>
      <c r="J12" s="8"/>
    </row>
    <row r="13" spans="1:10">
      <c r="A13" s="8"/>
      <c r="B13" s="8" t="s">
        <v>1996</v>
      </c>
      <c r="C13" s="8" t="s">
        <v>858</v>
      </c>
      <c r="D13" s="8"/>
      <c r="E13" s="8"/>
      <c r="F13" s="8" t="s">
        <v>1997</v>
      </c>
      <c r="G13" s="8" t="s">
        <v>1998</v>
      </c>
      <c r="H13" s="8" t="s">
        <v>982</v>
      </c>
      <c r="I13" s="8"/>
      <c r="J13" s="8"/>
    </row>
    <row r="14" spans="1:10">
      <c r="A14" s="8"/>
      <c r="B14" s="8" t="s">
        <v>1999</v>
      </c>
      <c r="C14" s="8" t="s">
        <v>2000</v>
      </c>
      <c r="D14" s="8"/>
      <c r="E14" s="8"/>
      <c r="F14" s="8" t="s">
        <v>2001</v>
      </c>
      <c r="G14" s="8" t="s">
        <v>2002</v>
      </c>
      <c r="H14" s="8"/>
      <c r="I14" s="8"/>
      <c r="J14" s="8"/>
    </row>
    <row r="15" spans="1:10">
      <c r="A15" s="8"/>
      <c r="B15" s="8" t="s">
        <v>2003</v>
      </c>
      <c r="C15" s="8" t="s">
        <v>488</v>
      </c>
      <c r="D15" s="8"/>
      <c r="E15" s="8"/>
      <c r="F15" s="8" t="s">
        <v>2004</v>
      </c>
      <c r="G15" s="8" t="s">
        <v>1331</v>
      </c>
      <c r="H15" s="8" t="s">
        <v>2005</v>
      </c>
      <c r="I15" s="8"/>
      <c r="J15" s="8"/>
    </row>
    <row r="16" spans="1:10">
      <c r="A16" s="8"/>
      <c r="B16" s="8" t="s">
        <v>2006</v>
      </c>
      <c r="C16" s="8" t="s">
        <v>2007</v>
      </c>
      <c r="D16" s="8"/>
      <c r="E16" s="8"/>
      <c r="F16" s="8" t="s">
        <v>2008</v>
      </c>
      <c r="G16" s="8" t="s">
        <v>2009</v>
      </c>
      <c r="H16" s="8" t="s">
        <v>2010</v>
      </c>
      <c r="I16" s="8"/>
      <c r="J16" s="8"/>
    </row>
    <row r="17" spans="1:10">
      <c r="A17" s="8"/>
      <c r="B17" s="8"/>
      <c r="C17" s="8"/>
      <c r="D17" s="8"/>
      <c r="E17" s="8"/>
      <c r="F17" s="8"/>
      <c r="G17" s="8"/>
      <c r="H17" s="8"/>
      <c r="I17" s="8"/>
      <c r="J17" s="8"/>
    </row>
    <row r="18" spans="1:10">
      <c r="A18" s="8"/>
      <c r="B18" s="8"/>
      <c r="C18" s="8"/>
      <c r="D18" s="8"/>
      <c r="E18" s="8"/>
      <c r="F18" s="8"/>
      <c r="G18" s="8"/>
      <c r="H18" s="8"/>
      <c r="I18" s="8"/>
      <c r="J18" s="8"/>
    </row>
    <row r="19" spans="1:10">
      <c r="A19" s="8"/>
      <c r="B19" s="8"/>
      <c r="C19" s="8"/>
      <c r="D19" s="8"/>
      <c r="E19" s="8"/>
      <c r="F19" s="8"/>
      <c r="G19" s="8"/>
      <c r="H19" s="8"/>
      <c r="I19" s="8"/>
      <c r="J19" s="8"/>
    </row>
    <row r="20" spans="1:10">
      <c r="A20" s="8"/>
      <c r="B20" s="8"/>
      <c r="C20" s="8"/>
      <c r="D20" s="8"/>
      <c r="E20" s="8"/>
      <c r="F20" s="8"/>
      <c r="G20" s="8"/>
      <c r="H20" s="8"/>
      <c r="I20" s="8"/>
      <c r="J20" s="8"/>
    </row>
    <row r="21" spans="1:10">
      <c r="A21" s="8"/>
      <c r="B21" s="8"/>
      <c r="C21" s="8"/>
      <c r="D21" s="8"/>
      <c r="E21" s="8"/>
      <c r="F21" s="8"/>
      <c r="G21" s="8"/>
      <c r="H21" s="8"/>
      <c r="I21" s="8"/>
      <c r="J21" s="8"/>
    </row>
    <row r="22" spans="1:10">
      <c r="A22" s="8"/>
      <c r="B22" s="8"/>
      <c r="C22" s="8"/>
      <c r="D22" s="8"/>
      <c r="E22" s="8"/>
      <c r="F22" s="8"/>
      <c r="G22" s="8"/>
      <c r="H22" s="8"/>
      <c r="I22" s="8"/>
      <c r="J22" s="8"/>
    </row>
    <row r="23" spans="1:10">
      <c r="A23" s="8"/>
      <c r="B23" s="8"/>
      <c r="C23" s="8"/>
      <c r="D23" s="8"/>
      <c r="E23" s="8"/>
      <c r="F23" s="8"/>
      <c r="G23" s="8"/>
      <c r="H23" s="8"/>
      <c r="I23" s="8"/>
      <c r="J23" s="8"/>
    </row>
    <row r="24" spans="1:10">
      <c r="A24" s="8"/>
      <c r="B24" s="8"/>
      <c r="C24" s="8"/>
      <c r="D24" s="8"/>
      <c r="E24" s="8"/>
      <c r="F24" s="8"/>
      <c r="G24" s="8"/>
      <c r="H24" s="8"/>
      <c r="I24" s="8"/>
      <c r="J24" s="8"/>
    </row>
    <row r="25" spans="1:10">
      <c r="A25" s="8"/>
      <c r="B25" s="8"/>
      <c r="C25" s="8"/>
      <c r="D25" s="8"/>
      <c r="E25" s="8"/>
      <c r="F25" s="8"/>
      <c r="G25" s="8"/>
      <c r="H25" s="8"/>
      <c r="I25" s="8"/>
      <c r="J25" s="8"/>
    </row>
    <row r="26" spans="1:10">
      <c r="A26" s="8"/>
      <c r="B26" s="8"/>
      <c r="C26" s="8"/>
      <c r="D26" s="8"/>
      <c r="E26" s="8"/>
      <c r="F26" s="8"/>
      <c r="G26" s="8"/>
      <c r="H26" s="8"/>
      <c r="I26" s="8"/>
      <c r="J26" s="8"/>
    </row>
    <row r="27" spans="1:10">
      <c r="A27" s="8"/>
      <c r="B27" s="8"/>
      <c r="C27" s="8"/>
      <c r="D27" s="8"/>
      <c r="E27" s="8"/>
      <c r="F27" s="8"/>
      <c r="G27" s="8"/>
      <c r="H27" s="8"/>
      <c r="I27" s="8"/>
      <c r="J27" s="8"/>
    </row>
    <row r="28" spans="1:10">
      <c r="A28" s="8"/>
      <c r="B28" s="8"/>
      <c r="C28" s="8"/>
      <c r="D28" s="8"/>
      <c r="E28" s="8"/>
      <c r="F28" s="8"/>
      <c r="G28" s="8"/>
      <c r="H28" s="8"/>
      <c r="I28" s="8"/>
      <c r="J28" s="8"/>
    </row>
    <row r="29" spans="1:10">
      <c r="A29" s="8"/>
      <c r="B29" s="8"/>
      <c r="C29" s="8"/>
      <c r="D29" s="8"/>
      <c r="E29" s="8"/>
      <c r="F29" s="8"/>
      <c r="G29" s="8"/>
      <c r="H29" s="8"/>
      <c r="I29" s="8"/>
      <c r="J29" s="8"/>
    </row>
    <row r="30" spans="1:10">
      <c r="A30" s="8"/>
      <c r="B30" s="8"/>
      <c r="C30" s="8"/>
      <c r="D30" s="8"/>
      <c r="E30" s="8"/>
      <c r="F30" s="8"/>
      <c r="G30" s="8"/>
      <c r="H30" s="8"/>
      <c r="I30" s="8"/>
      <c r="J30" s="8"/>
    </row>
    <row r="31" spans="1:10">
      <c r="A31" s="8"/>
      <c r="B31" s="8"/>
      <c r="C31" s="8"/>
      <c r="D31" s="8"/>
      <c r="E31" s="8"/>
      <c r="F31" s="8"/>
      <c r="G31" s="8"/>
      <c r="H31" s="8"/>
      <c r="I31" s="8"/>
      <c r="J31" s="8"/>
    </row>
    <row r="32" spans="1:10">
      <c r="A32" s="8"/>
      <c r="B32" s="8"/>
      <c r="C32" s="8"/>
      <c r="D32" s="8"/>
      <c r="E32" s="8"/>
      <c r="F32" s="8"/>
      <c r="G32" s="8"/>
      <c r="H32" s="8"/>
      <c r="I32" s="8"/>
      <c r="J32" s="8"/>
    </row>
    <row r="33" spans="1:10">
      <c r="A33" s="8"/>
      <c r="B33" s="8"/>
      <c r="C33" s="8"/>
      <c r="D33" s="8"/>
      <c r="E33" s="8"/>
      <c r="F33" s="8"/>
      <c r="G33" s="8"/>
      <c r="H33" s="8"/>
      <c r="I33" s="8"/>
      <c r="J33" s="8"/>
    </row>
    <row r="34" spans="1:10">
      <c r="A34" s="8"/>
      <c r="B34" s="8"/>
      <c r="C34" s="8"/>
      <c r="D34" s="8"/>
      <c r="E34" s="8"/>
      <c r="F34" s="8"/>
      <c r="G34" s="8"/>
      <c r="H34" s="8"/>
      <c r="I34" s="8"/>
      <c r="J34" s="8"/>
    </row>
    <row r="35" spans="1:10">
      <c r="A35" s="8"/>
      <c r="B35" s="8"/>
      <c r="C35" s="8"/>
      <c r="D35" s="8"/>
      <c r="E35" s="8"/>
      <c r="F35" s="8"/>
      <c r="G35" s="8"/>
      <c r="H35" s="8"/>
      <c r="I35" s="8"/>
      <c r="J35" s="8"/>
    </row>
    <row r="36" spans="1:10">
      <c r="A36" s="8"/>
      <c r="B36" s="8"/>
      <c r="C36" s="8"/>
      <c r="D36" s="8"/>
      <c r="E36" s="8"/>
      <c r="F36" s="8"/>
      <c r="G36" s="8"/>
      <c r="H36" s="8"/>
      <c r="I36" s="8"/>
      <c r="J36" s="8"/>
    </row>
    <row r="37" spans="1:10">
      <c r="A37" s="8"/>
      <c r="B37" s="8"/>
      <c r="C37" s="8"/>
      <c r="D37" s="8"/>
      <c r="E37" s="8"/>
      <c r="F37" s="8"/>
      <c r="G37" s="8"/>
      <c r="H37" s="8"/>
      <c r="I37" s="8"/>
      <c r="J37" s="8"/>
    </row>
    <row r="38" spans="1:10">
      <c r="A38" s="8"/>
      <c r="B38" s="8"/>
      <c r="C38" s="8"/>
      <c r="D38" s="8"/>
      <c r="E38" s="8"/>
      <c r="F38" s="8"/>
      <c r="G38" s="8"/>
      <c r="H38" s="8"/>
      <c r="I38" s="8"/>
      <c r="J38" s="8"/>
    </row>
    <row r="39" spans="1:10">
      <c r="A39" s="8"/>
      <c r="B39" s="8"/>
      <c r="C39" s="8"/>
      <c r="D39" s="8"/>
      <c r="E39" s="8"/>
      <c r="F39" s="8"/>
      <c r="G39" s="8"/>
      <c r="H39" s="8"/>
      <c r="I39" s="8"/>
      <c r="J39" s="8"/>
    </row>
    <row r="40" spans="1:10">
      <c r="A40" s="8"/>
      <c r="B40" s="8"/>
      <c r="C40" s="8"/>
      <c r="D40" s="8"/>
      <c r="E40" s="8"/>
      <c r="F40" s="8"/>
      <c r="G40" s="8"/>
      <c r="H40" s="8"/>
      <c r="I40" s="8"/>
      <c r="J40" s="8"/>
    </row>
    <row r="41" spans="1:10">
      <c r="A41" s="8"/>
      <c r="B41" s="8"/>
      <c r="C41" s="8"/>
      <c r="D41" s="8"/>
      <c r="E41" s="8"/>
      <c r="F41" s="8"/>
      <c r="G41" s="8"/>
      <c r="H41" s="8"/>
      <c r="I41" s="8"/>
      <c r="J41" s="8"/>
    </row>
    <row r="42" spans="1:10">
      <c r="A42" s="8"/>
      <c r="B42" s="8"/>
      <c r="C42" s="8"/>
      <c r="D42" s="8"/>
      <c r="E42" s="8"/>
      <c r="F42" s="8"/>
      <c r="G42" s="8"/>
      <c r="H42" s="8"/>
      <c r="I42" s="8"/>
      <c r="J42" s="8"/>
    </row>
    <row r="43" spans="1:10">
      <c r="A43" s="8"/>
      <c r="B43" s="8"/>
      <c r="C43" s="8"/>
      <c r="D43" s="8"/>
      <c r="E43" s="8"/>
      <c r="F43" s="8"/>
      <c r="G43" s="8"/>
      <c r="H43" s="8"/>
      <c r="I43" s="8"/>
      <c r="J43" s="8"/>
    </row>
    <row r="44" spans="1:10">
      <c r="A44" s="8"/>
      <c r="B44" s="8"/>
      <c r="C44" s="8"/>
      <c r="D44" s="8"/>
      <c r="E44" s="8"/>
      <c r="F44" s="8"/>
      <c r="G44" s="8"/>
      <c r="H44" s="8"/>
      <c r="I44" s="8"/>
      <c r="J44" s="8"/>
    </row>
    <row r="45" spans="1:10">
      <c r="A45" s="8"/>
      <c r="B45" s="8"/>
      <c r="C45" s="8"/>
      <c r="D45" s="8"/>
      <c r="E45" s="8"/>
      <c r="F45" s="8"/>
      <c r="G45" s="8"/>
      <c r="H45" s="8"/>
      <c r="I45" s="8"/>
      <c r="J45" s="8"/>
    </row>
    <row r="46" spans="1:10">
      <c r="A46" s="8"/>
      <c r="B46" s="8"/>
      <c r="C46" s="8"/>
      <c r="D46" s="8"/>
      <c r="E46" s="8"/>
      <c r="F46" s="8"/>
      <c r="G46" s="8"/>
      <c r="H46" s="8"/>
      <c r="I46" s="8"/>
      <c r="J46" s="8"/>
    </row>
    <row r="47" spans="1:10">
      <c r="A47" s="8"/>
      <c r="B47" s="8"/>
      <c r="C47" s="8"/>
      <c r="D47" s="8"/>
      <c r="E47" s="8"/>
      <c r="F47" s="8"/>
      <c r="G47" s="8"/>
      <c r="H47" s="8"/>
      <c r="I47" s="8"/>
      <c r="J47" s="8"/>
    </row>
    <row r="48" spans="1:10">
      <c r="A48" s="8"/>
      <c r="B48" s="8"/>
      <c r="C48" s="8"/>
      <c r="D48" s="8"/>
      <c r="E48" s="8"/>
      <c r="F48" s="8"/>
      <c r="G48" s="8"/>
      <c r="H48" s="8"/>
      <c r="I48" s="8"/>
      <c r="J48" s="8"/>
    </row>
    <row r="49" spans="1:10">
      <c r="A49" s="8"/>
      <c r="B49" s="8"/>
      <c r="C49" s="8"/>
      <c r="D49" s="8"/>
      <c r="E49" s="8"/>
      <c r="F49" s="8"/>
      <c r="G49" s="8"/>
      <c r="H49" s="8"/>
      <c r="I49" s="8"/>
      <c r="J49" s="8"/>
    </row>
    <row r="50" spans="1:10">
      <c r="A50" s="8"/>
      <c r="B50" s="8"/>
      <c r="C50" s="8"/>
      <c r="D50" s="8"/>
      <c r="E50" s="8"/>
      <c r="F50" s="8"/>
      <c r="G50" s="8"/>
      <c r="H50" s="8"/>
      <c r="I50" s="8"/>
      <c r="J50" s="8"/>
    </row>
    <row r="51" spans="1:10">
      <c r="A51" s="8"/>
      <c r="B51" s="8"/>
      <c r="C51" s="8"/>
      <c r="D51" s="8"/>
      <c r="E51" s="8"/>
      <c r="F51" s="8"/>
      <c r="G51" s="8"/>
      <c r="H51" s="8"/>
      <c r="I51" s="8"/>
      <c r="J51" s="8"/>
    </row>
    <row r="52" spans="1:10">
      <c r="A52" s="8"/>
      <c r="B52" s="8"/>
      <c r="C52" s="8"/>
      <c r="D52" s="8"/>
      <c r="E52" s="8"/>
      <c r="F52" s="8"/>
      <c r="G52" s="8"/>
      <c r="H52" s="8"/>
      <c r="I52" s="8"/>
      <c r="J52" s="8"/>
    </row>
    <row r="53" spans="1:10">
      <c r="A53" s="8"/>
      <c r="B53" s="8"/>
      <c r="C53" s="8"/>
      <c r="D53" s="8"/>
      <c r="E53" s="8"/>
      <c r="F53" s="8"/>
      <c r="G53" s="8"/>
      <c r="H53" s="8"/>
      <c r="I53" s="8"/>
      <c r="J53" s="8"/>
    </row>
    <row r="54" spans="1:10">
      <c r="A54" s="8"/>
      <c r="B54" s="8"/>
      <c r="C54" s="8"/>
      <c r="D54" s="8"/>
      <c r="E54" s="8"/>
      <c r="F54" s="8"/>
      <c r="G54" s="8"/>
      <c r="H54" s="8"/>
      <c r="I54" s="8"/>
      <c r="J54" s="8"/>
    </row>
    <row r="55" spans="1:10">
      <c r="A55" s="8"/>
      <c r="B55" s="8"/>
      <c r="C55" s="8"/>
      <c r="D55" s="8"/>
      <c r="E55" s="8"/>
      <c r="F55" s="8"/>
      <c r="G55" s="8"/>
      <c r="H55" s="8"/>
      <c r="I55" s="8"/>
      <c r="J55" s="8"/>
    </row>
    <row r="56" spans="1:10">
      <c r="A56" s="8"/>
      <c r="B56" s="8"/>
      <c r="C56" s="8"/>
      <c r="D56" s="8"/>
      <c r="E56" s="8"/>
      <c r="F56" s="8"/>
      <c r="G56" s="8"/>
      <c r="H56" s="8"/>
      <c r="I56" s="8"/>
      <c r="J56" s="8"/>
    </row>
    <row r="57" spans="1:10">
      <c r="A57" s="8"/>
      <c r="B57" s="8"/>
      <c r="C57" s="8"/>
      <c r="D57" s="8"/>
      <c r="E57" s="8"/>
      <c r="F57" s="8"/>
      <c r="G57" s="8"/>
      <c r="H57" s="8"/>
      <c r="I57" s="8"/>
      <c r="J57" s="8"/>
    </row>
    <row r="58" spans="1:10">
      <c r="A58" s="8"/>
      <c r="B58" s="8"/>
      <c r="C58" s="8"/>
      <c r="D58" s="8"/>
      <c r="E58" s="8"/>
      <c r="F58" s="8"/>
      <c r="G58" s="8"/>
      <c r="H58" s="8"/>
      <c r="I58" s="8"/>
      <c r="J58" s="8"/>
    </row>
    <row r="59" spans="1:10">
      <c r="A59" s="8"/>
      <c r="B59" s="8"/>
      <c r="C59" s="8"/>
      <c r="D59" s="8"/>
      <c r="E59" s="8"/>
      <c r="F59" s="8"/>
      <c r="G59" s="8"/>
      <c r="H59" s="8"/>
      <c r="I59" s="8"/>
      <c r="J59" s="8"/>
    </row>
    <row r="60" spans="1:10">
      <c r="A60" s="8"/>
      <c r="B60" s="8"/>
      <c r="C60" s="8"/>
      <c r="D60" s="8"/>
      <c r="E60" s="8"/>
      <c r="F60" s="8"/>
      <c r="G60" s="8"/>
      <c r="H60" s="8"/>
      <c r="I60" s="8"/>
      <c r="J60" s="8"/>
    </row>
    <row r="61" spans="1:10">
      <c r="A61" s="8"/>
      <c r="B61" s="8"/>
      <c r="C61" s="8"/>
      <c r="D61" s="8"/>
      <c r="E61" s="8"/>
      <c r="F61" s="8"/>
      <c r="G61" s="8"/>
      <c r="H61" s="8"/>
      <c r="I61" s="8"/>
      <c r="J61" s="8"/>
    </row>
    <row r="62" spans="1:10">
      <c r="A62" s="8"/>
      <c r="B62" s="8"/>
      <c r="C62" s="8"/>
      <c r="D62" s="8"/>
      <c r="E62" s="8"/>
      <c r="F62" s="8"/>
      <c r="G62" s="8"/>
      <c r="H62" s="8"/>
      <c r="I62" s="8"/>
      <c r="J62" s="8"/>
    </row>
    <row r="63" spans="1:10">
      <c r="A63" s="8"/>
      <c r="B63" s="8"/>
      <c r="C63" s="8"/>
      <c r="D63" s="8"/>
      <c r="E63" s="8"/>
      <c r="F63" s="8"/>
      <c r="G63" s="8"/>
      <c r="H63" s="8"/>
      <c r="I63" s="8"/>
      <c r="J63" s="8"/>
    </row>
    <row r="64" spans="1:10">
      <c r="A64" s="8"/>
      <c r="B64" s="8"/>
      <c r="C64" s="8"/>
      <c r="D64" s="8"/>
      <c r="E64" s="8"/>
      <c r="F64" s="8"/>
      <c r="G64" s="8"/>
      <c r="H64" s="8"/>
      <c r="I64" s="8"/>
      <c r="J64" s="8"/>
    </row>
    <row r="65" spans="1:10">
      <c r="A65" s="8"/>
      <c r="B65" s="8"/>
      <c r="C65" s="8"/>
      <c r="D65" s="8"/>
      <c r="E65" s="8"/>
      <c r="F65" s="8"/>
      <c r="G65" s="8"/>
      <c r="H65" s="8"/>
      <c r="I65" s="8"/>
      <c r="J65" s="8"/>
    </row>
    <row r="66" spans="1:10">
      <c r="A66" s="8"/>
      <c r="B66" s="8"/>
      <c r="C66" s="8"/>
      <c r="D66" s="8"/>
      <c r="E66" s="8"/>
      <c r="F66" s="8"/>
      <c r="G66" s="8"/>
      <c r="H66" s="8"/>
      <c r="I66" s="8"/>
      <c r="J66" s="8"/>
    </row>
    <row r="67" spans="1:10">
      <c r="A67" s="8"/>
      <c r="B67" s="8"/>
      <c r="C67" s="8"/>
      <c r="D67" s="8"/>
      <c r="E67" s="8"/>
      <c r="F67" s="8"/>
      <c r="G67" s="8"/>
      <c r="H67" s="8"/>
      <c r="I67" s="8"/>
      <c r="J67" s="8"/>
    </row>
    <row r="68" spans="1:10">
      <c r="A68" s="8"/>
      <c r="B68" s="8"/>
      <c r="C68" s="8"/>
      <c r="D68" s="8"/>
      <c r="E68" s="8"/>
      <c r="F68" s="8"/>
      <c r="G68" s="8"/>
      <c r="H68" s="8"/>
      <c r="I68" s="8"/>
      <c r="J68" s="8"/>
    </row>
    <row r="69" spans="1:10">
      <c r="A69" s="8"/>
      <c r="B69" s="8"/>
      <c r="C69" s="8"/>
      <c r="D69" s="8"/>
      <c r="E69" s="8"/>
      <c r="F69" s="8"/>
      <c r="G69" s="8"/>
      <c r="H69" s="8"/>
      <c r="I69" s="8"/>
      <c r="J69" s="8"/>
    </row>
    <row r="70" spans="1:10">
      <c r="A70" s="8"/>
      <c r="B70" s="8"/>
      <c r="C70" s="8"/>
      <c r="D70" s="8"/>
      <c r="E70" s="8"/>
      <c r="F70" s="8"/>
      <c r="G70" s="8"/>
      <c r="H70" s="8"/>
      <c r="I70" s="8"/>
      <c r="J70" s="8"/>
    </row>
    <row r="71" spans="1:10">
      <c r="A71" s="8"/>
      <c r="B71" s="8"/>
      <c r="C71" s="8"/>
      <c r="D71" s="8"/>
      <c r="E71" s="8"/>
      <c r="F71" s="8"/>
      <c r="G71" s="8"/>
      <c r="H71" s="8"/>
      <c r="I71" s="8"/>
      <c r="J71" s="8"/>
    </row>
    <row r="72" spans="1:10">
      <c r="A72" s="8"/>
      <c r="B72" s="8"/>
      <c r="C72" s="8"/>
      <c r="D72" s="8"/>
      <c r="E72" s="8"/>
      <c r="F72" s="8"/>
      <c r="G72" s="8"/>
      <c r="H72" s="8"/>
      <c r="I72" s="8"/>
      <c r="J72" s="8"/>
    </row>
    <row r="73" spans="1:10">
      <c r="A73" s="8"/>
      <c r="B73" s="8"/>
      <c r="C73" s="8"/>
      <c r="D73" s="8"/>
      <c r="E73" s="8"/>
      <c r="F73" s="8"/>
      <c r="G73" s="8"/>
      <c r="H73" s="8"/>
      <c r="I73" s="8"/>
      <c r="J73" s="8"/>
    </row>
    <row r="74" spans="1:10">
      <c r="A74" s="8"/>
      <c r="B74" s="8"/>
      <c r="C74" s="8"/>
      <c r="D74" s="8"/>
      <c r="E74" s="8"/>
      <c r="F74" s="8"/>
      <c r="G74" s="8"/>
      <c r="H74" s="8"/>
      <c r="I74" s="8"/>
      <c r="J74" s="8"/>
    </row>
    <row r="75" spans="1:10">
      <c r="A75" s="8"/>
      <c r="B75" s="8"/>
      <c r="C75" s="8"/>
      <c r="D75" s="8"/>
      <c r="E75" s="8"/>
      <c r="F75" s="8"/>
      <c r="G75" s="8"/>
      <c r="H75" s="8"/>
      <c r="I75" s="8"/>
      <c r="J75" s="8"/>
    </row>
    <row r="76" spans="1:10">
      <c r="A76" s="8"/>
      <c r="B76" s="8"/>
      <c r="C76" s="8"/>
      <c r="D76" s="8"/>
      <c r="E76" s="8"/>
      <c r="F76" s="8"/>
      <c r="G76" s="8"/>
      <c r="H76" s="8"/>
      <c r="I76" s="8"/>
      <c r="J76" s="8"/>
    </row>
    <row r="77" spans="1:10">
      <c r="A77" s="8"/>
      <c r="B77" s="8"/>
      <c r="C77" s="8"/>
      <c r="D77" s="8"/>
      <c r="E77" s="8"/>
      <c r="F77" s="8"/>
      <c r="G77" s="8"/>
      <c r="H77" s="8"/>
      <c r="I77" s="8"/>
      <c r="J77" s="8"/>
    </row>
    <row r="78" spans="1:10">
      <c r="A78" s="8"/>
      <c r="B78" s="8"/>
      <c r="C78" s="8"/>
      <c r="D78" s="8"/>
      <c r="E78" s="8"/>
      <c r="F78" s="8"/>
      <c r="G78" s="8"/>
      <c r="H78" s="8"/>
      <c r="I78" s="8"/>
      <c r="J78" s="8"/>
    </row>
    <row r="79" spans="1:10">
      <c r="A79" s="8"/>
      <c r="B79" s="8"/>
      <c r="C79" s="8"/>
      <c r="D79" s="8"/>
      <c r="E79" s="8"/>
      <c r="F79" s="8"/>
      <c r="G79" s="8"/>
      <c r="H79" s="8"/>
      <c r="I79" s="8"/>
      <c r="J79" s="8"/>
    </row>
    <row r="80" spans="1:10">
      <c r="A80" s="8"/>
      <c r="B80" s="8"/>
      <c r="C80" s="8"/>
      <c r="D80" s="8"/>
      <c r="E80" s="8"/>
      <c r="F80" s="8"/>
      <c r="G80" s="8"/>
      <c r="H80" s="8"/>
      <c r="I80" s="8"/>
      <c r="J80" s="8"/>
    </row>
    <row r="81" spans="1:10">
      <c r="A81" s="8"/>
      <c r="B81" s="8"/>
      <c r="C81" s="8"/>
      <c r="D81" s="8"/>
      <c r="E81" s="8"/>
      <c r="F81" s="8"/>
      <c r="G81" s="8"/>
      <c r="H81" s="8"/>
      <c r="I81" s="8"/>
      <c r="J81" s="8"/>
    </row>
    <row r="82" spans="1:10">
      <c r="A82" s="8"/>
      <c r="B82" s="8"/>
      <c r="C82" s="8"/>
      <c r="D82" s="8"/>
      <c r="E82" s="8"/>
      <c r="F82" s="8"/>
      <c r="G82" s="8"/>
      <c r="H82" s="8"/>
      <c r="I82" s="8"/>
      <c r="J82" s="8"/>
    </row>
    <row r="83" spans="1:10">
      <c r="A83" s="8"/>
      <c r="B83" s="8"/>
      <c r="C83" s="8"/>
      <c r="D83" s="8"/>
      <c r="E83" s="8"/>
      <c r="F83" s="8"/>
      <c r="G83" s="8"/>
      <c r="H83" s="8"/>
      <c r="I83" s="8"/>
      <c r="J83" s="8"/>
    </row>
    <row r="84" spans="1:10">
      <c r="A84" s="8"/>
      <c r="B84" s="8"/>
      <c r="C84" s="8"/>
      <c r="D84" s="8"/>
      <c r="E84" s="8"/>
      <c r="F84" s="8"/>
      <c r="G84" s="8"/>
      <c r="H84" s="8"/>
      <c r="I84" s="8"/>
      <c r="J84" s="8"/>
    </row>
    <row r="85" spans="1:10">
      <c r="A85" s="8"/>
      <c r="B85" s="8"/>
      <c r="C85" s="8"/>
      <c r="D85" s="8"/>
      <c r="E85" s="8"/>
      <c r="F85" s="8"/>
      <c r="G85" s="8"/>
      <c r="H85" s="8"/>
      <c r="I85" s="8"/>
      <c r="J85" s="8"/>
    </row>
    <row r="86" spans="1:10">
      <c r="A86" s="8"/>
      <c r="B86" s="8"/>
      <c r="C86" s="8"/>
      <c r="D86" s="8"/>
      <c r="E86" s="8"/>
      <c r="F86" s="8"/>
      <c r="G86" s="8"/>
      <c r="H86" s="8"/>
      <c r="I86" s="8"/>
      <c r="J86" s="8"/>
    </row>
    <row r="87" spans="1:10">
      <c r="A87" s="8"/>
      <c r="B87" s="8"/>
      <c r="C87" s="8"/>
      <c r="D87" s="8"/>
      <c r="E87" s="8"/>
      <c r="F87" s="8"/>
      <c r="G87" s="8"/>
      <c r="H87" s="8"/>
      <c r="I87" s="8"/>
      <c r="J87" s="8"/>
    </row>
    <row r="88" spans="1:10">
      <c r="A88" s="8"/>
      <c r="B88" s="8"/>
      <c r="C88" s="8"/>
      <c r="D88" s="8"/>
      <c r="E88" s="8"/>
      <c r="F88" s="8"/>
      <c r="G88" s="8"/>
      <c r="H88" s="8"/>
      <c r="I88" s="8"/>
      <c r="J88" s="8"/>
    </row>
    <row r="89" spans="1:10">
      <c r="A89" s="8"/>
      <c r="B89" s="8"/>
      <c r="C89" s="8"/>
      <c r="D89" s="8"/>
      <c r="E89" s="8"/>
      <c r="F89" s="8"/>
      <c r="G89" s="8"/>
      <c r="H89" s="8"/>
      <c r="I89" s="8"/>
      <c r="J89" s="8"/>
    </row>
    <row r="90" spans="1:10">
      <c r="A90" s="8"/>
      <c r="B90" s="8"/>
      <c r="C90" s="8"/>
      <c r="D90" s="8"/>
      <c r="E90" s="8"/>
      <c r="F90" s="8"/>
      <c r="G90" s="8"/>
      <c r="H90" s="8"/>
      <c r="I90" s="8"/>
      <c r="J90" s="8"/>
    </row>
    <row r="91" spans="1:10">
      <c r="A91" s="8"/>
      <c r="B91" s="8"/>
      <c r="C91" s="8"/>
      <c r="D91" s="8"/>
      <c r="E91" s="8"/>
      <c r="F91" s="8"/>
      <c r="G91" s="8"/>
      <c r="H91" s="8"/>
      <c r="I91" s="8"/>
      <c r="J91" s="8"/>
    </row>
    <row r="92" spans="1:10">
      <c r="A92" s="8"/>
      <c r="B92" s="8"/>
      <c r="C92" s="8"/>
      <c r="D92" s="8"/>
      <c r="E92" s="8"/>
      <c r="F92" s="8"/>
      <c r="G92" s="8"/>
      <c r="H92" s="8"/>
      <c r="I92" s="8"/>
      <c r="J92" s="8"/>
    </row>
    <row r="93" spans="1:10">
      <c r="A93" s="8"/>
      <c r="B93" s="8"/>
      <c r="C93" s="8"/>
      <c r="D93" s="8"/>
      <c r="E93" s="8"/>
      <c r="F93" s="8"/>
      <c r="G93" s="8"/>
      <c r="H93" s="8"/>
      <c r="I93" s="8"/>
      <c r="J93" s="8"/>
    </row>
    <row r="94" spans="1:10">
      <c r="A94" s="8"/>
      <c r="B94" s="8"/>
      <c r="C94" s="8"/>
      <c r="D94" s="8"/>
      <c r="E94" s="8"/>
      <c r="F94" s="8"/>
      <c r="G94" s="8"/>
      <c r="H94" s="8"/>
      <c r="I94" s="8"/>
      <c r="J94" s="8"/>
    </row>
    <row r="95" spans="1:10">
      <c r="A95" s="8"/>
      <c r="B95" s="8"/>
      <c r="C95" s="8"/>
      <c r="D95" s="8"/>
      <c r="E95" s="8"/>
      <c r="F95" s="8"/>
      <c r="G95" s="8"/>
      <c r="H95" s="8"/>
      <c r="I95" s="8"/>
      <c r="J95" s="8"/>
    </row>
    <row r="96" spans="1:10">
      <c r="A96" s="8"/>
      <c r="B96" s="8"/>
      <c r="C96" s="8"/>
      <c r="D96" s="8"/>
      <c r="E96" s="8"/>
      <c r="F96" s="8"/>
      <c r="G96" s="8"/>
      <c r="H96" s="8"/>
      <c r="I96" s="8"/>
      <c r="J96" s="8"/>
    </row>
    <row r="97" spans="1:10">
      <c r="A97" s="8"/>
      <c r="B97" s="8"/>
      <c r="C97" s="8"/>
      <c r="D97" s="8"/>
      <c r="E97" s="8"/>
      <c r="F97" s="8"/>
      <c r="G97" s="8"/>
      <c r="H97" s="8"/>
      <c r="I97" s="8"/>
      <c r="J97" s="8"/>
    </row>
    <row r="98" spans="1:10">
      <c r="A98" s="8"/>
      <c r="B98" s="8"/>
      <c r="C98" s="8"/>
      <c r="D98" s="8"/>
      <c r="E98" s="8"/>
      <c r="F98" s="8"/>
      <c r="G98" s="8"/>
      <c r="H98" s="8"/>
      <c r="I98" s="8"/>
      <c r="J98" s="8"/>
    </row>
    <row r="99" spans="1:10">
      <c r="A99" s="8"/>
      <c r="B99" s="8"/>
      <c r="C99" s="8"/>
      <c r="D99" s="8"/>
      <c r="E99" s="8"/>
      <c r="F99" s="8"/>
      <c r="G99" s="8"/>
      <c r="H99" s="8"/>
      <c r="I99" s="8"/>
      <c r="J99" s="8"/>
    </row>
    <row r="100" spans="1:10">
      <c r="A100" s="8"/>
      <c r="B100" s="8"/>
      <c r="C100" s="8"/>
      <c r="D100" s="8"/>
      <c r="E100" s="8"/>
      <c r="F100" s="8"/>
      <c r="G100" s="8"/>
      <c r="H100" s="8"/>
      <c r="I100" s="8"/>
      <c r="J100" s="8"/>
    </row>
  </sheetData>
  <mergeCells count="4">
    <mergeCell ref="B5:D5"/>
    <mergeCell ref="B3:E3"/>
    <mergeCell ref="B2:E2"/>
    <mergeCell ref="F5:H5"/>
  </mergeCells>
  <pageMargins left="0.75" right="0.75" top="1" bottom="1" header="0.5" footer="0.5"/>
  <pageSetup paperSize="0" orientation="portrait" horizontalDpi="0" verticalDpi="0" copie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33"/>
  <dimension ref="A1:J100"/>
  <sheetViews>
    <sheetView workbookViewId="0"/>
  </sheetViews>
  <sheetFormatPr baseColWidth="10" defaultColWidth="9.140625" defaultRowHeight="15"/>
  <cols>
    <col min="2" max="2" width="8.5703125" bestFit="1" customWidth="1"/>
    <col min="3" max="3" width="25.7109375" bestFit="1" customWidth="1"/>
    <col min="5" max="5" width="11.5703125" bestFit="1" customWidth="1"/>
    <col min="6" max="6" width="25.7109375" bestFit="1" customWidth="1"/>
    <col min="7" max="7" width="23.85546875" bestFit="1" customWidth="1"/>
  </cols>
  <sheetData>
    <row r="1" spans="1:10">
      <c r="A1" s="8"/>
      <c r="B1" s="8"/>
      <c r="C1" s="8"/>
      <c r="D1" s="8"/>
      <c r="E1" s="8"/>
      <c r="F1" s="8"/>
      <c r="G1" s="8"/>
      <c r="H1" s="8"/>
      <c r="I1" s="8"/>
      <c r="J1" s="8"/>
    </row>
    <row r="2" spans="1:10" ht="18.75" customHeight="1">
      <c r="A2" s="8"/>
      <c r="B2" s="133" t="s">
        <v>2011</v>
      </c>
      <c r="C2" s="93"/>
      <c r="D2" s="93"/>
      <c r="E2" s="93"/>
      <c r="F2" s="93"/>
      <c r="G2" s="8"/>
      <c r="H2" s="8"/>
      <c r="I2" s="8"/>
      <c r="J2" s="8"/>
    </row>
    <row r="3" spans="1:10">
      <c r="A3" s="8"/>
      <c r="B3" s="137" t="s">
        <v>2012</v>
      </c>
      <c r="C3" s="93"/>
      <c r="D3" s="93"/>
      <c r="E3" s="93"/>
      <c r="F3" s="93"/>
      <c r="G3" s="8"/>
      <c r="H3" s="8"/>
      <c r="I3" s="8"/>
      <c r="J3" s="8"/>
    </row>
    <row r="4" spans="1:10">
      <c r="A4" s="8"/>
      <c r="B4" s="8"/>
      <c r="C4" s="8"/>
      <c r="D4" s="8"/>
      <c r="E4" s="8"/>
      <c r="F4" s="8"/>
      <c r="G4" s="8"/>
      <c r="H4" s="8"/>
      <c r="I4" s="8"/>
      <c r="J4" s="8"/>
    </row>
    <row r="5" spans="1:10">
      <c r="A5" s="8"/>
      <c r="B5" s="136" t="s">
        <v>2013</v>
      </c>
      <c r="C5" s="93"/>
      <c r="D5" s="8"/>
      <c r="E5" s="136" t="s">
        <v>2014</v>
      </c>
      <c r="F5" s="93"/>
      <c r="G5" s="93"/>
      <c r="H5" s="8"/>
      <c r="I5" s="8"/>
      <c r="J5" s="8"/>
    </row>
    <row r="6" spans="1:10">
      <c r="A6" s="8"/>
      <c r="B6" s="17" t="s">
        <v>2015</v>
      </c>
      <c r="C6" s="17" t="s">
        <v>2016</v>
      </c>
      <c r="D6" s="8"/>
      <c r="E6" s="17" t="s">
        <v>2017</v>
      </c>
      <c r="F6" s="17" t="s">
        <v>2018</v>
      </c>
      <c r="G6" s="17" t="s">
        <v>2019</v>
      </c>
      <c r="H6" s="8"/>
      <c r="I6" s="8"/>
      <c r="J6" s="8"/>
    </row>
    <row r="7" spans="1:10">
      <c r="A7" s="8"/>
      <c r="B7" s="8" t="s">
        <v>2020</v>
      </c>
      <c r="C7" s="8" t="s">
        <v>1320</v>
      </c>
      <c r="D7" s="8"/>
      <c r="E7" s="8" t="s">
        <v>2021</v>
      </c>
      <c r="F7" s="8" t="s">
        <v>1320</v>
      </c>
      <c r="G7" s="8" t="s">
        <v>2022</v>
      </c>
      <c r="H7" s="8"/>
      <c r="I7" s="8"/>
      <c r="J7" s="8"/>
    </row>
    <row r="8" spans="1:10">
      <c r="A8" s="8"/>
      <c r="B8" s="8" t="s">
        <v>2023</v>
      </c>
      <c r="C8" s="8" t="s">
        <v>2024</v>
      </c>
      <c r="D8" s="8"/>
      <c r="E8" s="8" t="s">
        <v>2025</v>
      </c>
      <c r="F8" s="8" t="s">
        <v>1320</v>
      </c>
      <c r="G8" s="8" t="s">
        <v>1321</v>
      </c>
      <c r="H8" s="8"/>
      <c r="I8" s="8"/>
      <c r="J8" s="8"/>
    </row>
    <row r="9" spans="1:10">
      <c r="A9" s="8"/>
      <c r="B9" s="8" t="s">
        <v>2026</v>
      </c>
      <c r="C9" s="8" t="s">
        <v>2027</v>
      </c>
      <c r="D9" s="8"/>
      <c r="E9" s="8" t="s">
        <v>2028</v>
      </c>
      <c r="F9" s="8" t="s">
        <v>2024</v>
      </c>
      <c r="G9" s="8" t="s">
        <v>2029</v>
      </c>
      <c r="H9" s="8"/>
      <c r="I9" s="8"/>
      <c r="J9" s="8"/>
    </row>
    <row r="10" spans="1:10">
      <c r="A10" s="8"/>
      <c r="B10" s="8" t="s">
        <v>2030</v>
      </c>
      <c r="C10" s="8" t="s">
        <v>1309</v>
      </c>
      <c r="D10" s="8"/>
      <c r="E10" s="8" t="s">
        <v>2031</v>
      </c>
      <c r="F10" s="8" t="s">
        <v>2024</v>
      </c>
      <c r="G10" s="8" t="s">
        <v>2032</v>
      </c>
      <c r="H10" s="8"/>
      <c r="I10" s="8"/>
      <c r="J10" s="8"/>
    </row>
    <row r="11" spans="1:10">
      <c r="A11" s="8"/>
      <c r="B11" s="8" t="s">
        <v>2033</v>
      </c>
      <c r="C11" s="8" t="s">
        <v>1328</v>
      </c>
      <c r="D11" s="8"/>
      <c r="E11" s="8" t="s">
        <v>2034</v>
      </c>
      <c r="F11" s="8" t="s">
        <v>2027</v>
      </c>
      <c r="G11" s="8" t="s">
        <v>2035</v>
      </c>
      <c r="H11" s="8"/>
      <c r="I11" s="8"/>
      <c r="J11" s="8"/>
    </row>
    <row r="12" spans="1:10">
      <c r="A12" s="8"/>
      <c r="B12" s="8" t="s">
        <v>2036</v>
      </c>
      <c r="C12" s="8" t="s">
        <v>2037</v>
      </c>
      <c r="D12" s="8"/>
      <c r="E12" s="8" t="s">
        <v>2038</v>
      </c>
      <c r="F12" s="8" t="s">
        <v>2027</v>
      </c>
      <c r="G12" s="8" t="s">
        <v>2039</v>
      </c>
      <c r="H12" s="8"/>
      <c r="I12" s="8"/>
      <c r="J12" s="8"/>
    </row>
    <row r="13" spans="1:10">
      <c r="A13" s="8"/>
      <c r="B13" s="8" t="s">
        <v>2040</v>
      </c>
      <c r="C13" s="8" t="s">
        <v>2041</v>
      </c>
      <c r="D13" s="8"/>
      <c r="E13" s="8" t="s">
        <v>2042</v>
      </c>
      <c r="F13" s="8" t="s">
        <v>1309</v>
      </c>
      <c r="G13" s="8" t="s">
        <v>2043</v>
      </c>
      <c r="H13" s="8"/>
      <c r="I13" s="8"/>
      <c r="J13" s="8"/>
    </row>
    <row r="14" spans="1:10">
      <c r="A14" s="8"/>
      <c r="B14" s="8" t="s">
        <v>2044</v>
      </c>
      <c r="C14" s="8" t="s">
        <v>2045</v>
      </c>
      <c r="D14" s="8"/>
      <c r="E14" s="8" t="s">
        <v>2046</v>
      </c>
      <c r="F14" s="8" t="s">
        <v>1309</v>
      </c>
      <c r="G14" s="8" t="s">
        <v>1310</v>
      </c>
      <c r="H14" s="8"/>
      <c r="I14" s="8"/>
      <c r="J14" s="8"/>
    </row>
    <row r="15" spans="1:10">
      <c r="A15" s="8"/>
      <c r="B15" s="8" t="s">
        <v>2047</v>
      </c>
      <c r="C15" s="8" t="s">
        <v>2048</v>
      </c>
      <c r="D15" s="8"/>
      <c r="E15" s="8" t="s">
        <v>2049</v>
      </c>
      <c r="F15" s="8" t="s">
        <v>1328</v>
      </c>
      <c r="G15" s="8" t="s">
        <v>2050</v>
      </c>
      <c r="H15" s="8"/>
      <c r="I15" s="8"/>
      <c r="J15" s="8"/>
    </row>
    <row r="16" spans="1:10">
      <c r="A16" s="8"/>
      <c r="B16" s="8" t="s">
        <v>2051</v>
      </c>
      <c r="C16" s="8" t="s">
        <v>2052</v>
      </c>
      <c r="D16" s="8"/>
      <c r="E16" s="8" t="s">
        <v>2053</v>
      </c>
      <c r="F16" s="8" t="s">
        <v>1328</v>
      </c>
      <c r="G16" s="8" t="s">
        <v>1329</v>
      </c>
      <c r="H16" s="8"/>
      <c r="I16" s="8"/>
      <c r="J16" s="8"/>
    </row>
    <row r="17" spans="1:10">
      <c r="A17" s="8"/>
      <c r="B17" s="8"/>
      <c r="C17" s="8"/>
      <c r="D17" s="8"/>
      <c r="E17" s="8" t="s">
        <v>2054</v>
      </c>
      <c r="F17" s="8" t="s">
        <v>2037</v>
      </c>
      <c r="G17" s="8" t="s">
        <v>2055</v>
      </c>
      <c r="H17" s="8"/>
      <c r="I17" s="8"/>
      <c r="J17" s="8"/>
    </row>
    <row r="18" spans="1:10">
      <c r="A18" s="8"/>
      <c r="B18" s="8"/>
      <c r="C18" s="8"/>
      <c r="D18" s="8"/>
      <c r="E18" s="8" t="s">
        <v>2056</v>
      </c>
      <c r="F18" s="8" t="s">
        <v>2037</v>
      </c>
      <c r="G18" s="8" t="s">
        <v>2057</v>
      </c>
      <c r="H18" s="8"/>
      <c r="I18" s="8"/>
      <c r="J18" s="8"/>
    </row>
    <row r="19" spans="1:10">
      <c r="A19" s="8"/>
      <c r="B19" s="8"/>
      <c r="C19" s="8"/>
      <c r="D19" s="8"/>
      <c r="E19" s="8" t="s">
        <v>2058</v>
      </c>
      <c r="F19" s="8" t="s">
        <v>2041</v>
      </c>
      <c r="G19" s="8" t="s">
        <v>2059</v>
      </c>
      <c r="H19" s="8"/>
      <c r="I19" s="8"/>
      <c r="J19" s="8"/>
    </row>
    <row r="20" spans="1:10">
      <c r="A20" s="8"/>
      <c r="B20" s="8"/>
      <c r="C20" s="8"/>
      <c r="D20" s="8"/>
      <c r="E20" s="8" t="s">
        <v>2060</v>
      </c>
      <c r="F20" s="8" t="s">
        <v>2041</v>
      </c>
      <c r="G20" s="8" t="s">
        <v>2061</v>
      </c>
      <c r="H20" s="8"/>
      <c r="I20" s="8"/>
      <c r="J20" s="8"/>
    </row>
    <row r="21" spans="1:10">
      <c r="A21" s="8"/>
      <c r="B21" s="8"/>
      <c r="C21" s="8"/>
      <c r="D21" s="8"/>
      <c r="E21" s="8" t="s">
        <v>2062</v>
      </c>
      <c r="F21" s="8" t="s">
        <v>2045</v>
      </c>
      <c r="G21" s="8" t="s">
        <v>2063</v>
      </c>
      <c r="H21" s="8"/>
      <c r="I21" s="8"/>
      <c r="J21" s="8"/>
    </row>
    <row r="22" spans="1:10">
      <c r="A22" s="8"/>
      <c r="B22" s="8"/>
      <c r="C22" s="8"/>
      <c r="D22" s="8"/>
      <c r="E22" s="8" t="s">
        <v>2064</v>
      </c>
      <c r="F22" s="8" t="s">
        <v>2045</v>
      </c>
      <c r="G22" s="8" t="s">
        <v>2065</v>
      </c>
      <c r="H22" s="8"/>
      <c r="I22" s="8"/>
      <c r="J22" s="8"/>
    </row>
    <row r="23" spans="1:10">
      <c r="A23" s="8"/>
      <c r="B23" s="8"/>
      <c r="C23" s="8"/>
      <c r="D23" s="8"/>
      <c r="E23" s="8"/>
      <c r="F23" s="8"/>
      <c r="G23" s="8"/>
      <c r="H23" s="8"/>
      <c r="I23" s="8"/>
      <c r="J23" s="8"/>
    </row>
    <row r="24" spans="1:10">
      <c r="A24" s="8"/>
      <c r="B24" s="8"/>
      <c r="C24" s="8"/>
      <c r="D24" s="8"/>
      <c r="E24" s="8"/>
      <c r="F24" s="8"/>
      <c r="G24" s="8"/>
      <c r="H24" s="8"/>
      <c r="I24" s="8"/>
      <c r="J24" s="8"/>
    </row>
    <row r="25" spans="1:10">
      <c r="A25" s="8"/>
      <c r="B25" s="8"/>
      <c r="C25" s="8"/>
      <c r="D25" s="8"/>
      <c r="E25" s="8"/>
      <c r="F25" s="8"/>
      <c r="G25" s="8"/>
      <c r="H25" s="8"/>
      <c r="I25" s="8"/>
      <c r="J25" s="8"/>
    </row>
    <row r="26" spans="1:10">
      <c r="A26" s="8"/>
      <c r="B26" s="8"/>
      <c r="C26" s="8"/>
      <c r="D26" s="8"/>
      <c r="E26" s="8"/>
      <c r="F26" s="8"/>
      <c r="G26" s="8"/>
      <c r="H26" s="8"/>
      <c r="I26" s="8"/>
      <c r="J26" s="8"/>
    </row>
    <row r="27" spans="1:10">
      <c r="A27" s="8"/>
      <c r="B27" s="8"/>
      <c r="C27" s="8"/>
      <c r="D27" s="8"/>
      <c r="E27" s="8"/>
      <c r="F27" s="8"/>
      <c r="G27" s="8"/>
      <c r="H27" s="8"/>
      <c r="I27" s="8"/>
      <c r="J27" s="8"/>
    </row>
    <row r="28" spans="1:10">
      <c r="A28" s="8"/>
      <c r="B28" s="8"/>
      <c r="C28" s="8"/>
      <c r="D28" s="8"/>
      <c r="E28" s="8"/>
      <c r="F28" s="8"/>
      <c r="G28" s="8"/>
      <c r="H28" s="8"/>
      <c r="I28" s="8"/>
      <c r="J28" s="8"/>
    </row>
    <row r="29" spans="1:10">
      <c r="A29" s="8"/>
      <c r="B29" s="8"/>
      <c r="C29" s="8"/>
      <c r="D29" s="8"/>
      <c r="E29" s="8"/>
      <c r="F29" s="8"/>
      <c r="G29" s="8"/>
      <c r="H29" s="8"/>
      <c r="I29" s="8"/>
      <c r="J29" s="8"/>
    </row>
    <row r="30" spans="1:10">
      <c r="A30" s="8"/>
      <c r="B30" s="8"/>
      <c r="C30" s="8"/>
      <c r="D30" s="8"/>
      <c r="E30" s="8"/>
      <c r="F30" s="8"/>
      <c r="G30" s="8"/>
      <c r="H30" s="8"/>
      <c r="I30" s="8"/>
      <c r="J30" s="8"/>
    </row>
    <row r="31" spans="1:10">
      <c r="A31" s="8"/>
      <c r="B31" s="8"/>
      <c r="C31" s="8"/>
      <c r="D31" s="8"/>
      <c r="E31" s="8"/>
      <c r="F31" s="8"/>
      <c r="G31" s="8"/>
      <c r="H31" s="8"/>
      <c r="I31" s="8"/>
      <c r="J31" s="8"/>
    </row>
    <row r="32" spans="1:10">
      <c r="A32" s="8"/>
      <c r="B32" s="8"/>
      <c r="C32" s="8"/>
      <c r="D32" s="8"/>
      <c r="E32" s="8"/>
      <c r="F32" s="8"/>
      <c r="G32" s="8"/>
      <c r="H32" s="8"/>
      <c r="I32" s="8"/>
      <c r="J32" s="8"/>
    </row>
    <row r="33" spans="1:10">
      <c r="A33" s="8"/>
      <c r="B33" s="8"/>
      <c r="C33" s="8"/>
      <c r="D33" s="8"/>
      <c r="E33" s="8"/>
      <c r="F33" s="8"/>
      <c r="G33" s="8"/>
      <c r="H33" s="8"/>
      <c r="I33" s="8"/>
      <c r="J33" s="8"/>
    </row>
    <row r="34" spans="1:10">
      <c r="A34" s="8"/>
      <c r="B34" s="8"/>
      <c r="C34" s="8"/>
      <c r="D34" s="8"/>
      <c r="E34" s="8"/>
      <c r="F34" s="8"/>
      <c r="G34" s="8"/>
      <c r="H34" s="8"/>
      <c r="I34" s="8"/>
      <c r="J34" s="8"/>
    </row>
    <row r="35" spans="1:10">
      <c r="A35" s="8"/>
      <c r="B35" s="8"/>
      <c r="C35" s="8"/>
      <c r="D35" s="8"/>
      <c r="E35" s="8"/>
      <c r="F35" s="8"/>
      <c r="G35" s="8"/>
      <c r="H35" s="8"/>
      <c r="I35" s="8"/>
      <c r="J35" s="8"/>
    </row>
    <row r="36" spans="1:10">
      <c r="A36" s="8"/>
      <c r="B36" s="8"/>
      <c r="C36" s="8"/>
      <c r="D36" s="8"/>
      <c r="E36" s="8"/>
      <c r="F36" s="8"/>
      <c r="G36" s="8"/>
      <c r="H36" s="8"/>
      <c r="I36" s="8"/>
      <c r="J36" s="8"/>
    </row>
    <row r="37" spans="1:10">
      <c r="A37" s="8"/>
      <c r="B37" s="8"/>
      <c r="C37" s="8"/>
      <c r="D37" s="8"/>
      <c r="E37" s="8"/>
      <c r="F37" s="8"/>
      <c r="G37" s="8"/>
      <c r="H37" s="8"/>
      <c r="I37" s="8"/>
      <c r="J37" s="8"/>
    </row>
    <row r="38" spans="1:10">
      <c r="A38" s="8"/>
      <c r="B38" s="8"/>
      <c r="C38" s="8"/>
      <c r="D38" s="8"/>
      <c r="E38" s="8"/>
      <c r="F38" s="8"/>
      <c r="G38" s="8"/>
      <c r="H38" s="8"/>
      <c r="I38" s="8"/>
      <c r="J38" s="8"/>
    </row>
    <row r="39" spans="1:10">
      <c r="A39" s="8"/>
      <c r="B39" s="8"/>
      <c r="C39" s="8"/>
      <c r="D39" s="8"/>
      <c r="E39" s="8"/>
      <c r="F39" s="8"/>
      <c r="G39" s="8"/>
      <c r="H39" s="8"/>
      <c r="I39" s="8"/>
      <c r="J39" s="8"/>
    </row>
    <row r="40" spans="1:10">
      <c r="A40" s="8"/>
      <c r="B40" s="8"/>
      <c r="C40" s="8"/>
      <c r="D40" s="8"/>
      <c r="E40" s="8"/>
      <c r="F40" s="8"/>
      <c r="G40" s="8"/>
      <c r="H40" s="8"/>
      <c r="I40" s="8"/>
      <c r="J40" s="8"/>
    </row>
    <row r="41" spans="1:10">
      <c r="A41" s="8"/>
      <c r="B41" s="8"/>
      <c r="C41" s="8"/>
      <c r="D41" s="8"/>
      <c r="E41" s="8"/>
      <c r="F41" s="8"/>
      <c r="G41" s="8"/>
      <c r="H41" s="8"/>
      <c r="I41" s="8"/>
      <c r="J41" s="8"/>
    </row>
    <row r="42" spans="1:10">
      <c r="A42" s="8"/>
      <c r="B42" s="8"/>
      <c r="C42" s="8"/>
      <c r="D42" s="8"/>
      <c r="E42" s="8"/>
      <c r="F42" s="8"/>
      <c r="G42" s="8"/>
      <c r="H42" s="8"/>
      <c r="I42" s="8"/>
      <c r="J42" s="8"/>
    </row>
    <row r="43" spans="1:10">
      <c r="A43" s="8"/>
      <c r="B43" s="8"/>
      <c r="C43" s="8"/>
      <c r="D43" s="8"/>
      <c r="E43" s="8"/>
      <c r="F43" s="8"/>
      <c r="G43" s="8"/>
      <c r="H43" s="8"/>
      <c r="I43" s="8"/>
      <c r="J43" s="8"/>
    </row>
    <row r="44" spans="1:10">
      <c r="A44" s="8"/>
      <c r="B44" s="8"/>
      <c r="C44" s="8"/>
      <c r="D44" s="8"/>
      <c r="E44" s="8"/>
      <c r="F44" s="8"/>
      <c r="G44" s="8"/>
      <c r="H44" s="8"/>
      <c r="I44" s="8"/>
      <c r="J44" s="8"/>
    </row>
    <row r="45" spans="1:10">
      <c r="A45" s="8"/>
      <c r="B45" s="8"/>
      <c r="C45" s="8"/>
      <c r="D45" s="8"/>
      <c r="E45" s="8"/>
      <c r="F45" s="8"/>
      <c r="G45" s="8"/>
      <c r="H45" s="8"/>
      <c r="I45" s="8"/>
      <c r="J45" s="8"/>
    </row>
    <row r="46" spans="1:10">
      <c r="A46" s="8"/>
      <c r="B46" s="8"/>
      <c r="C46" s="8"/>
      <c r="D46" s="8"/>
      <c r="E46" s="8"/>
      <c r="F46" s="8"/>
      <c r="G46" s="8"/>
      <c r="H46" s="8"/>
      <c r="I46" s="8"/>
      <c r="J46" s="8"/>
    </row>
    <row r="47" spans="1:10">
      <c r="A47" s="8"/>
      <c r="B47" s="8"/>
      <c r="C47" s="8"/>
      <c r="D47" s="8"/>
      <c r="E47" s="8"/>
      <c r="F47" s="8"/>
      <c r="G47" s="8"/>
      <c r="H47" s="8"/>
      <c r="I47" s="8"/>
      <c r="J47" s="8"/>
    </row>
    <row r="48" spans="1:10">
      <c r="A48" s="8"/>
      <c r="B48" s="8"/>
      <c r="C48" s="8"/>
      <c r="D48" s="8"/>
      <c r="E48" s="8"/>
      <c r="F48" s="8"/>
      <c r="G48" s="8"/>
      <c r="H48" s="8"/>
      <c r="I48" s="8"/>
      <c r="J48" s="8"/>
    </row>
    <row r="49" spans="1:10">
      <c r="A49" s="8"/>
      <c r="B49" s="8"/>
      <c r="C49" s="8"/>
      <c r="D49" s="8"/>
      <c r="E49" s="8"/>
      <c r="F49" s="8"/>
      <c r="G49" s="8"/>
      <c r="H49" s="8"/>
      <c r="I49" s="8"/>
      <c r="J49" s="8"/>
    </row>
    <row r="50" spans="1:10">
      <c r="A50" s="8"/>
      <c r="B50" s="8"/>
      <c r="C50" s="8"/>
      <c r="D50" s="8"/>
      <c r="E50" s="8"/>
      <c r="F50" s="8"/>
      <c r="G50" s="8"/>
      <c r="H50" s="8"/>
      <c r="I50" s="8"/>
      <c r="J50" s="8"/>
    </row>
    <row r="51" spans="1:10">
      <c r="A51" s="8"/>
      <c r="B51" s="8"/>
      <c r="C51" s="8"/>
      <c r="D51" s="8"/>
      <c r="E51" s="8"/>
      <c r="F51" s="8"/>
      <c r="G51" s="8"/>
      <c r="H51" s="8"/>
      <c r="I51" s="8"/>
      <c r="J51" s="8"/>
    </row>
    <row r="52" spans="1:10">
      <c r="A52" s="8"/>
      <c r="B52" s="8"/>
      <c r="C52" s="8"/>
      <c r="D52" s="8"/>
      <c r="E52" s="8"/>
      <c r="F52" s="8"/>
      <c r="G52" s="8"/>
      <c r="H52" s="8"/>
      <c r="I52" s="8"/>
      <c r="J52" s="8"/>
    </row>
    <row r="53" spans="1:10">
      <c r="A53" s="8"/>
      <c r="B53" s="8"/>
      <c r="C53" s="8"/>
      <c r="D53" s="8"/>
      <c r="E53" s="8"/>
      <c r="F53" s="8"/>
      <c r="G53" s="8"/>
      <c r="H53" s="8"/>
      <c r="I53" s="8"/>
      <c r="J53" s="8"/>
    </row>
    <row r="54" spans="1:10">
      <c r="A54" s="8"/>
      <c r="B54" s="8"/>
      <c r="C54" s="8"/>
      <c r="D54" s="8"/>
      <c r="E54" s="8"/>
      <c r="F54" s="8"/>
      <c r="G54" s="8"/>
      <c r="H54" s="8"/>
      <c r="I54" s="8"/>
      <c r="J54" s="8"/>
    </row>
    <row r="55" spans="1:10">
      <c r="A55" s="8"/>
      <c r="B55" s="8"/>
      <c r="C55" s="8"/>
      <c r="D55" s="8"/>
      <c r="E55" s="8"/>
      <c r="F55" s="8"/>
      <c r="G55" s="8"/>
      <c r="H55" s="8"/>
      <c r="I55" s="8"/>
      <c r="J55" s="8"/>
    </row>
    <row r="56" spans="1:10">
      <c r="A56" s="8"/>
      <c r="B56" s="8"/>
      <c r="C56" s="8"/>
      <c r="D56" s="8"/>
      <c r="E56" s="8"/>
      <c r="F56" s="8"/>
      <c r="G56" s="8"/>
      <c r="H56" s="8"/>
      <c r="I56" s="8"/>
      <c r="J56" s="8"/>
    </row>
    <row r="57" spans="1:10">
      <c r="A57" s="8"/>
      <c r="B57" s="8"/>
      <c r="C57" s="8"/>
      <c r="D57" s="8"/>
      <c r="E57" s="8"/>
      <c r="F57" s="8"/>
      <c r="G57" s="8"/>
      <c r="H57" s="8"/>
      <c r="I57" s="8"/>
      <c r="J57" s="8"/>
    </row>
    <row r="58" spans="1:10">
      <c r="A58" s="8"/>
      <c r="B58" s="8"/>
      <c r="C58" s="8"/>
      <c r="D58" s="8"/>
      <c r="E58" s="8"/>
      <c r="F58" s="8"/>
      <c r="G58" s="8"/>
      <c r="H58" s="8"/>
      <c r="I58" s="8"/>
      <c r="J58" s="8"/>
    </row>
    <row r="59" spans="1:10">
      <c r="A59" s="8"/>
      <c r="B59" s="8"/>
      <c r="C59" s="8"/>
      <c r="D59" s="8"/>
      <c r="E59" s="8"/>
      <c r="F59" s="8"/>
      <c r="G59" s="8"/>
      <c r="H59" s="8"/>
      <c r="I59" s="8"/>
      <c r="J59" s="8"/>
    </row>
    <row r="60" spans="1:10">
      <c r="A60" s="8"/>
      <c r="B60" s="8"/>
      <c r="C60" s="8"/>
      <c r="D60" s="8"/>
      <c r="E60" s="8"/>
      <c r="F60" s="8"/>
      <c r="G60" s="8"/>
      <c r="H60" s="8"/>
      <c r="I60" s="8"/>
      <c r="J60" s="8"/>
    </row>
    <row r="61" spans="1:10">
      <c r="A61" s="8"/>
      <c r="B61" s="8"/>
      <c r="C61" s="8"/>
      <c r="D61" s="8"/>
      <c r="E61" s="8"/>
      <c r="F61" s="8"/>
      <c r="G61" s="8"/>
      <c r="H61" s="8"/>
      <c r="I61" s="8"/>
      <c r="J61" s="8"/>
    </row>
    <row r="62" spans="1:10">
      <c r="A62" s="8"/>
      <c r="B62" s="8"/>
      <c r="C62" s="8"/>
      <c r="D62" s="8"/>
      <c r="E62" s="8"/>
      <c r="F62" s="8"/>
      <c r="G62" s="8"/>
      <c r="H62" s="8"/>
      <c r="I62" s="8"/>
      <c r="J62" s="8"/>
    </row>
    <row r="63" spans="1:10">
      <c r="A63" s="8"/>
      <c r="B63" s="8"/>
      <c r="C63" s="8"/>
      <c r="D63" s="8"/>
      <c r="E63" s="8"/>
      <c r="F63" s="8"/>
      <c r="G63" s="8"/>
      <c r="H63" s="8"/>
      <c r="I63" s="8"/>
      <c r="J63" s="8"/>
    </row>
    <row r="64" spans="1:10">
      <c r="A64" s="8"/>
      <c r="B64" s="8"/>
      <c r="C64" s="8"/>
      <c r="D64" s="8"/>
      <c r="E64" s="8"/>
      <c r="F64" s="8"/>
      <c r="G64" s="8"/>
      <c r="H64" s="8"/>
      <c r="I64" s="8"/>
      <c r="J64" s="8"/>
    </row>
    <row r="65" spans="1:10">
      <c r="A65" s="8"/>
      <c r="B65" s="8"/>
      <c r="C65" s="8"/>
      <c r="D65" s="8"/>
      <c r="E65" s="8"/>
      <c r="F65" s="8"/>
      <c r="G65" s="8"/>
      <c r="H65" s="8"/>
      <c r="I65" s="8"/>
      <c r="J65" s="8"/>
    </row>
    <row r="66" spans="1:10">
      <c r="A66" s="8"/>
      <c r="B66" s="8"/>
      <c r="C66" s="8"/>
      <c r="D66" s="8"/>
      <c r="E66" s="8"/>
      <c r="F66" s="8"/>
      <c r="G66" s="8"/>
      <c r="H66" s="8"/>
      <c r="I66" s="8"/>
      <c r="J66" s="8"/>
    </row>
    <row r="67" spans="1:10">
      <c r="A67" s="8"/>
      <c r="B67" s="8"/>
      <c r="C67" s="8"/>
      <c r="D67" s="8"/>
      <c r="E67" s="8"/>
      <c r="F67" s="8"/>
      <c r="G67" s="8"/>
      <c r="H67" s="8"/>
      <c r="I67" s="8"/>
      <c r="J67" s="8"/>
    </row>
    <row r="68" spans="1:10">
      <c r="A68" s="8"/>
      <c r="B68" s="8"/>
      <c r="C68" s="8"/>
      <c r="D68" s="8"/>
      <c r="E68" s="8"/>
      <c r="F68" s="8"/>
      <c r="G68" s="8"/>
      <c r="H68" s="8"/>
      <c r="I68" s="8"/>
      <c r="J68" s="8"/>
    </row>
    <row r="69" spans="1:10">
      <c r="A69" s="8"/>
      <c r="B69" s="8"/>
      <c r="C69" s="8"/>
      <c r="D69" s="8"/>
      <c r="E69" s="8"/>
      <c r="F69" s="8"/>
      <c r="G69" s="8"/>
      <c r="H69" s="8"/>
      <c r="I69" s="8"/>
      <c r="J69" s="8"/>
    </row>
    <row r="70" spans="1:10">
      <c r="A70" s="8"/>
      <c r="B70" s="8"/>
      <c r="C70" s="8"/>
      <c r="D70" s="8"/>
      <c r="E70" s="8"/>
      <c r="F70" s="8"/>
      <c r="G70" s="8"/>
      <c r="H70" s="8"/>
      <c r="I70" s="8"/>
      <c r="J70" s="8"/>
    </row>
    <row r="71" spans="1:10">
      <c r="A71" s="8"/>
      <c r="B71" s="8"/>
      <c r="C71" s="8"/>
      <c r="D71" s="8"/>
      <c r="E71" s="8"/>
      <c r="F71" s="8"/>
      <c r="G71" s="8"/>
      <c r="H71" s="8"/>
      <c r="I71" s="8"/>
      <c r="J71" s="8"/>
    </row>
    <row r="72" spans="1:10">
      <c r="A72" s="8"/>
      <c r="B72" s="8"/>
      <c r="C72" s="8"/>
      <c r="D72" s="8"/>
      <c r="E72" s="8"/>
      <c r="F72" s="8"/>
      <c r="G72" s="8"/>
      <c r="H72" s="8"/>
      <c r="I72" s="8"/>
      <c r="J72" s="8"/>
    </row>
    <row r="73" spans="1:10">
      <c r="A73" s="8"/>
      <c r="B73" s="8"/>
      <c r="C73" s="8"/>
      <c r="D73" s="8"/>
      <c r="E73" s="8"/>
      <c r="F73" s="8"/>
      <c r="G73" s="8"/>
      <c r="H73" s="8"/>
      <c r="I73" s="8"/>
      <c r="J73" s="8"/>
    </row>
    <row r="74" spans="1:10">
      <c r="A74" s="8"/>
      <c r="B74" s="8"/>
      <c r="C74" s="8"/>
      <c r="D74" s="8"/>
      <c r="E74" s="8"/>
      <c r="F74" s="8"/>
      <c r="G74" s="8"/>
      <c r="H74" s="8"/>
      <c r="I74" s="8"/>
      <c r="J74" s="8"/>
    </row>
    <row r="75" spans="1:10">
      <c r="A75" s="8"/>
      <c r="B75" s="8"/>
      <c r="C75" s="8"/>
      <c r="D75" s="8"/>
      <c r="E75" s="8"/>
      <c r="F75" s="8"/>
      <c r="G75" s="8"/>
      <c r="H75" s="8"/>
      <c r="I75" s="8"/>
      <c r="J75" s="8"/>
    </row>
    <row r="76" spans="1:10">
      <c r="A76" s="8"/>
      <c r="B76" s="8"/>
      <c r="C76" s="8"/>
      <c r="D76" s="8"/>
      <c r="E76" s="8"/>
      <c r="F76" s="8"/>
      <c r="G76" s="8"/>
      <c r="H76" s="8"/>
      <c r="I76" s="8"/>
      <c r="J76" s="8"/>
    </row>
    <row r="77" spans="1:10">
      <c r="A77" s="8"/>
      <c r="B77" s="8"/>
      <c r="C77" s="8"/>
      <c r="D77" s="8"/>
      <c r="E77" s="8"/>
      <c r="F77" s="8"/>
      <c r="G77" s="8"/>
      <c r="H77" s="8"/>
      <c r="I77" s="8"/>
      <c r="J77" s="8"/>
    </row>
    <row r="78" spans="1:10">
      <c r="A78" s="8"/>
      <c r="B78" s="8"/>
      <c r="C78" s="8"/>
      <c r="D78" s="8"/>
      <c r="E78" s="8"/>
      <c r="F78" s="8"/>
      <c r="G78" s="8"/>
      <c r="H78" s="8"/>
      <c r="I78" s="8"/>
      <c r="J78" s="8"/>
    </row>
    <row r="79" spans="1:10">
      <c r="A79" s="8"/>
      <c r="B79" s="8"/>
      <c r="C79" s="8"/>
      <c r="D79" s="8"/>
      <c r="E79" s="8"/>
      <c r="F79" s="8"/>
      <c r="G79" s="8"/>
      <c r="H79" s="8"/>
      <c r="I79" s="8"/>
      <c r="J79" s="8"/>
    </row>
    <row r="80" spans="1:10">
      <c r="A80" s="8"/>
      <c r="B80" s="8"/>
      <c r="C80" s="8"/>
      <c r="D80" s="8"/>
      <c r="E80" s="8"/>
      <c r="F80" s="8"/>
      <c r="G80" s="8"/>
      <c r="H80" s="8"/>
      <c r="I80" s="8"/>
      <c r="J80" s="8"/>
    </row>
    <row r="81" spans="1:10">
      <c r="A81" s="8"/>
      <c r="B81" s="8"/>
      <c r="C81" s="8"/>
      <c r="D81" s="8"/>
      <c r="E81" s="8"/>
      <c r="F81" s="8"/>
      <c r="G81" s="8"/>
      <c r="H81" s="8"/>
      <c r="I81" s="8"/>
      <c r="J81" s="8"/>
    </row>
    <row r="82" spans="1:10">
      <c r="A82" s="8"/>
      <c r="B82" s="8"/>
      <c r="C82" s="8"/>
      <c r="D82" s="8"/>
      <c r="E82" s="8"/>
      <c r="F82" s="8"/>
      <c r="G82" s="8"/>
      <c r="H82" s="8"/>
      <c r="I82" s="8"/>
      <c r="J82" s="8"/>
    </row>
    <row r="83" spans="1:10">
      <c r="A83" s="8"/>
      <c r="B83" s="8"/>
      <c r="C83" s="8"/>
      <c r="D83" s="8"/>
      <c r="E83" s="8"/>
      <c r="F83" s="8"/>
      <c r="G83" s="8"/>
      <c r="H83" s="8"/>
      <c r="I83" s="8"/>
      <c r="J83" s="8"/>
    </row>
    <row r="84" spans="1:10">
      <c r="A84" s="8"/>
      <c r="B84" s="8"/>
      <c r="C84" s="8"/>
      <c r="D84" s="8"/>
      <c r="E84" s="8"/>
      <c r="F84" s="8"/>
      <c r="G84" s="8"/>
      <c r="H84" s="8"/>
      <c r="I84" s="8"/>
      <c r="J84" s="8"/>
    </row>
    <row r="85" spans="1:10">
      <c r="A85" s="8"/>
      <c r="B85" s="8"/>
      <c r="C85" s="8"/>
      <c r="D85" s="8"/>
      <c r="E85" s="8"/>
      <c r="F85" s="8"/>
      <c r="G85" s="8"/>
      <c r="H85" s="8"/>
      <c r="I85" s="8"/>
      <c r="J85" s="8"/>
    </row>
    <row r="86" spans="1:10">
      <c r="A86" s="8"/>
      <c r="B86" s="8"/>
      <c r="C86" s="8"/>
      <c r="D86" s="8"/>
      <c r="E86" s="8"/>
      <c r="F86" s="8"/>
      <c r="G86" s="8"/>
      <c r="H86" s="8"/>
      <c r="I86" s="8"/>
      <c r="J86" s="8"/>
    </row>
    <row r="87" spans="1:10">
      <c r="A87" s="8"/>
      <c r="B87" s="8"/>
      <c r="C87" s="8"/>
      <c r="D87" s="8"/>
      <c r="E87" s="8"/>
      <c r="F87" s="8"/>
      <c r="G87" s="8"/>
      <c r="H87" s="8"/>
      <c r="I87" s="8"/>
      <c r="J87" s="8"/>
    </row>
    <row r="88" spans="1:10">
      <c r="A88" s="8"/>
      <c r="B88" s="8"/>
      <c r="C88" s="8"/>
      <c r="D88" s="8"/>
      <c r="E88" s="8"/>
      <c r="F88" s="8"/>
      <c r="G88" s="8"/>
      <c r="H88" s="8"/>
      <c r="I88" s="8"/>
      <c r="J88" s="8"/>
    </row>
    <row r="89" spans="1:10">
      <c r="A89" s="8"/>
      <c r="B89" s="8"/>
      <c r="C89" s="8"/>
      <c r="D89" s="8"/>
      <c r="E89" s="8"/>
      <c r="F89" s="8"/>
      <c r="G89" s="8"/>
      <c r="H89" s="8"/>
      <c r="I89" s="8"/>
      <c r="J89" s="8"/>
    </row>
    <row r="90" spans="1:10">
      <c r="A90" s="8"/>
      <c r="B90" s="8"/>
      <c r="C90" s="8"/>
      <c r="D90" s="8"/>
      <c r="E90" s="8"/>
      <c r="F90" s="8"/>
      <c r="G90" s="8"/>
      <c r="H90" s="8"/>
      <c r="I90" s="8"/>
      <c r="J90" s="8"/>
    </row>
    <row r="91" spans="1:10">
      <c r="A91" s="8"/>
      <c r="B91" s="8"/>
      <c r="C91" s="8"/>
      <c r="D91" s="8"/>
      <c r="E91" s="8"/>
      <c r="F91" s="8"/>
      <c r="G91" s="8"/>
      <c r="H91" s="8"/>
      <c r="I91" s="8"/>
      <c r="J91" s="8"/>
    </row>
    <row r="92" spans="1:10">
      <c r="A92" s="8"/>
      <c r="B92" s="8"/>
      <c r="C92" s="8"/>
      <c r="D92" s="8"/>
      <c r="E92" s="8"/>
      <c r="F92" s="8"/>
      <c r="G92" s="8"/>
      <c r="H92" s="8"/>
      <c r="I92" s="8"/>
      <c r="J92" s="8"/>
    </row>
    <row r="93" spans="1:10">
      <c r="A93" s="8"/>
      <c r="B93" s="8"/>
      <c r="C93" s="8"/>
      <c r="D93" s="8"/>
      <c r="E93" s="8"/>
      <c r="F93" s="8"/>
      <c r="G93" s="8"/>
      <c r="H93" s="8"/>
      <c r="I93" s="8"/>
      <c r="J93" s="8"/>
    </row>
    <row r="94" spans="1:10">
      <c r="A94" s="8"/>
      <c r="B94" s="8"/>
      <c r="C94" s="8"/>
      <c r="D94" s="8"/>
      <c r="E94" s="8"/>
      <c r="F94" s="8"/>
      <c r="G94" s="8"/>
      <c r="H94" s="8"/>
      <c r="I94" s="8"/>
      <c r="J94" s="8"/>
    </row>
    <row r="95" spans="1:10">
      <c r="A95" s="8"/>
      <c r="B95" s="8"/>
      <c r="C95" s="8"/>
      <c r="D95" s="8"/>
      <c r="E95" s="8"/>
      <c r="F95" s="8"/>
      <c r="G95" s="8"/>
      <c r="H95" s="8"/>
      <c r="I95" s="8"/>
      <c r="J95" s="8"/>
    </row>
    <row r="96" spans="1:10">
      <c r="A96" s="8"/>
      <c r="B96" s="8"/>
      <c r="C96" s="8"/>
      <c r="D96" s="8"/>
      <c r="E96" s="8"/>
      <c r="F96" s="8"/>
      <c r="G96" s="8"/>
      <c r="H96" s="8"/>
      <c r="I96" s="8"/>
      <c r="J96" s="8"/>
    </row>
    <row r="97" spans="1:10">
      <c r="A97" s="8"/>
      <c r="B97" s="8"/>
      <c r="C97" s="8"/>
      <c r="D97" s="8"/>
      <c r="E97" s="8"/>
      <c r="F97" s="8"/>
      <c r="G97" s="8"/>
      <c r="H97" s="8"/>
      <c r="I97" s="8"/>
      <c r="J97" s="8"/>
    </row>
    <row r="98" spans="1:10">
      <c r="A98" s="8"/>
      <c r="B98" s="8"/>
      <c r="C98" s="8"/>
      <c r="D98" s="8"/>
      <c r="E98" s="8"/>
      <c r="F98" s="8"/>
      <c r="G98" s="8"/>
      <c r="H98" s="8"/>
      <c r="I98" s="8"/>
      <c r="J98" s="8"/>
    </row>
    <row r="99" spans="1:10">
      <c r="A99" s="8"/>
      <c r="B99" s="8"/>
      <c r="C99" s="8"/>
      <c r="D99" s="8"/>
      <c r="E99" s="8"/>
      <c r="F99" s="8"/>
      <c r="G99" s="8"/>
      <c r="H99" s="8"/>
      <c r="I99" s="8"/>
      <c r="J99" s="8"/>
    </row>
    <row r="100" spans="1:10">
      <c r="A100" s="8"/>
      <c r="B100" s="8"/>
      <c r="C100" s="8"/>
      <c r="D100" s="8"/>
      <c r="E100" s="8"/>
      <c r="F100" s="8"/>
      <c r="G100" s="8"/>
      <c r="H100" s="8"/>
      <c r="I100" s="8"/>
      <c r="J100" s="8"/>
    </row>
  </sheetData>
  <mergeCells count="4">
    <mergeCell ref="B2:F2"/>
    <mergeCell ref="E5:G5"/>
    <mergeCell ref="B5:C5"/>
    <mergeCell ref="B3:F3"/>
  </mergeCells>
  <pageMargins left="0.75" right="0.75" top="1" bottom="1" header="0.5" footer="0.5"/>
  <pageSetup paperSize="0" orientation="portrait" horizontalDpi="0" verticalDpi="0" copie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Hoja34"/>
  <dimension ref="A1:J14"/>
  <sheetViews>
    <sheetView workbookViewId="0">
      <selection sqref="A1:D1"/>
    </sheetView>
  </sheetViews>
  <sheetFormatPr baseColWidth="10" defaultColWidth="9.140625" defaultRowHeight="15"/>
  <cols>
    <col min="1" max="1" width="15.42578125" bestFit="1" customWidth="1"/>
    <col min="2" max="2" width="14.42578125" bestFit="1" customWidth="1"/>
    <col min="3" max="3" width="41.5703125" bestFit="1" customWidth="1"/>
    <col min="4" max="4" width="8.28515625" bestFit="1" customWidth="1"/>
  </cols>
  <sheetData>
    <row r="1" spans="1:10" ht="18">
      <c r="A1" s="138" t="s">
        <v>2066</v>
      </c>
      <c r="B1" s="93"/>
      <c r="C1" s="93"/>
      <c r="D1" s="93"/>
      <c r="E1" s="8"/>
      <c r="F1" s="8"/>
      <c r="G1" s="8"/>
      <c r="H1" s="8"/>
      <c r="I1" s="8"/>
      <c r="J1" s="8"/>
    </row>
    <row r="2" spans="1:10">
      <c r="A2" s="69" t="s">
        <v>556</v>
      </c>
      <c r="B2" s="69" t="s">
        <v>2067</v>
      </c>
      <c r="C2" s="69" t="s">
        <v>185</v>
      </c>
      <c r="D2" s="69" t="s">
        <v>2068</v>
      </c>
      <c r="E2" s="8"/>
      <c r="F2" s="8"/>
      <c r="G2" s="8"/>
      <c r="H2" s="8"/>
      <c r="I2" s="8"/>
      <c r="J2" s="8"/>
    </row>
    <row r="3" spans="1:10">
      <c r="A3" s="70">
        <v>45967.461365740739</v>
      </c>
      <c r="B3" s="8" t="s">
        <v>2069</v>
      </c>
      <c r="C3" s="8" t="s">
        <v>2070</v>
      </c>
      <c r="D3" s="8"/>
      <c r="E3" s="8"/>
      <c r="F3" s="8"/>
      <c r="G3" s="8"/>
      <c r="H3" s="8"/>
      <c r="I3" s="8"/>
      <c r="J3" s="8"/>
    </row>
    <row r="4" spans="1:10">
      <c r="A4" s="70">
        <v>45967.463506944441</v>
      </c>
      <c r="B4" s="8" t="s">
        <v>2069</v>
      </c>
      <c r="C4" s="8" t="s">
        <v>2070</v>
      </c>
      <c r="D4" s="8"/>
      <c r="E4" s="8"/>
      <c r="F4" s="8"/>
      <c r="G4" s="8"/>
      <c r="H4" s="8"/>
      <c r="I4" s="8"/>
      <c r="J4" s="8"/>
    </row>
    <row r="5" spans="1:10">
      <c r="A5" s="70">
        <v>45967.466608796298</v>
      </c>
      <c r="B5" s="8" t="s">
        <v>2069</v>
      </c>
      <c r="C5" s="8" t="s">
        <v>2070</v>
      </c>
      <c r="D5" s="8"/>
      <c r="E5" s="8"/>
      <c r="F5" s="8"/>
      <c r="G5" s="8"/>
      <c r="H5" s="8"/>
      <c r="I5" s="8"/>
      <c r="J5" s="8"/>
    </row>
    <row r="6" spans="1:10">
      <c r="A6" s="70">
        <v>45967.47210648148</v>
      </c>
      <c r="B6" s="8" t="s">
        <v>2069</v>
      </c>
      <c r="C6" s="8" t="s">
        <v>2070</v>
      </c>
      <c r="D6" s="8"/>
      <c r="E6" s="8"/>
      <c r="F6" s="8"/>
      <c r="G6" s="8"/>
      <c r="H6" s="8"/>
      <c r="I6" s="8"/>
      <c r="J6" s="8"/>
    </row>
    <row r="7" spans="1:10">
      <c r="A7" s="70">
        <v>45967.47216435185</v>
      </c>
      <c r="B7" s="8" t="s">
        <v>2069</v>
      </c>
      <c r="C7" s="8" t="s">
        <v>2070</v>
      </c>
      <c r="D7" s="8"/>
      <c r="E7" s="8"/>
      <c r="F7" s="8"/>
      <c r="G7" s="8"/>
      <c r="H7" s="8"/>
      <c r="I7" s="8"/>
      <c r="J7" s="8"/>
    </row>
    <row r="8" spans="1:10">
      <c r="A8" s="70">
        <v>45967.472222222219</v>
      </c>
      <c r="B8" s="8" t="s">
        <v>2069</v>
      </c>
      <c r="C8" s="8" t="s">
        <v>2070</v>
      </c>
      <c r="D8" s="8"/>
      <c r="E8" s="8"/>
      <c r="F8" s="8"/>
      <c r="G8" s="8"/>
      <c r="H8" s="8"/>
      <c r="I8" s="8"/>
      <c r="J8" s="8"/>
    </row>
    <row r="9" spans="1:10">
      <c r="A9" s="70">
        <v>45967.519560185188</v>
      </c>
      <c r="B9" s="8" t="s">
        <v>2069</v>
      </c>
      <c r="C9" s="8" t="s">
        <v>2071</v>
      </c>
      <c r="D9" s="8"/>
      <c r="E9" s="8"/>
      <c r="F9" s="8"/>
      <c r="G9" s="8"/>
      <c r="H9" s="8"/>
      <c r="I9" s="8"/>
      <c r="J9" s="8"/>
    </row>
    <row r="10" spans="1:10">
      <c r="A10" s="70">
        <v>45967.519675925927</v>
      </c>
      <c r="B10" s="8" t="s">
        <v>2069</v>
      </c>
      <c r="C10" s="8" t="s">
        <v>2072</v>
      </c>
      <c r="D10" s="8"/>
      <c r="E10" s="8"/>
      <c r="F10" s="8"/>
      <c r="G10" s="8"/>
      <c r="H10" s="8"/>
      <c r="I10" s="8"/>
      <c r="J10" s="8"/>
    </row>
    <row r="11" spans="1:10">
      <c r="A11" s="70">
        <v>45967.519699074073</v>
      </c>
      <c r="B11" s="8" t="s">
        <v>2069</v>
      </c>
      <c r="C11" s="8" t="s">
        <v>2073</v>
      </c>
      <c r="D11" s="8"/>
      <c r="E11" s="8"/>
      <c r="F11" s="8"/>
      <c r="G11" s="8"/>
      <c r="H11" s="8"/>
      <c r="I11" s="8"/>
      <c r="J11" s="8"/>
    </row>
    <row r="12" spans="1:10">
      <c r="A12" s="70">
        <v>45967.519756944443</v>
      </c>
      <c r="B12" s="8" t="s">
        <v>2069</v>
      </c>
      <c r="C12" s="8" t="s">
        <v>2073</v>
      </c>
      <c r="D12" s="8"/>
      <c r="E12" s="8"/>
      <c r="F12" s="8"/>
      <c r="G12" s="8"/>
      <c r="H12" s="8"/>
      <c r="I12" s="8"/>
      <c r="J12" s="8"/>
    </row>
    <row r="13" spans="1:10">
      <c r="A13" s="70">
        <v>45967.606157407405</v>
      </c>
      <c r="B13" s="8" t="s">
        <v>2069</v>
      </c>
      <c r="C13" s="8" t="s">
        <v>2077</v>
      </c>
      <c r="D13" s="8"/>
      <c r="E13" s="8"/>
      <c r="F13" s="8"/>
      <c r="G13" s="8"/>
      <c r="H13" s="8"/>
      <c r="I13" s="8"/>
      <c r="J13" s="8"/>
    </row>
    <row r="14" spans="1:10">
      <c r="A14" s="18">
        <v>45967.606273148151</v>
      </c>
      <c r="B14" t="s">
        <v>2069</v>
      </c>
      <c r="C14" t="s">
        <v>2077</v>
      </c>
    </row>
  </sheetData>
  <mergeCells count="1">
    <mergeCell ref="A1:D1"/>
  </mergeCells>
  <pageMargins left="0.75" right="0.75" top="1" bottom="1" header="0.5" footer="0.5"/>
  <pageSetup paperSize="0" orientation="portrait" horizontalDpi="0" verticalDpi="0" copie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34</vt:i4>
      </vt:variant>
      <vt:variant>
        <vt:lpstr>Rangos con nombre</vt:lpstr>
      </vt:variant>
      <vt:variant>
        <vt:i4>34</vt:i4>
      </vt:variant>
    </vt:vector>
  </HeadingPairs>
  <TitlesOfParts>
    <vt:vector size="68" baseType="lpstr">
      <vt:lpstr>Panel_Control</vt:lpstr>
      <vt:lpstr>Control_Documentos</vt:lpstr>
      <vt:lpstr>Politicas_Seguridad</vt:lpstr>
      <vt:lpstr>Metodologia_Riesgos</vt:lpstr>
      <vt:lpstr>SoA</vt:lpstr>
      <vt:lpstr>Plan_Auditoria</vt:lpstr>
      <vt:lpstr>Revision_Direccion</vt:lpstr>
      <vt:lpstr>Plan_Proyecto_SGSI</vt:lpstr>
      <vt:lpstr>Gestion_Incidentes</vt:lpstr>
      <vt:lpstr>Plan_Continuidad</vt:lpstr>
      <vt:lpstr>BIA</vt:lpstr>
      <vt:lpstr>Plan_Formacion</vt:lpstr>
      <vt:lpstr>NDA_Proveedores</vt:lpstr>
      <vt:lpstr>NDA_Empleados</vt:lpstr>
      <vt:lpstr>Comite_Seguridad</vt:lpstr>
      <vt:lpstr>CMDB</vt:lpstr>
      <vt:lpstr>Procedimiento_Hardening</vt:lpstr>
      <vt:lpstr>Plan_Director_Ciber</vt:lpstr>
      <vt:lpstr>DRP_Pruebas</vt:lpstr>
      <vt:lpstr>DRP_Informes</vt:lpstr>
      <vt:lpstr>DRP_Mantenimiento</vt:lpstr>
      <vt:lpstr>Portada</vt:lpstr>
      <vt:lpstr>Datos_Organizacion</vt:lpstr>
      <vt:lpstr>Instrucciones</vt:lpstr>
      <vt:lpstr>Activos</vt:lpstr>
      <vt:lpstr>Matriz_Riesgos</vt:lpstr>
      <vt:lpstr>MITRE_Ataques</vt:lpstr>
      <vt:lpstr>Analisis_Riesgos</vt:lpstr>
      <vt:lpstr>Plan_Tratamiento</vt:lpstr>
      <vt:lpstr>Dashboard</vt:lpstr>
      <vt:lpstr>Config_Categorias</vt:lpstr>
      <vt:lpstr>Config_Areas</vt:lpstr>
      <vt:lpstr>Config_Clases</vt:lpstr>
      <vt:lpstr>Log_Acciones</vt:lpstr>
      <vt:lpstr>Activos!Títulos_a_imprimir</vt:lpstr>
      <vt:lpstr>Analisis_Riesgos!Títulos_a_imprimir</vt:lpstr>
      <vt:lpstr>BIA!Títulos_a_imprimir</vt:lpstr>
      <vt:lpstr>CMDB!Títulos_a_imprimir</vt:lpstr>
      <vt:lpstr>Comite_Seguridad!Títulos_a_imprimir</vt:lpstr>
      <vt:lpstr>Config_Areas!Títulos_a_imprimir</vt:lpstr>
      <vt:lpstr>Config_Categorias!Títulos_a_imprimir</vt:lpstr>
      <vt:lpstr>Config_Clases!Títulos_a_imprimir</vt:lpstr>
      <vt:lpstr>Control_Documentos!Títulos_a_imprimir</vt:lpstr>
      <vt:lpstr>Dashboard!Títulos_a_imprimir</vt:lpstr>
      <vt:lpstr>Datos_Organizacion!Títulos_a_imprimir</vt:lpstr>
      <vt:lpstr>DRP_Informes!Títulos_a_imprimir</vt:lpstr>
      <vt:lpstr>DRP_Mantenimiento!Títulos_a_imprimir</vt:lpstr>
      <vt:lpstr>DRP_Pruebas!Títulos_a_imprimir</vt:lpstr>
      <vt:lpstr>Gestion_Incidentes!Títulos_a_imprimir</vt:lpstr>
      <vt:lpstr>Instrucciones!Títulos_a_imprimir</vt:lpstr>
      <vt:lpstr>Log_Acciones!Títulos_a_imprimir</vt:lpstr>
      <vt:lpstr>Matriz_Riesgos!Títulos_a_imprimir</vt:lpstr>
      <vt:lpstr>Metodologia_Riesgos!Títulos_a_imprimir</vt:lpstr>
      <vt:lpstr>MITRE_Ataques!Títulos_a_imprimir</vt:lpstr>
      <vt:lpstr>NDA_Empleados!Títulos_a_imprimir</vt:lpstr>
      <vt:lpstr>NDA_Proveedores!Títulos_a_imprimir</vt:lpstr>
      <vt:lpstr>Panel_Control!Títulos_a_imprimir</vt:lpstr>
      <vt:lpstr>Plan_Auditoria!Títulos_a_imprimir</vt:lpstr>
      <vt:lpstr>Plan_Continuidad!Títulos_a_imprimir</vt:lpstr>
      <vt:lpstr>Plan_Director_Ciber!Títulos_a_imprimir</vt:lpstr>
      <vt:lpstr>Plan_Formacion!Títulos_a_imprimir</vt:lpstr>
      <vt:lpstr>Plan_Proyecto_SGSI!Títulos_a_imprimir</vt:lpstr>
      <vt:lpstr>Plan_Tratamiento!Títulos_a_imprimir</vt:lpstr>
      <vt:lpstr>Politicas_Seguridad!Títulos_a_imprimir</vt:lpstr>
      <vt:lpstr>Portada!Títulos_a_imprimir</vt:lpstr>
      <vt:lpstr>Procedimiento_Hardening!Títulos_a_imprimir</vt:lpstr>
      <vt:lpstr>Revision_Direccion!Títulos_a_imprimir</vt:lpstr>
      <vt:lpstr>SoA!Títulos_a_imprimir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david ñanculeo</cp:lastModifiedBy>
  <dcterms:created xsi:type="dcterms:W3CDTF">2025-11-04T20:16:59Z</dcterms:created>
  <dcterms:modified xsi:type="dcterms:W3CDTF">2025-11-06T18:05:15Z</dcterms:modified>
</cp:coreProperties>
</file>