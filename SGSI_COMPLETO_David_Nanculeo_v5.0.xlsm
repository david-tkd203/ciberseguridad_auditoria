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d.docs.live.net/ee6a4c2e81ec943c/Escritorio/sgsi ciberseguridad/"/>
    </mc:Choice>
  </mc:AlternateContent>
  <xr:revisionPtr revIDLastSave="37" documentId="11_2A96A19DFAAD6AABE2BCB963D8259D43AE52B7C3" xr6:coauthVersionLast="47" xr6:coauthVersionMax="47" xr10:uidLastSave="{9F2D4526-F98D-46F4-B59D-1423D8DBF487}"/>
  <bookViews>
    <workbookView xWindow="-120" yWindow="-120" windowWidth="29040" windowHeight="15720" tabRatio="868" firstSheet="9" activeTab="18" xr2:uid="{00000000-000D-0000-FFFF-FFFF00000000}"/>
  </bookViews>
  <sheets>
    <sheet name="Portada" sheetId="1" r:id="rId1"/>
    <sheet name="Panel_Control" sheetId="53" r:id="rId2"/>
    <sheet name="Dashboard" sheetId="3" r:id="rId3"/>
    <sheet name="Instrucciones" sheetId="4" r:id="rId4"/>
    <sheet name="Activos" sheetId="5" r:id="rId5"/>
    <sheet name="Inventario_Amenazas" sheetId="6" r:id="rId6"/>
    <sheet name="Inventario_Vulnerabilidades" sheetId="7" r:id="rId7"/>
    <sheet name="Matriz_Riesgos" sheetId="8" r:id="rId8"/>
    <sheet name="Controles_ISO27001" sheetId="9" r:id="rId9"/>
    <sheet name="Declaracion_Aplicabilidad" sheetId="10" r:id="rId10"/>
    <sheet name="Plan_Tratamiento" sheetId="11" r:id="rId11"/>
    <sheet name="Analisis_Riesgos" sheetId="12" r:id="rId12"/>
    <sheet name="Gestion_Incidentes" sheetId="13" r:id="rId13"/>
    <sheet name="Clasificacion_Incidentes" sheetId="14" r:id="rId14"/>
    <sheet name="Config_Clases" sheetId="15" r:id="rId15"/>
    <sheet name="Config_Categorias" sheetId="16" r:id="rId16"/>
    <sheet name="Config_Areas" sheetId="17" r:id="rId17"/>
    <sheet name="MITRE_Ataques" sheetId="18" r:id="rId18"/>
    <sheet name="MITRE_Mitigaciones" sheetId="19" r:id="rId19"/>
    <sheet name="Metricas_KPI" sheetId="20" r:id="rId20"/>
    <sheet name="Log_Acciones" sheetId="21" r:id="rId21"/>
    <sheet name="Config_Tuning" sheetId="22" state="hidden" r:id="rId22"/>
    <sheet name="MITRE_Assets_ICS" sheetId="23" state="hidden" r:id="rId23"/>
    <sheet name="MITRE_Ejemplos_Mapeo" sheetId="24" state="hidden" r:id="rId24"/>
    <sheet name="MITRE_Reglas_Auto" sheetId="25" state="hidden" r:id="rId25"/>
    <sheet name="MITRE_Como_Usar_Auto" sheetId="26" state="hidden" r:id="rId26"/>
    <sheet name="MITRE_Mapeo_Inteligente" sheetId="27" state="hidden" r:id="rId27"/>
    <sheet name="Control_Documentos" sheetId="28" r:id="rId28"/>
    <sheet name="Metodologia_Riesgos" sheetId="29" r:id="rId29"/>
    <sheet name="SoA" sheetId="30" r:id="rId30"/>
    <sheet name="Plan_Auditoria" sheetId="31" r:id="rId31"/>
    <sheet name="Revision_Direccion" sheetId="32" r:id="rId32"/>
    <sheet name="Plan_Proyecto_SGSI" sheetId="33" r:id="rId33"/>
    <sheet name="Datos_Organizacion" sheetId="34" r:id="rId34"/>
    <sheet name="Plan_Continuidad" sheetId="35" r:id="rId35"/>
    <sheet name="BIA" sheetId="36" r:id="rId36"/>
    <sheet name="Plan_Formacion" sheetId="37" r:id="rId37"/>
    <sheet name="NDA_Proveedores" sheetId="38" r:id="rId38"/>
    <sheet name="NDA_Empleados" sheetId="39" r:id="rId39"/>
    <sheet name="Comite_Seguridad" sheetId="40" r:id="rId40"/>
    <sheet name="CMDB" sheetId="41" r:id="rId41"/>
    <sheet name="Procedimiento_Hardening" sheetId="42" r:id="rId42"/>
    <sheet name="Plan_Director_Ciber" sheetId="43" r:id="rId43"/>
    <sheet name="DRP_Pruebas" sheetId="44" r:id="rId44"/>
    <sheet name="DRP_Informes" sheetId="45" r:id="rId45"/>
    <sheet name="DRP_Mantenimiento" sheetId="46" r:id="rId46"/>
    <sheet name="Politicas_Seguridad" sheetId="47" r:id="rId47"/>
    <sheet name="Procedimientos" sheetId="48" r:id="rId48"/>
    <sheet name="Auditorias" sheetId="49" r:id="rId49"/>
    <sheet name="Registro_Formacion" sheetId="50" r:id="rId50"/>
    <sheet name="Registro_Eventos" sheetId="51" r:id="rId51"/>
    <sheet name="Plan_Contingencia" sheetId="52" r:id="rId52"/>
  </sheets>
  <functionGroups builtInGroupCount="19"/>
  <externalReferences>
    <externalReference r:id="rId53"/>
  </externalReferences>
  <definedNames>
    <definedName name="_xlnm.Print_Titles" localSheetId="4">Activos!$1:$1</definedName>
    <definedName name="_xlnm.Print_Titles" localSheetId="11">Analisis_Riesgos!$1:$1</definedName>
    <definedName name="_xlnm.Print_Titles" localSheetId="2">Dashboard!$1:$1</definedName>
    <definedName name="_xlnm.Print_Titles" localSheetId="33">Datos_Organizacion!$1:$1</definedName>
    <definedName name="_xlnm.Print_Titles" localSheetId="7">Matriz_Riesgos!#REF!</definedName>
    <definedName name="_xlnm.Print_Titles" localSheetId="1">Panel_Control!$1:$1</definedName>
    <definedName name="_xlnm.Print_Titles" localSheetId="10">Plan_Tratamiento!$1:$1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53" l="1"/>
  <c r="P13" i="53"/>
  <c r="L12" i="53"/>
  <c r="L11" i="53"/>
  <c r="L10" i="53"/>
  <c r="L9" i="53"/>
  <c r="L8" i="53"/>
  <c r="L7" i="53"/>
  <c r="Q13" i="53" s="1"/>
  <c r="AA5" i="8"/>
  <c r="AA4" i="8"/>
  <c r="AA3" i="8"/>
  <c r="V7" i="5"/>
  <c r="V6" i="5"/>
  <c r="V5" i="5"/>
  <c r="V4" i="5"/>
  <c r="V3" i="5"/>
  <c r="M9" i="53" l="1"/>
  <c r="M10" i="53"/>
  <c r="M8" i="53"/>
  <c r="M11" i="53"/>
  <c r="M12" i="5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SGSI</author>
  </authors>
  <commentList>
    <comment ref="Y2" authorId="0" shapeId="0" xr:uid="{00000000-0006-0000-0700-000001000000}">
      <text>
        <r>
          <rPr>
            <sz val="11"/>
            <color theme="1"/>
            <rFont val="Calibri"/>
            <family val="2"/>
            <scheme val="minor"/>
          </rPr>
          <t>Ingrese el código MITRE relacionado (ej: T0800)
Consulte la hoja MITRE_Ataques para ver todas las técnicas</t>
        </r>
      </text>
    </comment>
  </commentList>
</comments>
</file>

<file path=xl/sharedStrings.xml><?xml version="1.0" encoding="utf-8"?>
<sst xmlns="http://schemas.openxmlformats.org/spreadsheetml/2006/main" count="2973" uniqueCount="1827">
  <si>
    <t>SISTEMA DE GESTIÓN DE
SEGURIDAD DE LA INFORMACIÓN</t>
  </si>
  <si>
    <t>ISO/IEC 27001:2022</t>
  </si>
  <si>
    <t>Versión 4.0 - Sistema Completo</t>
  </si>
  <si>
    <t>[NOMBRE DE LA ORGANIZACIÓN]</t>
  </si>
  <si>
    <t>Fecha: 06 de Noviembre de 2025</t>
  </si>
  <si>
    <t>✨ CARACTERÍSTICAS DEL SISTEMA ✨</t>
  </si>
  <si>
    <t>✅ Cumplimiento total ISO 27001:2022</t>
  </si>
  <si>
    <t>✅ 93 controles del Anexo A documentados</t>
  </si>
  <si>
    <t>✅ 20+ macros automatizadas</t>
  </si>
  <si>
    <t>✅ Dashboard interactivo de métricas</t>
  </si>
  <si>
    <t>✅ Exportación profesional a PDF</t>
  </si>
  <si>
    <t>✅ Integración MITRE ATT&amp;CK ICS</t>
  </si>
  <si>
    <t>Documento Confidencial - Uso Interno</t>
  </si>
  <si>
    <t>🎛️ PANEL DE CONTROL - SGSI v4.0</t>
  </si>
  <si>
    <t>Sistema de Gestión de Seguridad de la Información ISO 27001:2022</t>
  </si>
  <si>
    <t>🧭 NAVEGACIÓN RÁPIDA - 23 HOJAS PRINCIPALES</t>
  </si>
  <si>
    <t>📦 Inventario de Activos</t>
  </si>
  <si>
    <t>🏷️ Clasificación de Activos</t>
  </si>
  <si>
    <t>💰 Valoración de Activos</t>
  </si>
  <si>
    <t>⚠️ Identificación de Riesgos</t>
  </si>
  <si>
    <t>📊 ESTADÍSTICAS DE ACTIVOS</t>
  </si>
  <si>
    <t>🛡️ MITRE ATT&amp;CK ICS DASHBOARD</t>
  </si>
  <si>
    <t>📊 Análisis de Riesgos</t>
  </si>
  <si>
    <t>🎯 Evaluación de Riesgos</t>
  </si>
  <si>
    <t>🛡️ Plan de Tratamiento</t>
  </si>
  <si>
    <t>📈 Seguimiento Tratamiento</t>
  </si>
  <si>
    <t>INDICADOR</t>
  </si>
  <si>
    <t>CANTIDAD</t>
  </si>
  <si>
    <t>%</t>
  </si>
  <si>
    <t>Framework de Ciberseguridad Industrial v17.1</t>
  </si>
  <si>
    <t>✅ Controles Implementados</t>
  </si>
  <si>
    <t>📋 Declaración Aplicabilidad</t>
  </si>
  <si>
    <t>📜 Políticas de Seguridad</t>
  </si>
  <si>
    <t>⚙️ Procedimientos Operativos</t>
  </si>
  <si>
    <t>Total Activos</t>
  </si>
  <si>
    <t>100%</t>
  </si>
  <si>
    <t>👥 Roles y Responsabilidades</t>
  </si>
  <si>
    <t>📊 Indicadores KPI</t>
  </si>
  <si>
    <t>🔍 Auditoría Interna</t>
  </si>
  <si>
    <t>👔 Revisión Dirección</t>
  </si>
  <si>
    <t>Activos Críticos</t>
  </si>
  <si>
    <t>⚔️ TÉCNICAS</t>
  </si>
  <si>
    <t>técnicas</t>
  </si>
  <si>
    <t>🚨 Incidentes de Seguridad</t>
  </si>
  <si>
    <t>🔄 Gestión de Cambios</t>
  </si>
  <si>
    <t>🎓 Capacitación</t>
  </si>
  <si>
    <t>⚖️ Cumplimiento Legal</t>
  </si>
  <si>
    <t>Activos IT</t>
  </si>
  <si>
    <t>🛡️ MITIGACIONES</t>
  </si>
  <si>
    <t>controles</t>
  </si>
  <si>
    <t>♻️ Mejora Continua</t>
  </si>
  <si>
    <t>📊 Dashboard Ejecutivo</t>
  </si>
  <si>
    <t>📖 Instrucciones</t>
  </si>
  <si>
    <t>Activos OT</t>
  </si>
  <si>
    <t>🏭 ASSETS ICS</t>
  </si>
  <si>
    <t>tipos</t>
  </si>
  <si>
    <t>0'</t>
  </si>
  <si>
    <t>Con MITRE</t>
  </si>
  <si>
    <t>📦 MÓDULO DE GESTIÓN DE ACTIVOS</t>
  </si>
  <si>
    <t>Sin MITRE</t>
  </si>
  <si>
    <t>📊 COBERTURA</t>
  </si>
  <si>
    <t>▶ Ingresar Activo</t>
  </si>
  <si>
    <t>Formulario para agregar nuevo activo con validación automática de campos</t>
  </si>
  <si>
    <t>Activos mapeados:</t>
  </si>
  <si>
    <t>▶ Generar Reporte</t>
  </si>
  <si>
    <t>Genera reporte filtrado de activos por categoría y criticidad</t>
  </si>
  <si>
    <t>🕒 Actualizado automáticamente</t>
  </si>
  <si>
    <t>Riesgos con técnicas:</t>
  </si>
  <si>
    <t>mapeados</t>
  </si>
  <si>
    <t>▶ Exportar CSV</t>
  </si>
  <si>
    <t>Exporta inventario completo a formato CSV para integración</t>
  </si>
  <si>
    <t>▶ Actualizar Propietarios</t>
  </si>
  <si>
    <t>Actualiza responsable/propietario de múltiples activos</t>
  </si>
  <si>
    <t>🔗 Ver Hojas MITRE</t>
  </si>
  <si>
    <t>▶ Calcular Valor</t>
  </si>
  <si>
    <t>Calcula valor del activo según clasificación C+I+D y criticidad</t>
  </si>
  <si>
    <t>▶ Validar Duplicados</t>
  </si>
  <si>
    <t>Busca y resalta activos duplicados para limpieza preventiva</t>
  </si>
  <si>
    <t>▶ Eliminar Activo</t>
  </si>
  <si>
    <t>Elimina activo seleccionado con confirmación (al día con backups)</t>
  </si>
  <si>
    <t>⚠️ MÓDULO DE GESTIÓN DE RIESGOS</t>
  </si>
  <si>
    <t>▶ Ingresar Riesgo</t>
  </si>
  <si>
    <t>Formulario para registrar nuevo riesgo con evaluación P×I</t>
  </si>
  <si>
    <t>▶ Calcular Inherente</t>
  </si>
  <si>
    <t>Calcula riesgo inherente (Probabilidad × Impacto) automático</t>
  </si>
  <si>
    <t>▶ Mapa de Calor</t>
  </si>
  <si>
    <t>Crea matriz visual 5×5 con distribución de riesgos por nivel</t>
  </si>
  <si>
    <t>▶ Actualizar Residual</t>
  </si>
  <si>
    <t>Recalcula riesgo residual tras implementar controles</t>
  </si>
  <si>
    <t>▶ Colorear Riesgos</t>
  </si>
  <si>
    <t>Aplica formato visual automático: Verde (1-5), Amarillo (6-12), Rojo (15-25)</t>
  </si>
  <si>
    <t>🛡️ MÓDULO DE TRATAMIENTO DE RIESGOS</t>
  </si>
  <si>
    <t>▶ Ingresar Tratamiento</t>
  </si>
  <si>
    <t>Genera plan de tratamiento para riesgos seleccionados con responsables</t>
  </si>
  <si>
    <t>▶ Actualizar Estado</t>
  </si>
  <si>
    <t>Actualiza progreso de implementación (%) y estado actual</t>
  </si>
  <si>
    <t>▶ Generar Informe</t>
  </si>
  <si>
    <t>Reporte ejecutivo de tratamientos por estado para dirección</t>
  </si>
  <si>
    <t>Instrucciones!A1</t>
  </si>
  <si>
    <t>Control_Documentos!A1</t>
  </si>
  <si>
    <t>NDA_Proveedores!A1</t>
  </si>
  <si>
    <t>📊 MÓDULO DE REPORTES Y ANÁLISIS</t>
  </si>
  <si>
    <t>▶ Actualizar Dashboard</t>
  </si>
  <si>
    <t>Actualiza gráficos y métricas del Dashboard antes de reuniones</t>
  </si>
  <si>
    <t>▶ Reporte Completo</t>
  </si>
  <si>
    <t>PDF ejecutivo con resumen completo del SGSI (7 hojas principales)</t>
  </si>
  <si>
    <t>▶ Exportar Activos PDF</t>
  </si>
  <si>
    <t>Exporta solo inventario de activos a PDF con diseño profesional</t>
  </si>
  <si>
    <t>▶ Validar ISO 27001</t>
  </si>
  <si>
    <t>Checklist de cumplimiento ISO 27001:2022 - Verifica controles A.5-A.8</t>
  </si>
  <si>
    <t>🔧 UTILIDADES DEL SISTEMA</t>
  </si>
  <si>
    <t>▶ Info Sistema</t>
  </si>
  <si>
    <t>▶ Validar Estructura Excel</t>
  </si>
  <si>
    <t>💡 Instrucciones: Haz clic en los hipervínculos azules para navegar | Ejecuta CrearBotonesAutomaticos_Simple() en VBA para crear botones</t>
  </si>
  <si>
    <t>📅 Última actualización: 12/11/2025 05:11</t>
  </si>
  <si>
    <t>🔧 SGSI v4.0 + MITRE ATT&amp;CK ICS v17.1</t>
  </si>
  <si>
    <t>✅ Panel actualizado con integración MITRE completa</t>
  </si>
  <si>
    <t>DASHBOARD DE MÉTRICAS - SGSI</t>
  </si>
  <si>
    <t>📈 INDICADORES CLAVE (KPIs)</t>
  </si>
  <si>
    <t>Riesgos Identificados</t>
  </si>
  <si>
    <t>Riesgos Críticos</t>
  </si>
  <si>
    <t>Nivel de Cumplimiento</t>
  </si>
  <si>
    <t>0</t>
  </si>
  <si>
    <t>0%</t>
  </si>
  <si>
    <t>⚠️ DISTRIBUCIÓN DE RIESGOS</t>
  </si>
  <si>
    <t>🛡️ ESTADO DE TRATAMIENTOS</t>
  </si>
  <si>
    <t>Nivel</t>
  </si>
  <si>
    <t>Porcentaje</t>
  </si>
  <si>
    <t>Estado</t>
  </si>
  <si>
    <t>Cantidad</t>
  </si>
  <si>
    <t>Progreso</t>
  </si>
  <si>
    <t>Crítico</t>
  </si>
  <si>
    <t>■ Alto</t>
  </si>
  <si>
    <t>Implementado</t>
  </si>
  <si>
    <t>Alto</t>
  </si>
  <si>
    <t>En Progreso</t>
  </si>
  <si>
    <t>Medio</t>
  </si>
  <si>
    <t>■ Medio</t>
  </si>
  <si>
    <t>Pendiente</t>
  </si>
  <si>
    <t>Bajo</t>
  </si>
  <si>
    <t>■ Bajo</t>
  </si>
  <si>
    <t>Cancelado</t>
  </si>
  <si>
    <t>INSTRUCCIONES DE USO - SGSI v4.0</t>
  </si>
  <si>
    <t>📋 BIENVENIDO AL SGSI v4.0</t>
  </si>
  <si>
    <t>1. ESTRUCTURA DEL SISTEMA</t>
  </si>
  <si>
    <t>Este Excel contiene 34 hojas organizadas en secciones:</t>
  </si>
  <si>
    <t xml:space="preserve">  • Documentación: Control_Documentos, Políticas, Procedimientos</t>
  </si>
  <si>
    <t xml:space="preserve">  • Gestión de Riesgos: Matriz_Riesgos, Análisis, Plan_Tratamiento</t>
  </si>
  <si>
    <t xml:space="preserve">  • Incidentes: Gestión_Incidentes, Clasificación</t>
  </si>
  <si>
    <t xml:space="preserve">  • Configuración: Categorías, Áreas, Clases</t>
  </si>
  <si>
    <t xml:space="preserve">  • ISO 27001: Controles, SOA, Auditorías</t>
  </si>
  <si>
    <t>2. CÓMO EMPEZAR</t>
  </si>
  <si>
    <t xml:space="preserve">  1) Ir a "Datos_Organizacion" y completar información de la empresa</t>
  </si>
  <si>
    <t xml:space="preserve">  2) Revisar y personalizar las hojas de Configuración</t>
  </si>
  <si>
    <t xml:space="preserve">  3) Agregar activos en la hoja "Activos"</t>
  </si>
  <si>
    <t xml:space="preserve">  4) Identificar riesgos en "Matriz_Riesgos"</t>
  </si>
  <si>
    <t xml:space="preserve">  5) Crear tratamientos en "Plan_Tratamiento"</t>
  </si>
  <si>
    <t>3. MACROS DISPONIBLES (20)</t>
  </si>
  <si>
    <t>Alt+F11 para abrir VBA y ver todas las macros:</t>
  </si>
  <si>
    <t xml:space="preserve">  • NuevoActivo() - Agregar activo al inventario</t>
  </si>
  <si>
    <t xml:space="preserve">  • NuevoRiesgo() - Registrar nuevo riesgo</t>
  </si>
  <si>
    <t xml:space="preserve">  • NuevoTratamiento() - Crear plan de tratamiento</t>
  </si>
  <si>
    <t xml:space="preserve">  • ExportarReporteCompleto() - Exportar a PDF 7 hojas</t>
  </si>
  <si>
    <t xml:space="preserve">  • ActualizarDashboard() - Refrescar métricas</t>
  </si>
  <si>
    <t xml:space="preserve">  • OptimizarTodasLasHojasParaImpresion() - Formato profesional</t>
  </si>
  <si>
    <t>4. EXPORTACIÓN A PDF</t>
  </si>
  <si>
    <t>Usa los botones en Panel_Control o ejecuta las macros:</t>
  </si>
  <si>
    <t xml:space="preserve">  • ExportarReporteCompleto() - Reporte de 7 hojas</t>
  </si>
  <si>
    <t xml:space="preserve">  • ExportarActivosPDF() - Solo inventario de activos</t>
  </si>
  <si>
    <t>5. PANEL DE CONTROL</t>
  </si>
  <si>
    <t>La hoja "Panel_Control" contiene 21 botones para:</t>
  </si>
  <si>
    <t xml:space="preserve">  • Gestión rápida de activos, riesgos y tratamientos</t>
  </si>
  <si>
    <t xml:space="preserve">  • Navegación entre hojas principales</t>
  </si>
  <si>
    <t xml:space="preserve">  • Exportación de reportes</t>
  </si>
  <si>
    <t xml:space="preserve">  • Utilidades (Dashboard, Optimización, Validación)</t>
  </si>
  <si>
    <t>6. CUMPLIMIENTO ISO 27001:2022</t>
  </si>
  <si>
    <t>Hojas clave para certificación:</t>
  </si>
  <si>
    <t xml:space="preserve">  • SOA (Statement of Applicability)</t>
  </si>
  <si>
    <t xml:space="preserve">  • Controles_ISO27001 (93 controles Anexo A)</t>
  </si>
  <si>
    <t xml:space="preserve">  • Declaracion_Aplicabilidad</t>
  </si>
  <si>
    <t xml:space="preserve">  • Auditorias (registro de auditorías internas/externas)</t>
  </si>
  <si>
    <t>INVENTARIO DE ACTIVOS DE INFORMACIÓN</t>
  </si>
  <si>
    <t>ID</t>
  </si>
  <si>
    <t>Nombre</t>
  </si>
  <si>
    <t>Descripción</t>
  </si>
  <si>
    <t>Categoría</t>
  </si>
  <si>
    <t>Subcategoría</t>
  </si>
  <si>
    <t>Área</t>
  </si>
  <si>
    <t>Ubicación</t>
  </si>
  <si>
    <t>Propietario</t>
  </si>
  <si>
    <t>Custodio</t>
  </si>
  <si>
    <t>Clase</t>
  </si>
  <si>
    <t>Subclase</t>
  </si>
  <si>
    <t>Confidencialidad</t>
  </si>
  <si>
    <t>Integridad</t>
  </si>
  <si>
    <t>Disponibilidad</t>
  </si>
  <si>
    <t>Valoración</t>
  </si>
  <si>
    <t>Criticidad</t>
  </si>
  <si>
    <t>Fecha Alta</t>
  </si>
  <si>
    <t>Última Modificación</t>
  </si>
  <si>
    <t>Usuario</t>
  </si>
  <si>
    <t>Asset ICS MITRE</t>
  </si>
  <si>
    <t>🤖 Sugerencia Auto Asset</t>
  </si>
  <si>
    <t>Codigo</t>
  </si>
  <si>
    <t>Categoria</t>
  </si>
  <si>
    <t>Tipo</t>
  </si>
  <si>
    <t>Ubicacion</t>
  </si>
  <si>
    <t>Responsable</t>
  </si>
  <si>
    <t>Hardware</t>
  </si>
  <si>
    <t>Servidor</t>
  </si>
  <si>
    <t>A</t>
  </si>
  <si>
    <t>Alta</t>
  </si>
  <si>
    <t>Crítica</t>
  </si>
  <si>
    <t>Activo</t>
  </si>
  <si>
    <t>01/01/2025</t>
  </si>
  <si>
    <t>06/11/2025</t>
  </si>
  <si>
    <t>Admin</t>
  </si>
  <si>
    <t>ACT-001</t>
  </si>
  <si>
    <t>HW-SRV-001</t>
  </si>
  <si>
    <t>Servidor Principal</t>
  </si>
  <si>
    <t>Datacenter A1</t>
  </si>
  <si>
    <t>IT Admin</t>
  </si>
  <si>
    <t>CRITICA</t>
  </si>
  <si>
    <t>ACT-002</t>
  </si>
  <si>
    <t>SW-ERP-001</t>
  </si>
  <si>
    <t>Sistema ERP SAP</t>
  </si>
  <si>
    <t>Software</t>
  </si>
  <si>
    <t>ERP</t>
  </si>
  <si>
    <t>IT Manager</t>
  </si>
  <si>
    <t>Aplicación</t>
  </si>
  <si>
    <t>ACT-003</t>
  </si>
  <si>
    <t>DATA-CLI-001</t>
  </si>
  <si>
    <t>BBDD Clientes</t>
  </si>
  <si>
    <t>Datos</t>
  </si>
  <si>
    <t>Informacion</t>
  </si>
  <si>
    <t>Servidor BD</t>
  </si>
  <si>
    <t>Data Manager</t>
  </si>
  <si>
    <t>Información</t>
  </si>
  <si>
    <t>ACT-2025-006</t>
  </si>
  <si>
    <t>DATA-CLI-002</t>
  </si>
  <si>
    <t>DATOS</t>
  </si>
  <si>
    <t>Data Manage</t>
  </si>
  <si>
    <t>Critica</t>
  </si>
  <si>
    <t>General</t>
  </si>
  <si>
    <t>david ñanculeo</t>
  </si>
  <si>
    <t>ACT-2025-007</t>
  </si>
  <si>
    <t>INVENTARIO DE AMENAZAS</t>
  </si>
  <si>
    <t>⚠️ Catálogo de amenazas potenciales a la seguridad de la información</t>
  </si>
  <si>
    <t>Código MITRE</t>
  </si>
  <si>
    <t>Técnica MITRE</t>
  </si>
  <si>
    <t>Amenaza</t>
  </si>
  <si>
    <t>Origen</t>
  </si>
  <si>
    <t>MITRE ATT&amp;CK</t>
  </si>
  <si>
    <t>AM-001</t>
  </si>
  <si>
    <t>Malware</t>
  </si>
  <si>
    <t>Software malicioso (virus, ransomware, troyanos)</t>
  </si>
  <si>
    <t>Técnica</t>
  </si>
  <si>
    <t>Externo</t>
  </si>
  <si>
    <t>T1486</t>
  </si>
  <si>
    <t>AM-002</t>
  </si>
  <si>
    <t>Phishing</t>
  </si>
  <si>
    <t>Correos fraudulentos para robar credenciales</t>
  </si>
  <si>
    <t>T1566</t>
  </si>
  <si>
    <t>AM-003</t>
  </si>
  <si>
    <t>DDoS</t>
  </si>
  <si>
    <t>Ataque de denegación de servicio distribuido</t>
  </si>
  <si>
    <t>T1498</t>
  </si>
  <si>
    <t>AM-004</t>
  </si>
  <si>
    <t>Acceso no autorizado</t>
  </si>
  <si>
    <t>Intrusión por credenciales comprometidas</t>
  </si>
  <si>
    <t>Externo/Interno</t>
  </si>
  <si>
    <t>T1078</t>
  </si>
  <si>
    <t>AM-005</t>
  </si>
  <si>
    <t>Fuga de información</t>
  </si>
  <si>
    <t>Divulgación no autorizada de datos sensibles</t>
  </si>
  <si>
    <t>Humana</t>
  </si>
  <si>
    <t>Interno</t>
  </si>
  <si>
    <t>T1567</t>
  </si>
  <si>
    <t>AM-006</t>
  </si>
  <si>
    <t>Fallo eléctrico</t>
  </si>
  <si>
    <t>Corte de suministro eléctrico</t>
  </si>
  <si>
    <t>Natural</t>
  </si>
  <si>
    <t>Ambiental</t>
  </si>
  <si>
    <t>N/A</t>
  </si>
  <si>
    <t>AM-007</t>
  </si>
  <si>
    <t>Incendio</t>
  </si>
  <si>
    <t>Fuego en instalaciones</t>
  </si>
  <si>
    <t>AM-008</t>
  </si>
  <si>
    <t>Error humano</t>
  </si>
  <si>
    <t>Eliminación o modificación accidental de datos</t>
  </si>
  <si>
    <t>TIPOS DE AMENAZAS</t>
  </si>
  <si>
    <t>Ataques cibernéticos, exploits, malware</t>
  </si>
  <si>
    <t>Errores, negligencia, acciones maliciosas internas</t>
  </si>
  <si>
    <t>Desastres naturales, fallos ambientales</t>
  </si>
  <si>
    <t>INVENTARIO DE VULNERABILIDADES</t>
  </si>
  <si>
    <t>ID Vuln.</t>
  </si>
  <si>
    <t>Activo Afectado</t>
  </si>
  <si>
    <t>Severidad</t>
  </si>
  <si>
    <t>CVE/CWE</t>
  </si>
  <si>
    <t>Fecha Detección</t>
  </si>
  <si>
    <t>Fecha Resolución</t>
  </si>
  <si>
    <t>Acción Correctiva</t>
  </si>
  <si>
    <t>VULN-001</t>
  </si>
  <si>
    <t>SQL Injection</t>
  </si>
  <si>
    <t>Vulnerabilidad de inyección SQL en formulario</t>
  </si>
  <si>
    <t>App Web</t>
  </si>
  <si>
    <t>CWE-89</t>
  </si>
  <si>
    <t>01/11/2025</t>
  </si>
  <si>
    <t>Dev Team</t>
  </si>
  <si>
    <t>Parametrización de consultas</t>
  </si>
  <si>
    <t>VULN-002</t>
  </si>
  <si>
    <t>Contraseñas débiles</t>
  </si>
  <si>
    <t>Política de contraseñas no reforzada</t>
  </si>
  <si>
    <t>Active Directory</t>
  </si>
  <si>
    <t>Configuración</t>
  </si>
  <si>
    <t>CWE-521</t>
  </si>
  <si>
    <t>En Revisión</t>
  </si>
  <si>
    <t>28/10/2025</t>
  </si>
  <si>
    <t>Admin TI</t>
  </si>
  <si>
    <t>Implementar política GPO</t>
  </si>
  <si>
    <t>MATRIZ DE RIESGOS - ISO 27001:2022</t>
  </si>
  <si>
    <t>🤖 Sugerencia Auto Técnica</t>
  </si>
  <si>
    <t>TUNING_AUDITOR</t>
  </si>
  <si>
    <t>FACTOR_TUNING</t>
  </si>
  <si>
    <t>RIESGO_TUNING</t>
  </si>
  <si>
    <t>NIVEL_TUNING</t>
  </si>
  <si>
    <t>ID_Activo</t>
  </si>
  <si>
    <t>Vulnerabilidad</t>
  </si>
  <si>
    <t>Probabilidad</t>
  </si>
  <si>
    <t>Impacto</t>
  </si>
  <si>
    <t>Impacto Conf.</t>
  </si>
  <si>
    <t>Impacto Integ.</t>
  </si>
  <si>
    <t>Impacto Disp.</t>
  </si>
  <si>
    <t>Impacto Total</t>
  </si>
  <si>
    <t>Nivel Riesgo Inherente</t>
  </si>
  <si>
    <t>Valoración Inherente</t>
  </si>
  <si>
    <t>Controles Existentes</t>
  </si>
  <si>
    <t>Eficacia Controles</t>
  </si>
  <si>
    <t>Probabilidad Residual</t>
  </si>
  <si>
    <t>Impacto Residual</t>
  </si>
  <si>
    <t>Nivel Riesgo Residual</t>
  </si>
  <si>
    <t>Valoración Residual</t>
  </si>
  <si>
    <t>Tratamiento</t>
  </si>
  <si>
    <t>RSG-001</t>
  </si>
  <si>
    <t>Fallo hardware</t>
  </si>
  <si>
    <t>Servidor antiguo</t>
  </si>
  <si>
    <t>MEDIA</t>
  </si>
  <si>
    <t>CRITICO</t>
  </si>
  <si>
    <t>ALTO</t>
  </si>
  <si>
    <t>Identificado</t>
  </si>
  <si>
    <t>3</t>
  </si>
  <si>
    <t>9</t>
  </si>
  <si>
    <t>Firewall, Autenticación</t>
  </si>
  <si>
    <t>70%</t>
  </si>
  <si>
    <t>2</t>
  </si>
  <si>
    <t>4</t>
  </si>
  <si>
    <t>Mitigar</t>
  </si>
  <si>
    <t>CISO</t>
  </si>
  <si>
    <t>RSG-002</t>
  </si>
  <si>
    <t>Ransomware</t>
  </si>
  <si>
    <t>Sin backup</t>
  </si>
  <si>
    <t>ALTA</t>
  </si>
  <si>
    <t>RSG-003</t>
  </si>
  <si>
    <t>Fuga datos</t>
  </si>
  <si>
    <t>Sin cifrado</t>
  </si>
  <si>
    <t>En Tratamiento</t>
  </si>
  <si>
    <t>CONTROLES ISO 27001:2022 - ANEXO A</t>
  </si>
  <si>
    <t>Mitigación MITRE</t>
  </si>
  <si>
    <t>📋 93 Controles del Anexo A - ISO/IEC 27001:2022</t>
  </si>
  <si>
    <t>ID Control</t>
  </si>
  <si>
    <t>Evidencia</t>
  </si>
  <si>
    <t>A.5.1</t>
  </si>
  <si>
    <t>Políticas de seguridad</t>
  </si>
  <si>
    <t>Políticas para la seguridad de la información</t>
  </si>
  <si>
    <t>Organizacional</t>
  </si>
  <si>
    <t>Sí</t>
  </si>
  <si>
    <t>Política SGSI v2.0</t>
  </si>
  <si>
    <t>A.5.2</t>
  </si>
  <si>
    <t>Roles de seguridad</t>
  </si>
  <si>
    <t>Asignación de responsabilidades</t>
  </si>
  <si>
    <t>RRHH</t>
  </si>
  <si>
    <t>Matriz RACI</t>
  </si>
  <si>
    <t>A.5.3</t>
  </si>
  <si>
    <t>Segregación de funciones</t>
  </si>
  <si>
    <t>Separación de deberes conflictivos</t>
  </si>
  <si>
    <t>Parcial</t>
  </si>
  <si>
    <t>Doc. Roles</t>
  </si>
  <si>
    <t>A.5.7</t>
  </si>
  <si>
    <t>Inteligencia de amenazas</t>
  </si>
  <si>
    <t>Información sobre amenazas</t>
  </si>
  <si>
    <t>No</t>
  </si>
  <si>
    <t>TI</t>
  </si>
  <si>
    <t>A.5.10</t>
  </si>
  <si>
    <t>Uso aceptable</t>
  </si>
  <si>
    <t>Políticas de uso aceptable de información</t>
  </si>
  <si>
    <t>Política AUP</t>
  </si>
  <si>
    <t>NOTA: Esta hoja debe contener los 93 controles del Anexo A de ISO 27001:2022</t>
  </si>
  <si>
    <t>Categorías: A.5 (37 controles) | A.6 (8) | A.7 (14) | A.8 (34)</t>
  </si>
  <si>
    <t>DECLARACIÓN DE APLICABILIDAD (SOA) - ISO 27001:2022</t>
  </si>
  <si>
    <t>Documento:</t>
  </si>
  <si>
    <t>Statement of Applicability (SOA)</t>
  </si>
  <si>
    <t>Versión:</t>
  </si>
  <si>
    <t>1.0</t>
  </si>
  <si>
    <t>Fecha:</t>
  </si>
  <si>
    <t>Responsable:</t>
  </si>
  <si>
    <t>CONTROLES DEL ANEXO A</t>
  </si>
  <si>
    <t>Control</t>
  </si>
  <si>
    <t>¿Aplicable?</t>
  </si>
  <si>
    <t>Justificación</t>
  </si>
  <si>
    <t>¿Implementado?</t>
  </si>
  <si>
    <t>Método Implementación</t>
  </si>
  <si>
    <t>Referencia</t>
  </si>
  <si>
    <t>Requerido por normativa y negocio</t>
  </si>
  <si>
    <t>Política documentada y aprobada</t>
  </si>
  <si>
    <t>POL-SGSI-001</t>
  </si>
  <si>
    <t>Necesario para gestión del SGSI</t>
  </si>
  <si>
    <t>Matriz RACI + Descripciones</t>
  </si>
  <si>
    <t>DOC-ROLES-001</t>
  </si>
  <si>
    <t>Políticas de uso aceptable</t>
  </si>
  <si>
    <t>Protección de activos de información</t>
  </si>
  <si>
    <t>Política AUP comunicada</t>
  </si>
  <si>
    <t>POL-AUP-001</t>
  </si>
  <si>
    <t>RESUMEN DE APLICABILIDAD</t>
  </si>
  <si>
    <t>Total controles Anexo A:</t>
  </si>
  <si>
    <t>93</t>
  </si>
  <si>
    <t>Controles aplicables:</t>
  </si>
  <si>
    <t>Controles no aplicables:</t>
  </si>
  <si>
    <t>Controles implementados:</t>
  </si>
  <si>
    <t>Porcentaje implementación:</t>
  </si>
  <si>
    <t>PLAN DE TRATAMIENTO DE RIESGOS</t>
  </si>
  <si>
    <t>ID_Riesgo</t>
  </si>
  <si>
    <t>Medida</t>
  </si>
  <si>
    <t>Avance</t>
  </si>
  <si>
    <t>Presupuesto</t>
  </si>
  <si>
    <t>Fecha Inicio</t>
  </si>
  <si>
    <t>Fecha Límite</t>
  </si>
  <si>
    <t>Progreso %</t>
  </si>
  <si>
    <t>Costo Real</t>
  </si>
  <si>
    <t>Nivel Esperado</t>
  </si>
  <si>
    <t>Observaciones</t>
  </si>
  <si>
    <t>TRT-001</t>
  </si>
  <si>
    <t>Renovar servidor</t>
  </si>
  <si>
    <t>31/12/2025</t>
  </si>
  <si>
    <t>45%</t>
  </si>
  <si>
    <t>5000€</t>
  </si>
  <si>
    <t>2250€</t>
  </si>
  <si>
    <t>En fase de pruebas</t>
  </si>
  <si>
    <t>TRT-002</t>
  </si>
  <si>
    <t>Backup offline</t>
  </si>
  <si>
    <t>TRT-003</t>
  </si>
  <si>
    <t>Cifrado TDE</t>
  </si>
  <si>
    <t>DPO</t>
  </si>
  <si>
    <t>Planificado</t>
  </si>
  <si>
    <t>📊 RESUMEN DEL PLAN DE TRATAMIENTO</t>
  </si>
  <si>
    <t>Total Tratamientos:</t>
  </si>
  <si>
    <t>Implementados:</t>
  </si>
  <si>
    <t>En Progreso:</t>
  </si>
  <si>
    <t>Pendientes:</t>
  </si>
  <si>
    <t>Cancelados:</t>
  </si>
  <si>
    <t>Presupuesto Total:</t>
  </si>
  <si>
    <t>0 €</t>
  </si>
  <si>
    <t>Gastado:</t>
  </si>
  <si>
    <t>Disponible:</t>
  </si>
  <si>
    <t>Progreso General:</t>
  </si>
  <si>
    <t>ESTADOS DE TRATAMIENTO</t>
  </si>
  <si>
    <t>OPCIONES DE TRATAMIENTO</t>
  </si>
  <si>
    <t>Evitar</t>
  </si>
  <si>
    <t>Transferir</t>
  </si>
  <si>
    <t>Aceptar</t>
  </si>
  <si>
    <t>TRT-2025-049</t>
  </si>
  <si>
    <t>ANÁLISIS DETALLADO DE RIESGOS</t>
  </si>
  <si>
    <t>🔥 MAPA DE CALOR DE RIESGOS</t>
  </si>
  <si>
    <t>PROBABILIDAD / IMPACTO</t>
  </si>
  <si>
    <t>Muy Bajo (1)</t>
  </si>
  <si>
    <t>Bajo (2)</t>
  </si>
  <si>
    <t>Medio (3)</t>
  </si>
  <si>
    <t>Alto (4)</t>
  </si>
  <si>
    <t>Muy Alto (5)</t>
  </si>
  <si>
    <t>Muy Alta (5)</t>
  </si>
  <si>
    <t>5</t>
  </si>
  <si>
    <t>10</t>
  </si>
  <si>
    <t>15</t>
  </si>
  <si>
    <t>20</t>
  </si>
  <si>
    <t>25</t>
  </si>
  <si>
    <t>LEYENDA</t>
  </si>
  <si>
    <t>Alta (4)</t>
  </si>
  <si>
    <t>8</t>
  </si>
  <si>
    <t>12</t>
  </si>
  <si>
    <t>16</t>
  </si>
  <si>
    <t>Media (3)</t>
  </si>
  <si>
    <t>6</t>
  </si>
  <si>
    <t>Baja (2)</t>
  </si>
  <si>
    <t>Medio-Alto</t>
  </si>
  <si>
    <t>Muy Baja (1)</t>
  </si>
  <si>
    <t>1</t>
  </si>
  <si>
    <t>📈 RESUMEN ESTADÍSTICO</t>
  </si>
  <si>
    <t>Total</t>
  </si>
  <si>
    <t>Críticos</t>
  </si>
  <si>
    <t>Altos</t>
  </si>
  <si>
    <t>Medios</t>
  </si>
  <si>
    <t>Bajos</t>
  </si>
  <si>
    <t>% Críticos</t>
  </si>
  <si>
    <t>% Altos</t>
  </si>
  <si>
    <t>Promedio</t>
  </si>
  <si>
    <t>Seguridad de Acceso</t>
  </si>
  <si>
    <t>Protección de Datos</t>
  </si>
  <si>
    <t>Continuidad de Negocio</t>
  </si>
  <si>
    <t>⚠️ TOP 10 RIESGOS CRÍTICOS</t>
  </si>
  <si>
    <t>#</t>
  </si>
  <si>
    <t>ID Riesgo</t>
  </si>
  <si>
    <t>GESTIÓN DE INCIDENTES DE SEGURIDAD</t>
  </si>
  <si>
    <t>ID Incidente</t>
  </si>
  <si>
    <t>Fecha/Hora</t>
  </si>
  <si>
    <t>Título</t>
  </si>
  <si>
    <t>Activos Afectados</t>
  </si>
  <si>
    <t>Detectado Por</t>
  </si>
  <si>
    <t>Asignado A</t>
  </si>
  <si>
    <t>Tiempo Resolución</t>
  </si>
  <si>
    <t>Causa Raíz</t>
  </si>
  <si>
    <t>Acciones Tomadas</t>
  </si>
  <si>
    <t>Lecciones Aprendidas</t>
  </si>
  <si>
    <t>INC-2025-001</t>
  </si>
  <si>
    <t>05/11/2025 14:30</t>
  </si>
  <si>
    <t>Intento de phishing</t>
  </si>
  <si>
    <t>Email sospechoso reportado por usuario</t>
  </si>
  <si>
    <t>Media</t>
  </si>
  <si>
    <t>Correo electrónico</t>
  </si>
  <si>
    <t>Usuario RRHH</t>
  </si>
  <si>
    <t>Cerrado</t>
  </si>
  <si>
    <t>Equipo Seguridad</t>
  </si>
  <si>
    <t>05/11/2025 16:00</t>
  </si>
  <si>
    <t>1.5 horas</t>
  </si>
  <si>
    <t>Campaña externa</t>
  </si>
  <si>
    <t>Bloqueado remitente, formación usuario</t>
  </si>
  <si>
    <t>Reforzar formación anti-phishing</t>
  </si>
  <si>
    <t>CLASIFICACIÓN DE INCIDENTES DE SEGURIDAD</t>
  </si>
  <si>
    <t>🔖 Catálogo de tipos y categorías de incidentes según ISO 27035</t>
  </si>
  <si>
    <t>Código</t>
  </si>
  <si>
    <t>Tipo de Incidente</t>
  </si>
  <si>
    <t>Severidad Base</t>
  </si>
  <si>
    <t>Tiempo Respuesta</t>
  </si>
  <si>
    <t>Escalamiento</t>
  </si>
  <si>
    <t>Ejemplos</t>
  </si>
  <si>
    <t>INC-001</t>
  </si>
  <si>
    <t>Infección por malware</t>
  </si>
  <si>
    <t>Virus, ransomware, troyanos, spyware</t>
  </si>
  <si>
    <t>1 hora</t>
  </si>
  <si>
    <t>Ransomware, cryptolocker</t>
  </si>
  <si>
    <t>INC-002</t>
  </si>
  <si>
    <t>Ataque de phishing</t>
  </si>
  <si>
    <t>Correos o mensajes fraudulentos</t>
  </si>
  <si>
    <t>2 horas</t>
  </si>
  <si>
    <t>Seguridad TI</t>
  </si>
  <si>
    <t>Email falso CEO, spear phishing</t>
  </si>
  <si>
    <t>INC-003</t>
  </si>
  <si>
    <t>Intrusión de sistemas</t>
  </si>
  <si>
    <t>Acceso sin autorización a sistemas/datos</t>
  </si>
  <si>
    <t>30 min</t>
  </si>
  <si>
    <t>CISO + CEO</t>
  </si>
  <si>
    <t>Brute force, credenciales robadas</t>
  </si>
  <si>
    <t>INC-004</t>
  </si>
  <si>
    <t>Denegación de servicio</t>
  </si>
  <si>
    <t>DDoS/DoS</t>
  </si>
  <si>
    <t>Interrupción de disponibilidad de servicios</t>
  </si>
  <si>
    <t>DDoS web, saturación red</t>
  </si>
  <si>
    <t>INC-005</t>
  </si>
  <si>
    <t>Data breach</t>
  </si>
  <si>
    <t>Pérdida o robo de información confidencial</t>
  </si>
  <si>
    <t>15 min</t>
  </si>
  <si>
    <t>CISO + CEO + Legal</t>
  </si>
  <si>
    <t>USB perdido, email erróneo</t>
  </si>
  <si>
    <t>INC-006</t>
  </si>
  <si>
    <t>Vulnerabilidad crítica</t>
  </si>
  <si>
    <t>Fallo de seguridad explotable</t>
  </si>
  <si>
    <t>4 horas</t>
  </si>
  <si>
    <t>Zero-day, CVE crítico</t>
  </si>
  <si>
    <t>INC-007</t>
  </si>
  <si>
    <t>Configuración incorrecta</t>
  </si>
  <si>
    <t>Error en configuración o gestión</t>
  </si>
  <si>
    <t>Permisos incorrectos, borrado</t>
  </si>
  <si>
    <t>INC-008</t>
  </si>
  <si>
    <t>Fraude</t>
  </si>
  <si>
    <t>Actividad fraudulenta</t>
  </si>
  <si>
    <t>Uso indebido de recursos o información</t>
  </si>
  <si>
    <t>CISO + Legal</t>
  </si>
  <si>
    <t>BEC, fraude CEO</t>
  </si>
  <si>
    <t>INC-009</t>
  </si>
  <si>
    <t>Ingeniería social</t>
  </si>
  <si>
    <t>Manipulación psicológica</t>
  </si>
  <si>
    <t>Engaño para obtener información</t>
  </si>
  <si>
    <t>Seguridad</t>
  </si>
  <si>
    <t>Pretexting, baiting</t>
  </si>
  <si>
    <t>INC-010</t>
  </si>
  <si>
    <t>Físico</t>
  </si>
  <si>
    <t>Incidente físico</t>
  </si>
  <si>
    <t>Acceso físico no autorizado</t>
  </si>
  <si>
    <t>Seguridad Física</t>
  </si>
  <si>
    <t>Robo equipo, entrada CPD</t>
  </si>
  <si>
    <t>INC-011</t>
  </si>
  <si>
    <t>Pérdida de servicio</t>
  </si>
  <si>
    <t>Interrupción operativa</t>
  </si>
  <si>
    <t>Caída de sistemas críticos</t>
  </si>
  <si>
    <t>Operaciones</t>
  </si>
  <si>
    <t>Servidor caído, red fuera</t>
  </si>
  <si>
    <t>INC-012</t>
  </si>
  <si>
    <t>Incumplimiento</t>
  </si>
  <si>
    <t>Violación normativa</t>
  </si>
  <si>
    <t>Incumplimiento de política o norma</t>
  </si>
  <si>
    <t>8 horas</t>
  </si>
  <si>
    <t>Compliance</t>
  </si>
  <si>
    <t>GDPR, PCI-DSS</t>
  </si>
  <si>
    <t>📊 MATRIZ DE SEVERIDAD DE INCIDENTES</t>
  </si>
  <si>
    <t>Notificación</t>
  </si>
  <si>
    <t>Alto impacto negocio, datos críticos</t>
  </si>
  <si>
    <t>15-30 min</t>
  </si>
  <si>
    <t>Inmediata</t>
  </si>
  <si>
    <t>Impacto significativo, servicio afectado</t>
  </si>
  <si>
    <t>1-2 horas</t>
  </si>
  <si>
    <t>CISO + Gerencia</t>
  </si>
  <si>
    <t>&lt; 1 hora</t>
  </si>
  <si>
    <t>Impacto moderado, servicio degradado</t>
  </si>
  <si>
    <t>2-4 horas</t>
  </si>
  <si>
    <t>Responsable TI</t>
  </si>
  <si>
    <t>&lt; 4 horas</t>
  </si>
  <si>
    <t>Baja</t>
  </si>
  <si>
    <t>Impacto menor, no afecta operaciones</t>
  </si>
  <si>
    <t>8-24 horas</t>
  </si>
  <si>
    <t>Equipo técnico</t>
  </si>
  <si>
    <t>&lt; 24 horas</t>
  </si>
  <si>
    <t>CONFIGURACIÓN: CLASIFICACIÓN DE ACTIVOS</t>
  </si>
  <si>
    <t>🔐 Define los niveles de clasificación según criticidad y sensibilidad</t>
  </si>
  <si>
    <t>Color</t>
  </si>
  <si>
    <t>Esencial para el negocio, interrupción=impacto severo</t>
  </si>
  <si>
    <t>Rojo</t>
  </si>
  <si>
    <t>Muy Alto</t>
  </si>
  <si>
    <t>Muy importante, interrupción=impacto significativo</t>
  </si>
  <si>
    <t>Naranja</t>
  </si>
  <si>
    <t>Importante para operaciones normales</t>
  </si>
  <si>
    <t>Amarillo</t>
  </si>
  <si>
    <t>Necesario pero no crítico</t>
  </si>
  <si>
    <t>Azul</t>
  </si>
  <si>
    <t>Impacto mínimo si no disponible</t>
  </si>
  <si>
    <t>Verde</t>
  </si>
  <si>
    <t>CONFIGURACIÓN: CATEGORÍAS DE ACTIVOS</t>
  </si>
  <si>
    <t>📋 Define las categorías principales para clasificar los activos de información</t>
  </si>
  <si>
    <t>Subcategorías</t>
  </si>
  <si>
    <t>Equipos físicos y dispositivos</t>
  </si>
  <si>
    <t>Servidores, PCs, Portátiles, Móviles</t>
  </si>
  <si>
    <t>Aplicaciones y sistemas operativos</t>
  </si>
  <si>
    <t>Aplicaciones, SO, Herramientas</t>
  </si>
  <si>
    <t>Datos y documentación</t>
  </si>
  <si>
    <t>BBDD, Documentos, Registros</t>
  </si>
  <si>
    <t>Red</t>
  </si>
  <si>
    <t>Infraestructura de comunicaciones</t>
  </si>
  <si>
    <t>Routers, Switches, Firewalls</t>
  </si>
  <si>
    <t>Servicios</t>
  </si>
  <si>
    <t>Servicios IT y externos</t>
  </si>
  <si>
    <t>Cloud, Email, Backup</t>
  </si>
  <si>
    <t>Personal</t>
  </si>
  <si>
    <t>Recursos humanos</t>
  </si>
  <si>
    <t>Empleados, Consultores</t>
  </si>
  <si>
    <t>7</t>
  </si>
  <si>
    <t>Instalaciones</t>
  </si>
  <si>
    <t>Ubicaciones físicas</t>
  </si>
  <si>
    <t>CPD, Oficinas, Almacenes</t>
  </si>
  <si>
    <t>CONFIGURACIÓN: ÁREAS DE LA ORGANIZACIÓN</t>
  </si>
  <si>
    <t>🏢 Define las áreas funcionales de la organización</t>
  </si>
  <si>
    <t>Tecnologías de la Información</t>
  </si>
  <si>
    <t>CIO</t>
  </si>
  <si>
    <t>Recursos Humanos</t>
  </si>
  <si>
    <t>Director RRHH</t>
  </si>
  <si>
    <t>Finanzas</t>
  </si>
  <si>
    <t>Departamento Financiero</t>
  </si>
  <si>
    <t>CFO</t>
  </si>
  <si>
    <t>Operaciones y Producción</t>
  </si>
  <si>
    <t>COO</t>
  </si>
  <si>
    <t>Comercial</t>
  </si>
  <si>
    <t>Ventas y Marketing</t>
  </si>
  <si>
    <t>Director Comercial</t>
  </si>
  <si>
    <t>Legal</t>
  </si>
  <si>
    <t>Departamento Legal</t>
  </si>
  <si>
    <t>Responsable Legal</t>
  </si>
  <si>
    <t>Seguridad de la Información</t>
  </si>
  <si>
    <t>Dirección</t>
  </si>
  <si>
    <t>Dirección General</t>
  </si>
  <si>
    <t>CEO</t>
  </si>
  <si>
    <t>ID MITRE</t>
  </si>
  <si>
    <t>Nombre Técnica</t>
  </si>
  <si>
    <t>Tácticas</t>
  </si>
  <si>
    <t>Plataformas</t>
  </si>
  <si>
    <t>Detección</t>
  </si>
  <si>
    <t>URL MITRE</t>
  </si>
  <si>
    <t>Activos Relacionados</t>
  </si>
  <si>
    <t>Riesgos Vinculados</t>
  </si>
  <si>
    <t>Controles ISO 27001</t>
  </si>
  <si>
    <t>Versión</t>
  </si>
  <si>
    <t>T0800</t>
  </si>
  <si>
    <t>Activate Firmware Update Mode</t>
  </si>
  <si>
    <t>Inhibit Response Function</t>
  </si>
  <si>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</si>
  <si>
    <t>None</t>
  </si>
  <si>
    <t>https://attack.mitre.org/techniques/T0800</t>
  </si>
  <si>
    <t>25 April 2025</t>
  </si>
  <si>
    <t>T0830</t>
  </si>
  <si>
    <t>Adversary-in-the-Middle</t>
  </si>
  <si>
    <t>Collection</t>
  </si>
  <si>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</si>
  <si>
    <t>https://attack.mitre.org/techniques/T0830</t>
  </si>
  <si>
    <t>16 April 2025</t>
  </si>
  <si>
    <t>2.0</t>
  </si>
  <si>
    <t>T0878</t>
  </si>
  <si>
    <t>Alarm Suppression</t>
  </si>
  <si>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</si>
  <si>
    <t>https://attack.mitre.org/techniques/T0878</t>
  </si>
  <si>
    <t>1.2</t>
  </si>
  <si>
    <t>T0802</t>
  </si>
  <si>
    <t>Automated Collection</t>
  </si>
  <si>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</si>
  <si>
    <t>https://attack.mitre.org/techniques/T0802</t>
  </si>
  <si>
    <t>15 April 2025</t>
  </si>
  <si>
    <t>1.1</t>
  </si>
  <si>
    <t>T0895</t>
  </si>
  <si>
    <t>Autorun Image</t>
  </si>
  <si>
    <t>Execution</t>
  </si>
  <si>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</si>
  <si>
    <t>https://attack.mitre.org/techniques/T0895</t>
  </si>
  <si>
    <t>T0803</t>
  </si>
  <si>
    <t>Block Command Message</t>
  </si>
  <si>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</si>
  <si>
    <t>https://attack.mitre.org/techniques/T0803</t>
  </si>
  <si>
    <t>T0804</t>
  </si>
  <si>
    <t>Block Reporting Message</t>
  </si>
  <si>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</si>
  <si>
    <t>https://attack.mitre.org/techniques/T0804</t>
  </si>
  <si>
    <t>T0805</t>
  </si>
  <si>
    <t>Block Serial COM</t>
  </si>
  <si>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</si>
  <si>
    <t>https://attack.mitre.org/techniques/T0805</t>
  </si>
  <si>
    <t>T0806</t>
  </si>
  <si>
    <t>Brute Force I/O</t>
  </si>
  <si>
    <t>Impair Process Control</t>
  </si>
  <si>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</si>
  <si>
    <t>https://attack.mitre.org/techniques/T0806</t>
  </si>
  <si>
    <t>T0892</t>
  </si>
  <si>
    <t>Change Credential</t>
  </si>
  <si>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</si>
  <si>
    <t>https://attack.mitre.org/techniques/T0892</t>
  </si>
  <si>
    <t>T0858</t>
  </si>
  <si>
    <t>Change Operating Mode</t>
  </si>
  <si>
    <t>Evasion, Execution</t>
  </si>
  <si>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</si>
  <si>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https://attack.mitre.org/techniques/T0858</t>
  </si>
  <si>
    <t>T0807</t>
  </si>
  <si>
    <t>Command-Line Interface</t>
  </si>
  <si>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</si>
  <si>
    <t>https://attack.mitre.org/techniques/T0807</t>
  </si>
  <si>
    <t>T0885</t>
  </si>
  <si>
    <t>Commonly Used Port</t>
  </si>
  <si>
    <t>Command and Control</t>
  </si>
  <si>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</si>
  <si>
    <t>https://attack.mitre.org/techniques/T0885</t>
  </si>
  <si>
    <t>T0884</t>
  </si>
  <si>
    <t>Connection Proxy</t>
  </si>
  <si>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</si>
  <si>
    <t>https://attack.mitre.org/techniques/T0884</t>
  </si>
  <si>
    <t>T0879</t>
  </si>
  <si>
    <t>Damage to Property</t>
  </si>
  <si>
    <t>Impact</t>
  </si>
  <si>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</si>
  <si>
    <t>https://attack.mitre.org/techniques/T0879</t>
  </si>
  <si>
    <t>T0809</t>
  </si>
  <si>
    <t>Data Destruction</t>
  </si>
  <si>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</si>
  <si>
    <t>https://attack.mitre.org/techniques/T0809</t>
  </si>
  <si>
    <t>T0811</t>
  </si>
  <si>
    <t>Data from Information Repositories</t>
  </si>
  <si>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</si>
  <si>
    <t>https://attack.mitre.org/techniques/T0811</t>
  </si>
  <si>
    <t>T0893</t>
  </si>
  <si>
    <t>Data from Local System</t>
  </si>
  <si>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</si>
  <si>
    <t>https://attack.mitre.org/techniques/T0893</t>
  </si>
  <si>
    <t>T0812</t>
  </si>
  <si>
    <t>Default Credentials</t>
  </si>
  <si>
    <t>Lateral Movement</t>
  </si>
  <si>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</si>
  <si>
    <t>https://attack.mitre.org/techniques/T0812</t>
  </si>
  <si>
    <t>T0813</t>
  </si>
  <si>
    <t>Denial of Control</t>
  </si>
  <si>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</si>
  <si>
    <t>https://attack.mitre.org/techniques/T0813</t>
  </si>
  <si>
    <t>T0814</t>
  </si>
  <si>
    <t>Denial of Service</t>
  </si>
  <si>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</si>
  <si>
    <t>https://attack.mitre.org/techniques/T0814</t>
  </si>
  <si>
    <t>T0815</t>
  </si>
  <si>
    <t>Denial of View</t>
  </si>
  <si>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</si>
  <si>
    <t>https://attack.mitre.org/techniques/T0815</t>
  </si>
  <si>
    <t>T0868</t>
  </si>
  <si>
    <t>Detect Operating Mode</t>
  </si>
  <si>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</si>
  <si>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https://attack.mitre.org/techniques/T0868</t>
  </si>
  <si>
    <t>T0816</t>
  </si>
  <si>
    <t>Device Restart/Shutdown</t>
  </si>
  <si>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</si>
  <si>
    <t>https://attack.mitre.org/techniques/T0816</t>
  </si>
  <si>
    <t>T0817</t>
  </si>
  <si>
    <t>Drive-by Compromise</t>
  </si>
  <si>
    <t>Initial Access</t>
  </si>
  <si>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</si>
  <si>
    <t>https://attack.mitre.org/techniques/T0817</t>
  </si>
  <si>
    <t>T0871</t>
  </si>
  <si>
    <t>Execution through API</t>
  </si>
  <si>
    <t>Adversaries may attempt to leverage Application Program Interfaces (APIs) used for communication between control software and the hardware. Specific functionality is often coded into APIs which can be called by software to engage specific functions on a device or other software.</t>
  </si>
  <si>
    <t>https://attack.mitre.org/techniques/T0871</t>
  </si>
  <si>
    <t>T0819</t>
  </si>
  <si>
    <t>Exploit Public-Facing Application</t>
  </si>
  <si>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</si>
  <si>
    <t>https://attack.mitre.org/techniques/T0819</t>
  </si>
  <si>
    <t>T0820</t>
  </si>
  <si>
    <t>Exploitation for Evasion</t>
  </si>
  <si>
    <t>Evasion</t>
  </si>
  <si>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</si>
  <si>
    <t>https://attack.mitre.org/techniques/T0820</t>
  </si>
  <si>
    <t>T0890</t>
  </si>
  <si>
    <t>Exploitation for Privilege Escalation</t>
  </si>
  <si>
    <t>Privilege Escalation</t>
  </si>
  <si>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</si>
  <si>
    <t>https://attack.mitre.org/techniques/T0890</t>
  </si>
  <si>
    <t>T0866</t>
  </si>
  <si>
    <t>Exploitation of Remote Services</t>
  </si>
  <si>
    <t>Initial Access, Lateral Movement</t>
  </si>
  <si>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</si>
  <si>
    <t>https://attack.mitre.org/techniques/T0866</t>
  </si>
  <si>
    <t>T0822</t>
  </si>
  <si>
    <t>External Remote Services</t>
  </si>
  <si>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</si>
  <si>
    <t>https://attack.mitre.org/techniques/T0822</t>
  </si>
  <si>
    <t>T0823</t>
  </si>
  <si>
    <t>Graphical User Interface</t>
  </si>
  <si>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</si>
  <si>
    <t>https://attack.mitre.org/techniques/T0823</t>
  </si>
  <si>
    <t>T0891</t>
  </si>
  <si>
    <t>Hardcoded Credentials</t>
  </si>
  <si>
    <t>Lateral Movement, Persistence</t>
  </si>
  <si>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</si>
  <si>
    <t>https://attack.mitre.org/techniques/T0891</t>
  </si>
  <si>
    <t>T0874</t>
  </si>
  <si>
    <t>Hooking</t>
  </si>
  <si>
    <t>Execution, Privilege Escalation</t>
  </si>
  <si>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</si>
  <si>
    <t>https://attack.mitre.org/techniques/T0874</t>
  </si>
  <si>
    <t>T0877</t>
  </si>
  <si>
    <t>I/O Image</t>
  </si>
  <si>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</si>
  <si>
    <t>https://attack.mitre.org/techniques/T0877</t>
  </si>
  <si>
    <t>T0872</t>
  </si>
  <si>
    <t>Indicator Removal on Host</t>
  </si>
  <si>
    <t>Adversaries may attempt to remove indicators of their presence on a system in an effort to cover their tracks. In cases where an adversary may feel detection is imminent, they may try to overwrite, delete, or cover up changes they have made to the device.</t>
  </si>
  <si>
    <t>https://attack.mitre.org/techniques/T0872</t>
  </si>
  <si>
    <t>T0883</t>
  </si>
  <si>
    <t>Internet Accessible Device</t>
  </si>
  <si>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</si>
  <si>
    <t>https://attack.mitre.org/techniques/T0883</t>
  </si>
  <si>
    <t>T0867</t>
  </si>
  <si>
    <t>Lateral Tool Transfer</t>
  </si>
  <si>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</si>
  <si>
    <t>https://attack.mitre.org/techniques/T0867</t>
  </si>
  <si>
    <t>T0826</t>
  </si>
  <si>
    <t>Loss of Availability</t>
  </si>
  <si>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</si>
  <si>
    <t>https://attack.mitre.org/techniques/T0826</t>
  </si>
  <si>
    <t>T0827</t>
  </si>
  <si>
    <t>Loss of Control</t>
  </si>
  <si>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</si>
  <si>
    <t>https://attack.mitre.org/techniques/T0827</t>
  </si>
  <si>
    <t>T0828</t>
  </si>
  <si>
    <t>Loss of Productivity and Revenue</t>
  </si>
  <si>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</si>
  <si>
    <t>https://attack.mitre.org/techniques/T0828</t>
  </si>
  <si>
    <t>T0837</t>
  </si>
  <si>
    <t>Loss of Protection</t>
  </si>
  <si>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</si>
  <si>
    <t>https://attack.mitre.org/techniques/T0837</t>
  </si>
  <si>
    <t>T0880</t>
  </si>
  <si>
    <t>Loss of Safety</t>
  </si>
  <si>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</si>
  <si>
    <t>https://attack.mitre.org/techniques/T0880</t>
  </si>
  <si>
    <t>T0829</t>
  </si>
  <si>
    <t>Loss of View</t>
  </si>
  <si>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</si>
  <si>
    <t>https://attack.mitre.org/techniques/T0829</t>
  </si>
  <si>
    <t>T0835</t>
  </si>
  <si>
    <t>Manipulate I/O Image</t>
  </si>
  <si>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</si>
  <si>
    <t>https://attack.mitre.org/techniques/T0835</t>
  </si>
  <si>
    <t>T0831</t>
  </si>
  <si>
    <t>Manipulation of Control</t>
  </si>
  <si>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</si>
  <si>
    <t>https://attack.mitre.org/techniques/T0831</t>
  </si>
  <si>
    <t>T0832</t>
  </si>
  <si>
    <t>Manipulation of View</t>
  </si>
  <si>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</si>
  <si>
    <t>https://attack.mitre.org/techniques/T0832</t>
  </si>
  <si>
    <t>T0849</t>
  </si>
  <si>
    <t>Masquerading</t>
  </si>
  <si>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</si>
  <si>
    <t>https://attack.mitre.org/techniques/T0849</t>
  </si>
  <si>
    <t>T0838</t>
  </si>
  <si>
    <t>Modify Alarm Settings</t>
  </si>
  <si>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</si>
  <si>
    <t>https://attack.mitre.org/techniques/T0838</t>
  </si>
  <si>
    <t>T0821</t>
  </si>
  <si>
    <t>Modify Controller Tasking</t>
  </si>
  <si>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</si>
  <si>
    <t>https://attack.mitre.org/techniques/T0821</t>
  </si>
  <si>
    <t>T0836</t>
  </si>
  <si>
    <t>Modify Parameter</t>
  </si>
  <si>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</si>
  <si>
    <t>https://attack.mitre.org/techniques/T0836</t>
  </si>
  <si>
    <t>1.3</t>
  </si>
  <si>
    <t>T0889</t>
  </si>
  <si>
    <t>Modify Program</t>
  </si>
  <si>
    <t>Persistence</t>
  </si>
  <si>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</si>
  <si>
    <t>https://attack.mitre.org/techniques/T0889</t>
  </si>
  <si>
    <t>T0839</t>
  </si>
  <si>
    <t>Module Firmware</t>
  </si>
  <si>
    <t>Impair Process Control, Persistence</t>
  </si>
  <si>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</si>
  <si>
    <t>https://attack.mitre.org/techniques/T0839</t>
  </si>
  <si>
    <t>T0801</t>
  </si>
  <si>
    <t>Monitor Process State</t>
  </si>
  <si>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</si>
  <si>
    <t>https://attack.mitre.org/techniques/T0801</t>
  </si>
  <si>
    <t>T0834</t>
  </si>
  <si>
    <t>Native API</t>
  </si>
  <si>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</si>
  <si>
    <t>https://attack.mitre.org/techniques/T0834</t>
  </si>
  <si>
    <t>T0840</t>
  </si>
  <si>
    <t>Network Connection Enumeration</t>
  </si>
  <si>
    <t>Discovery</t>
  </si>
  <si>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</si>
  <si>
    <t>https://attack.mitre.org/techniques/T0840</t>
  </si>
  <si>
    <t>T0842</t>
  </si>
  <si>
    <t>Network Sniffing</t>
  </si>
  <si>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</si>
  <si>
    <t>https://attack.mitre.org/techniques/T0842</t>
  </si>
  <si>
    <t>T0861</t>
  </si>
  <si>
    <t>Point &amp; Tag Identification</t>
  </si>
  <si>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</si>
  <si>
    <t>https://attack.mitre.org/techniques/T0861</t>
  </si>
  <si>
    <t>T0843</t>
  </si>
  <si>
    <t>Program Download</t>
  </si>
  <si>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</si>
  <si>
    <t>https://attack.mitre.org/techniques/T0843</t>
  </si>
  <si>
    <t>T0845</t>
  </si>
  <si>
    <t>Program Upload</t>
  </si>
  <si>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</si>
  <si>
    <t>https://attack.mitre.org/techniques/T0845</t>
  </si>
  <si>
    <t>T0873</t>
  </si>
  <si>
    <t>Project File Infection</t>
  </si>
  <si>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</si>
  <si>
    <t>https://attack.mitre.org/techniques/T0873</t>
  </si>
  <si>
    <t>T0886</t>
  </si>
  <si>
    <t>Remote Services</t>
  </si>
  <si>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</si>
  <si>
    <t>https://attack.mitre.org/techniques/T0886</t>
  </si>
  <si>
    <t>T0846</t>
  </si>
  <si>
    <t>Remote System Discovery</t>
  </si>
  <si>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</si>
  <si>
    <t>https://attack.mitre.org/techniques/T0846</t>
  </si>
  <si>
    <t>T0888</t>
  </si>
  <si>
    <t>Remote System Information Discovery</t>
  </si>
  <si>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</si>
  <si>
    <t>https://attack.mitre.org/techniques/T0888</t>
  </si>
  <si>
    <t>T0847</t>
  </si>
  <si>
    <t>Replication Through Removable Media</t>
  </si>
  <si>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</si>
  <si>
    <t>https://attack.mitre.org/techniques/T0847</t>
  </si>
  <si>
    <t>T0848</t>
  </si>
  <si>
    <t>Rogue Master</t>
  </si>
  <si>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</si>
  <si>
    <t>https://attack.mitre.org/techniques/T0848</t>
  </si>
  <si>
    <t>T0851</t>
  </si>
  <si>
    <t>Rootkit</t>
  </si>
  <si>
    <t>Evasion, Inhibit Response Function</t>
  </si>
  <si>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</si>
  <si>
    <t>https://attack.mitre.org/techniques/T0851</t>
  </si>
  <si>
    <t>T0852</t>
  </si>
  <si>
    <t>Screen Capture</t>
  </si>
  <si>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</si>
  <si>
    <t>https://attack.mitre.org/techniques/T0852</t>
  </si>
  <si>
    <t>T0853</t>
  </si>
  <si>
    <t>Scripting</t>
  </si>
  <si>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</si>
  <si>
    <t>https://attack.mitre.org/techniques/T0853</t>
  </si>
  <si>
    <t>T0881</t>
  </si>
  <si>
    <t>Service Stop</t>
  </si>
  <si>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</si>
  <si>
    <t>https://attack.mitre.org/techniques/T0881</t>
  </si>
  <si>
    <t>T0865</t>
  </si>
  <si>
    <t>Spearphishing Attachment</t>
  </si>
  <si>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</si>
  <si>
    <t>https://attack.mitre.org/techniques/T0865</t>
  </si>
  <si>
    <t>T0856</t>
  </si>
  <si>
    <t>Spoof Reporting Message</t>
  </si>
  <si>
    <t>Evasion, Impair Process Control</t>
  </si>
  <si>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</si>
  <si>
    <t>https://attack.mitre.org/techniques/T0856</t>
  </si>
  <si>
    <t>T0869</t>
  </si>
  <si>
    <t>Standard Application Layer Protocol</t>
  </si>
  <si>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</si>
  <si>
    <t>https://attack.mitre.org/techniques/T0869</t>
  </si>
  <si>
    <t>T0862</t>
  </si>
  <si>
    <t>Supply Chain Compromise</t>
  </si>
  <si>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</si>
  <si>
    <t>https://attack.mitre.org/techniques/T0862</t>
  </si>
  <si>
    <t>T0894</t>
  </si>
  <si>
    <t>System Binary Proxy Execution</t>
  </si>
  <si>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</si>
  <si>
    <t>https://attack.mitre.org/techniques/T0894</t>
  </si>
  <si>
    <t>T0857</t>
  </si>
  <si>
    <t>System Firmware</t>
  </si>
  <si>
    <t>Inhibit Response Function, Persistence</t>
  </si>
  <si>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</si>
  <si>
    <t>https://attack.mitre.org/techniques/T0857</t>
  </si>
  <si>
    <t>T0882</t>
  </si>
  <si>
    <t>Theft of Operational Information</t>
  </si>
  <si>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</si>
  <si>
    <t>https://attack.mitre.org/techniques/T0882</t>
  </si>
  <si>
    <t>T0864</t>
  </si>
  <si>
    <t>Transient Cyber Asset</t>
  </si>
  <si>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</si>
  <si>
    <t>https://attack.mitre.org/techniques/T0864</t>
  </si>
  <si>
    <t>T0855</t>
  </si>
  <si>
    <t>Unauthorized Command Message</t>
  </si>
  <si>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</si>
  <si>
    <t>https://attack.mitre.org/techniques/T0855</t>
  </si>
  <si>
    <t>T0863</t>
  </si>
  <si>
    <t>User Execution</t>
  </si>
  <si>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</si>
  <si>
    <t>https://attack.mitre.org/techniques/T0863</t>
  </si>
  <si>
    <t>T0859</t>
  </si>
  <si>
    <t>Valid Accounts</t>
  </si>
  <si>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</si>
  <si>
    <t>https://attack.mitre.org/techniques/T0859</t>
  </si>
  <si>
    <t>T0860</t>
  </si>
  <si>
    <t>Wireless Compromise</t>
  </si>
  <si>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</si>
  <si>
    <t>https://attack.mitre.org/techniques/T0860</t>
  </si>
  <si>
    <t>T0887</t>
  </si>
  <si>
    <t>Wireless Sniffing</t>
  </si>
  <si>
    <t>Collection, Discovery</t>
  </si>
  <si>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</si>
  <si>
    <t>https://attack.mitre.org/techniques/T0887</t>
  </si>
  <si>
    <t>Nombre Mitigación</t>
  </si>
  <si>
    <t>Controles ISO 27001 Relacionados</t>
  </si>
  <si>
    <t>M0801</t>
  </si>
  <si>
    <t>Access Management</t>
  </si>
  <si>
    <t>Access Management technologies can be used to enforce authorization polices and decisions, especially when existing field devices do not provide sufficient capabilities to support user identification and authentication. (Citation: McCarthy, J et al. July 2018) These technologies typically utilize an in-line network device or gateway system to prevent access to unauthenticated users, while also integrating with an authentication service to first verify user credentials. (Citation: Centre for the Protection of National Infrastructure November 2010)</t>
  </si>
  <si>
    <t>M0936</t>
  </si>
  <si>
    <t>Account Use Policies</t>
  </si>
  <si>
    <t>Configure features related to account use like login attempt lockouts, specific login times, etc.</t>
  </si>
  <si>
    <t>M0915</t>
  </si>
  <si>
    <t>Active Directory Configuration</t>
  </si>
  <si>
    <t>Configure Active Directory to prevent use of certain techniques; use security identifier (SID) Filtering, etc.</t>
  </si>
  <si>
    <t>M0949</t>
  </si>
  <si>
    <t>Antivirus/Antimalware</t>
  </si>
  <si>
    <t>Use signatures or heuristics to detect malicious software.  Within industrial control environments, antivirus/antimalware installations should be limited to assets that are not involved in critical or real-time operations. To minimize the impact to system availability, all products should first be validated within a representative test environment before deployment to production systems. (Citation: NCCIC August 2018)</t>
  </si>
  <si>
    <t>M0913</t>
  </si>
  <si>
    <t>Application Developer Guidance</t>
  </si>
  <si>
    <t>This mitigation describes any guidance or training given to developers of applications to avoid introducing security weaknesses that an adversary may be able to take advantage of.</t>
  </si>
  <si>
    <t>M0948</t>
  </si>
  <si>
    <t>Application Isolation and Sandboxing</t>
  </si>
  <si>
    <t>Restrict the execution of code to a virtual environment on or in-transit to an endpoint system.</t>
  </si>
  <si>
    <t>M0947</t>
  </si>
  <si>
    <t>Audit</t>
  </si>
  <si>
    <t>Perform audits or scans of systems, permissions, insecure software, insecure configurations, etc. to identify potential weaknesses. Perform periodic integrity checks of the device to validate the correctness of the firmware, software, programs, and configurations. Integrity checks, which typically include cryptographic hashes or digital signatures, should be compared to those obtained at known valid states, especially after events like device reboots, program downloads, or program restarts.</t>
  </si>
  <si>
    <t>M0800</t>
  </si>
  <si>
    <t>Authorization Enforcement</t>
  </si>
  <si>
    <t>The device or system should restrict read, manipulate, or execute privileges to only authenticated users who require access based on approved security policies.  Role-based Access Control (RBAC) schemes can help reduce the overhead of assigning permissions to the large number of devices within an ICS. For example, IEC 62351 provides examples of roles used to support common system operations within the electric power sector  (Citation: International Electrotechnical Commission July 2020), while IEEE 1686 defines standard permissions for users of IEDs. (Citation: Institute of Electrical and Electronics Engineers January 2014)</t>
  </si>
  <si>
    <t>M0946</t>
  </si>
  <si>
    <t>Boot Integrity</t>
  </si>
  <si>
    <t>Use secure methods to boot a system and verify the integrity of the operating system and loading mechanisms.</t>
  </si>
  <si>
    <t>M0945</t>
  </si>
  <si>
    <t>Code Signing</t>
  </si>
  <si>
    <t>Enforce binary and application integrity with digital signature verification to prevent untrusted code from executing.</t>
  </si>
  <si>
    <t>M0802</t>
  </si>
  <si>
    <t>Communication Authenticity</t>
  </si>
  <si>
    <t>When communicating over an untrusted network, utilize secure network protocols that both authenticate the message sender and can verify its integrity. This can be done either through message authentication codes (MACs) or digital signatures, to detect spoofed network messages and unauthorized connections.</t>
  </si>
  <si>
    <t>M0953</t>
  </si>
  <si>
    <t>Data Backup</t>
  </si>
  <si>
    <t>Take and store data backups from end user systems and critical servers. Ensure backup and storage systems are hardened and kept separate from the corporate network to prevent compromise.   Maintain and exercise incident response plans  (Citation: Department of Homeland Security October 2009), including the management of  'gold-copy' back-up images and configurations for key systems to enable quick recovery and response from adversarial activities that impact control, view, or availability.</t>
  </si>
  <si>
    <t>M0803</t>
  </si>
  <si>
    <t>Data Loss Prevention</t>
  </si>
  <si>
    <t>Data Loss Prevention (DLP) technologies can be used to help identify adversarial attempts to exfiltrate operational information, such as engineering plans, trade secrets, recipes, intellectual property, or process telemetry. DLP functionality may be built into other security products such as firewalls or standalone suites running on the network and host-based agents. DLP may be configured to prevent the transfer of information through corporate resources such as email, web, and physical media such as USB for host-based solutions.</t>
  </si>
  <si>
    <t>M0942</t>
  </si>
  <si>
    <t>Disable or Remove Feature or Program</t>
  </si>
  <si>
    <t>Remove or deny access to unnecessary and potentially vulnerable software to prevent abuse by adversaries.</t>
  </si>
  <si>
    <t>M0808</t>
  </si>
  <si>
    <t>Encrypt Network Traffic</t>
  </si>
  <si>
    <t>Utilize strong cryptographic techniques and protocols to prevent eavesdropping on network communications.</t>
  </si>
  <si>
    <t>M0941</t>
  </si>
  <si>
    <t>Encrypt Sensitive Information</t>
  </si>
  <si>
    <t>Protect sensitive data-at-rest with strong encryption.</t>
  </si>
  <si>
    <t>M0938</t>
  </si>
  <si>
    <t>Execution Prevention</t>
  </si>
  <si>
    <t>Block execution of code on a system through application control, and/or script blocking.</t>
  </si>
  <si>
    <t>M0950</t>
  </si>
  <si>
    <t>Exploit Protection</t>
  </si>
  <si>
    <t>Use capabilities to detect and block conditions that may lead to or be indicative of a software exploit occurring.</t>
  </si>
  <si>
    <t>M0937</t>
  </si>
  <si>
    <t>Filter Network Traffic</t>
  </si>
  <si>
    <t>Use network appliances to filter ingress or egress traffic and perform protocol-based filtering. Configure software on endpoints to filter network traffic.   Perform inline allow/denylisting of network messages based on the application layer (OSI Layer 7) protocol, especially for automation protocols. Application allowlists are beneficial when there are well-defined communication sequences, types, rates, or patterns needed during expected system operations. Application denylists may be needed if all acceptable communication sequences cannot be defined, but instead a set of known malicious uses can be denied (e.g., excessive communication  attempts, shutdown messages, invalid commands).  Devices performing these functions are often referred to as deep-packet inspection (DPI) firewalls, context-aware firewalls, or firewalls blocking specific automation/SCADA protocol aware firewalls. (Citation: Centre for the Protection of National Infrastructure February 2005)</t>
  </si>
  <si>
    <t>M0804</t>
  </si>
  <si>
    <t>Human User Authentication</t>
  </si>
  <si>
    <t>Require user authentication before allowing access to data or accepting commands to a device. While strong multi-factor authentication is preferable, it is not always feasible within ICS environments. Performing strong user authentication also requires additional security controls and processes which are often the target of related adversarial techniques (e.g., Valid Accounts, Default Credentials). Therefore, associated ATT&amp;CK mitigations should be considered in addition to this, including [Multi-factor Authentication](https://attack.mitre.org/mitigations/M0932), [Account Use Policies](https://attack.mitre.org/mitigations/M0936), [Password Policies](https://attack.mitre.org/mitigations/M0927), [User Account Management](https://attack.mitre.org/mitigations/M0918), [Privileged Account Management](https://attack.mitre.org/mitigations/M0926), and [User Account Control](https://attack.mitre.org/mitigations/M1052).</t>
  </si>
  <si>
    <t>M0935</t>
  </si>
  <si>
    <t>Limit Access to Resource Over Network</t>
  </si>
  <si>
    <t>Prevent access to file shares, remote access to systems, unnecessary services. Mechanisms to limit access may include use of network concentrators, RDP gateways, etc.</t>
  </si>
  <si>
    <t>M0934</t>
  </si>
  <si>
    <t>Limit Hardware Installation</t>
  </si>
  <si>
    <t>Block users or groups from installing or using unapproved hardware on systems, including USB devices.</t>
  </si>
  <si>
    <t>M0805</t>
  </si>
  <si>
    <t>Mechanical Protection Layers</t>
  </si>
  <si>
    <t xml:space="preserve">Utilize a layered protection design based on physical or mechanical protection systems to prevent damage to property, equipment, human safety, or the environment. Examples include interlocks, rupture disk, release values, etc. (Citation: A G Foord, W G Gulland, C R Howard, T Kellacher, W H Smith 2004) </t>
  </si>
  <si>
    <t>M0806</t>
  </si>
  <si>
    <t>Minimize Wireless Signal Propagation</t>
  </si>
  <si>
    <t>Wireless signals frequently propagate outside of organizational boundaries, which provide opportunities for adversaries to monitor or gain unauthorized access to the wireless network. (Citation: CISA March 2010) To minimize this threat, organizations should implement measures to detect, understand, and reduce unnecessary RF propagation. (Citation: DHS  National Urban Security Technology Laboratory April 2019)</t>
  </si>
  <si>
    <t>M0816</t>
  </si>
  <si>
    <t>Mitigation Limited or Not Effective</t>
  </si>
  <si>
    <t>This type of attack technique cannot be easily mitigated with preventative controls since it is based on the abuse of system features.</t>
  </si>
  <si>
    <t>M0932</t>
  </si>
  <si>
    <t>Multi-factor Authentication</t>
  </si>
  <si>
    <t>Use two or more pieces of evidence to authenticate to a system; such as username and password in addition to a token from a physical smart card or token generator.  Within industrial control environments assets such as low-level controllers, workstations, and HMIs have real-time operational control and safety requirements which may restrict the use of multi-factor.</t>
  </si>
  <si>
    <t>M0807</t>
  </si>
  <si>
    <t>Network Allowlists</t>
  </si>
  <si>
    <t>Network allowlists can be implemented through either host-based files or system hosts files to specify what connections (e.g., IP address, MAC address, port, protocol) can be made from a device. Allowlist techniques that operate at the  application layer (e.g., DNP3, Modbus, HTTP) are addressed in [Filter Network Traffic](https://attack.mitre.org/mitigations/M0937) mitigation.</t>
  </si>
  <si>
    <t>M0931</t>
  </si>
  <si>
    <t>Network Intrusion Prevention</t>
  </si>
  <si>
    <t>Use intrusion detection signatures to block traffic at network boundaries.  In industrial control environments, network intrusion prevention should be configured so it will not disrupt protocols and communications responsible for real-time functions related to control or safety.</t>
  </si>
  <si>
    <t>M0930</t>
  </si>
  <si>
    <t>Network Segmentation</t>
  </si>
  <si>
    <t>Architect sections of the network to isolate critical systems, functions, or resources. Use physical and logical segmentation to prevent access to potentially sensitive systems and information. Use a DMZ to contain any internet-facing services that should not be exposed from the internal network.  Restrict network access to only required systems and services. In addition, prevent systems from other networks or business functions (e.g., enterprise) from accessing critical process control systems. For example, in IEC 62443, systems within the same secure level should be grouped into a zone, and access to that zone is restricted by a conduit, or mechanism to restrict data flows between zones by segmenting the network. (Citation: IEC February 2019) (Citation: IEC August 2013)</t>
  </si>
  <si>
    <t>M0928</t>
  </si>
  <si>
    <t>Operating System Configuration</t>
  </si>
  <si>
    <t>Make configuration changes related to the operating system or a common feature of the operating system that result in system hardening against techniques.</t>
  </si>
  <si>
    <t>M0809</t>
  </si>
  <si>
    <t>Operational Information Confidentiality</t>
  </si>
  <si>
    <t>Deploy mechanisms to protect the confidentiality of information related to operational processes, facility locations, device configurations, programs, or databases that may have information that can be used to infer organizational trade-secrets, recipes, and other intellectual property (IP).</t>
  </si>
  <si>
    <t>M0810</t>
  </si>
  <si>
    <t>Out-of-Band Communications Channel</t>
  </si>
  <si>
    <t>Have alternative methods to support communication requirements during communication failures and data integrity attacks. (Citation: National Institute of Standards and Technology April 2013) (Citation: Defense Advanced Research Projects Agency)</t>
  </si>
  <si>
    <t>M0927</t>
  </si>
  <si>
    <t>Password Policies</t>
  </si>
  <si>
    <t>Set and enforce secure password policies for accounts.</t>
  </si>
  <si>
    <t>M0926</t>
  </si>
  <si>
    <t>Privileged Account Management</t>
  </si>
  <si>
    <t>Manage the creation, modification, use, and permissions associated to privileged accounts, including SYSTEM and root.</t>
  </si>
  <si>
    <t>M0811</t>
  </si>
  <si>
    <t>Redundancy of Service</t>
  </si>
  <si>
    <t>Redundancy could be provided for both critical ICS devices and services, such as back-up devices or hot-standbys.</t>
  </si>
  <si>
    <t>M0922</t>
  </si>
  <si>
    <t>Restrict File and Directory Permissions</t>
  </si>
  <si>
    <t>Restrict access by setting directory and file permissions that are not specific to users or privileged accounts.</t>
  </si>
  <si>
    <t>M0944</t>
  </si>
  <si>
    <t>Restrict Library Loading</t>
  </si>
  <si>
    <t>Prevent abuse of library loading mechanisms in the operating system and software to load untrusted code by configuring appropriate library loading mechanisms and investigating potential vulnerable software.</t>
  </si>
  <si>
    <t>M0924</t>
  </si>
  <si>
    <t>Restrict Registry Permissions</t>
  </si>
  <si>
    <t>Restrict the ability to modify certain hives or keys in the Windows Registry.</t>
  </si>
  <si>
    <t>M0921</t>
  </si>
  <si>
    <t>Restrict Web-Based Content</t>
  </si>
  <si>
    <t>Restrict use of certain websites, block downloads/attachments, block Javascript, restrict browser extensions, etc.</t>
  </si>
  <si>
    <t>M0920</t>
  </si>
  <si>
    <t>SSL/TLS Inspection</t>
  </si>
  <si>
    <t>Break and inspect SSL/TLS sessions to look at encrypted web traffic for adversary activity.</t>
  </si>
  <si>
    <t>M0812</t>
  </si>
  <si>
    <t>Safety Instrumented Systems</t>
  </si>
  <si>
    <t>Utilize Safety Instrumented Systems (SIS) to provide an additional layer of protection to hazard scenarios that may cause property damage. A SIS will typically include sensors, logic solvers, and a final control element that can be used to automatically respond to an hazardous condition  (Citation: A G Foord, W G Gulland, C R Howard, T Kellacher, W H Smith 2004) . Ensure that all SISs are segmented from operational networks to prevent them from being targeted by additional adversarial behavior.</t>
  </si>
  <si>
    <t>M0954</t>
  </si>
  <si>
    <t>Software Configuration</t>
  </si>
  <si>
    <t>Implement configuration changes to software (other than the operating system) to mitigate security risks associated with how the software operates.</t>
  </si>
  <si>
    <t>M0813</t>
  </si>
  <si>
    <t>Software Process and Device Authentication</t>
  </si>
  <si>
    <t>Require the authentication of devices and software processes where appropriate. Devices that connect remotely to other systems should require strong authentication to prevent spoofing of communications. Furthermore, software processes should also require authentication when accessing APIs.</t>
  </si>
  <si>
    <t>M0814</t>
  </si>
  <si>
    <t>Static Network Configuration</t>
  </si>
  <si>
    <t>Configure hosts and devices to use static network configurations when possible, protocols that require dynamic discovery/addressing (e.g., ARP, DHCP, DNS) can be used to manipulate network message forwarding and enable various AiTM attacks. This mitigation may not always be usable due to limited device features or challenges introduced with different network configurations.</t>
  </si>
  <si>
    <t>M0817</t>
  </si>
  <si>
    <t>Supply Chain Management</t>
  </si>
  <si>
    <t>Implement a supply chain management program, including policies and procedures to ensure all devices and components originate from a trusted supplier and are tested to verify their integrity.</t>
  </si>
  <si>
    <t>M0919</t>
  </si>
  <si>
    <t>Threat Intelligence Program</t>
  </si>
  <si>
    <t>A threat intelligence program helps an organization generate their own threat intelligence information and track trends to inform defensive priorities to mitigate risk.</t>
  </si>
  <si>
    <t>M0951</t>
  </si>
  <si>
    <t>Update Software</t>
  </si>
  <si>
    <t>Perform regular software updates to mitigate exploitation risk. Software updates may need to be scheduled around operational down times.</t>
  </si>
  <si>
    <t>M0918</t>
  </si>
  <si>
    <t>User Account Management</t>
  </si>
  <si>
    <t>Manage the creation, modification, use, and permissions associated to user accounts.</t>
  </si>
  <si>
    <t>M0917</t>
  </si>
  <si>
    <t>User Training</t>
  </si>
  <si>
    <t>Train users to be aware of access or manipulation attempts by an adversary to reduce the risk of successful spearphishing, social engineering, and other techniques that involve user interaction.</t>
  </si>
  <si>
    <t>M0818</t>
  </si>
  <si>
    <t>Validate Program Inputs</t>
  </si>
  <si>
    <t>Devices and programs designed to interact with control system parameters should validate the format and content of all user inputs and actions to ensure the values are within intended operational ranges. These values should be evaluated and further enforced through the program logic running on the field controller. If a problematic or invalid input is identified, the programs should either utilize a predetermined safe value or enter a known safe state, while also logging or alerting on the event.(Citation: PLCTop20 Mar 2023)</t>
  </si>
  <si>
    <t>M0916</t>
  </si>
  <si>
    <t>Vulnerability Scanning</t>
  </si>
  <si>
    <t>Vulnerability scanning is used to find potentially exploitable software vulnerabilities to remediate them.</t>
  </si>
  <si>
    <t>M0815</t>
  </si>
  <si>
    <t>Watchdog Timers</t>
  </si>
  <si>
    <t>Utilize watchdog timers to ensure devices can quickly detect whether a system is unresponsive.</t>
  </si>
  <si>
    <t>MÉTRICAS E INDICADORES (KPIs)</t>
  </si>
  <si>
    <t>ID KPI</t>
  </si>
  <si>
    <t>Nombre KPI</t>
  </si>
  <si>
    <t>Fórmula</t>
  </si>
  <si>
    <t>Frecuencia</t>
  </si>
  <si>
    <t>Objetivo</t>
  </si>
  <si>
    <t>Actual</t>
  </si>
  <si>
    <t>Última Medición</t>
  </si>
  <si>
    <t>KPI-001</t>
  </si>
  <si>
    <t>Tiempo medio resolución incidentes</t>
  </si>
  <si>
    <t>Tiempo promedio desde detección hasta cierre</t>
  </si>
  <si>
    <t>Suma tiempos / Total incidentes</t>
  </si>
  <si>
    <t>Mensual</t>
  </si>
  <si>
    <t>&lt; 24h</t>
  </si>
  <si>
    <t>18h</t>
  </si>
  <si>
    <t>✅ OK</t>
  </si>
  <si>
    <t>KPI-002</t>
  </si>
  <si>
    <t>Incidentes críticos</t>
  </si>
  <si>
    <t>Número de incidentes de severidad crítica</t>
  </si>
  <si>
    <t>Count(Severidad=Crítica)</t>
  </si>
  <si>
    <t>&lt; 3</t>
  </si>
  <si>
    <t>KPI-003</t>
  </si>
  <si>
    <t>Vulnerabilidades sin parchear</t>
  </si>
  <si>
    <t>Vulnerabilidades críticas pendientes</t>
  </si>
  <si>
    <t>Count(Estado=Abierta AND Sev=Crítica)</t>
  </si>
  <si>
    <t>Semanal</t>
  </si>
  <si>
    <t>⚠️ Riesgo</t>
  </si>
  <si>
    <t>05/11/2025</t>
  </si>
  <si>
    <t>KPI-004</t>
  </si>
  <si>
    <t>Cumplimiento controles ISO</t>
  </si>
  <si>
    <t>Porcentaje de controles implementados</t>
  </si>
  <si>
    <t>(Implementados / Total) * 100</t>
  </si>
  <si>
    <t>Trimestral</t>
  </si>
  <si>
    <t>&gt; 90%</t>
  </si>
  <si>
    <t>85%</t>
  </si>
  <si>
    <t>01/10/2025</t>
  </si>
  <si>
    <t>KPI-005</t>
  </si>
  <si>
    <t>Empleados formados</t>
  </si>
  <si>
    <t>Porcentaje con formación actualizada</t>
  </si>
  <si>
    <t>(Formados / Total) * 100</t>
  </si>
  <si>
    <t>Semestral</t>
  </si>
  <si>
    <t>&gt; 95%</t>
  </si>
  <si>
    <t>98%</t>
  </si>
  <si>
    <t>15/09/2025</t>
  </si>
  <si>
    <t>LOG DE ACCIONES Y CAMBIOS</t>
  </si>
  <si>
    <t>Acción</t>
  </si>
  <si>
    <t>Módulo/Hoja</t>
  </si>
  <si>
    <t>Detalle</t>
  </si>
  <si>
    <t>IP/Host</t>
  </si>
  <si>
    <t>06/11/2025 15:16</t>
  </si>
  <si>
    <t>Nuevo activo creado</t>
  </si>
  <si>
    <t>Activos</t>
  </si>
  <si>
    <t>ACT-2025-001: Servidor Principal</t>
  </si>
  <si>
    <t>Completado</t>
  </si>
  <si>
    <t>PC-ADMIN-01</t>
  </si>
  <si>
    <t>Registro automático</t>
  </si>
  <si>
    <t>Riesgo actualizado</t>
  </si>
  <si>
    <t>Matriz_Riesgos</t>
  </si>
  <si>
    <t>RIESGO-001: Nivel cambiado a Alto</t>
  </si>
  <si>
    <t>PC-CISO-01</t>
  </si>
  <si>
    <t>Reevaluación trimestral</t>
  </si>
  <si>
    <t>Dashboard actualizado</t>
  </si>
  <si>
    <t>Reporte de activos generado: 6 activos</t>
  </si>
  <si>
    <t>Nuevo activo creado: ACT-2025-010</t>
  </si>
  <si>
    <t>Nuevo activo creado: ACT-2025-006</t>
  </si>
  <si>
    <t>Reporte de activos generado: 4 activos</t>
  </si>
  <si>
    <t>Reporte de activos generado: 3 activos</t>
  </si>
  <si>
    <t>Activos exportados a CSV: Activos_20251106.csv</t>
  </si>
  <si>
    <t>Validación de duplicados: 0 encontrados</t>
  </si>
  <si>
    <t>Activos exportados a: C:\Users\david\Downloads\Inventario_Activos_20251112_053428.pdf</t>
  </si>
  <si>
    <t>Visualización assets ICS MITRE (14 categorías)</t>
  </si>
  <si>
    <t>DESKTOP-V8M19AP</t>
  </si>
  <si>
    <t>Reporte completo exportado: Reporte_SGSI_Completo_20251112_062539.pdf</t>
  </si>
  <si>
    <t>Nuevo activo creado: ACT-2025-007</t>
  </si>
  <si>
    <t>Hoja Config_Tuning actualizada</t>
  </si>
  <si>
    <t>Tuning auditor aplicado a 0 riesgos (errores: 4)</t>
  </si>
  <si>
    <t>Nivel (1-5)</t>
  </si>
  <si>
    <t>Etiqueta</t>
  </si>
  <si>
    <t>Factor_Tuning</t>
  </si>
  <si>
    <t>Interpretación</t>
  </si>
  <si>
    <t>Detalle técnico</t>
  </si>
  <si>
    <t>Muy Atenuante (-2)</t>
  </si>
  <si>
    <t>Reduce fuertemente el riesgo calculado</t>
  </si>
  <si>
    <t>Controles compensatorios muy robustos que la fórmula estándar no refleja.</t>
  </si>
  <si>
    <t>Atenuante (-1)</t>
  </si>
  <si>
    <t>Reduce moderadamente el riesgo</t>
  </si>
  <si>
    <t>Arquitectura protegida, controles adicionales efectivos, exposición menor a la teórica.</t>
  </si>
  <si>
    <t>Neutro (0)</t>
  </si>
  <si>
    <t>No ajusta el riesgo</t>
  </si>
  <si>
    <t>Lo que muestra la matriz coincide con la realidad observada en la auditoría.</t>
  </si>
  <si>
    <t>Agravante (+1)</t>
  </si>
  <si>
    <t>Aumenta moderadamente el riesgo</t>
  </si>
  <si>
    <t>Brechas relevantes, controles débiles o mala cultura de seguridad.</t>
  </si>
  <si>
    <t>Muy Agravante (+2)</t>
  </si>
  <si>
    <t>Aumenta fuertemente el riesgo</t>
  </si>
  <si>
    <t>Hallazgo crítico o "suicidio digital": vulnerabilidad explotable activa.</t>
  </si>
  <si>
    <t>ID Asset</t>
  </si>
  <si>
    <t>Nombre Asset ICS</t>
  </si>
  <si>
    <t>Activos SGSI Relacionados</t>
  </si>
  <si>
    <t>A0008</t>
  </si>
  <si>
    <t>Application Server</t>
  </si>
  <si>
    <t>Application servers are used across many different sectors to host various diverse software applications necessary to supporting the ICS. Example functions can include data analytics and reporting, alarm management, and the management/coordination of different control servers.  The application server typically runs on a modern server operating system (e.g., MS Windows Server).</t>
  </si>
  <si>
    <t>A0007</t>
  </si>
  <si>
    <t>Control Server</t>
  </si>
  <si>
    <t>Control servers are typically a software platform that runs on a modern server operating system (e.g., MS Windows Server). The server typically uses one or more automation protocols (e.g., Modbus, DNP3) to communicate with the various low-level control devices such as Remote Terminal Units (RTUs) and Programmable Logic Controllers (PLCs). The control server also usually provides an interface/network service to connect with an HMI.</t>
  </si>
  <si>
    <t>A0009</t>
  </si>
  <si>
    <t>Data Gateway</t>
  </si>
  <si>
    <t xml:space="preserve">Data Gateway is a device that supports the communication and exchange of data between different systems, networks, or protocols within the ICS. Different types of data gateways are used to perform various functions, including:
 *  &lt;u&gt;Protocol Translation:&lt;/u&gt; Enable communication to devices that support different or incompatible protocols by translating information from one protocol to another. 
 *  &lt;u&gt;Media Converter:&lt;/u&gt; Convert data across different Layer 1 and 2 network protocols / mediums, for example, converting from Serial to Ethernet. 
 *  &lt;u&gt;Data Aggregation:&lt;/u&gt; Collect and combine data from different devices into one consistent format and protocol interface. 
Data gateways are often critical to the forwarding/transmission of critical control or monitoring data within the ICS. Further, these devices often have remote various network services that are used to communicate across different zones or networks.  
These assets may focus on a single function listed below or combinations of these functions to best fit the industry use-case. 
</t>
  </si>
  <si>
    <t>A0006</t>
  </si>
  <si>
    <t>Data Historian</t>
  </si>
  <si>
    <t>Data historians, or historian, are systems used to collect and store data, including telemetry, events, alerts, and alarms about the operational process and supporting devices. The historian typically utilizes a database to store this data, and commonly provide tools and interfaces to support the analysis of the data. Data historians are often used to support various engineering or business analysis functions and therefore commonly needs access from the corporate network. Data historians often work in a hierarchical paradigm where lower/site level historians collect and store data which is then aggregated into a site/plant level historian. Therefore, data historians often have remote services that can be accessed externally from the ICS network.</t>
  </si>
  <si>
    <t>A0013</t>
  </si>
  <si>
    <t>Field I/O</t>
  </si>
  <si>
    <t xml:space="preserve">Field I/O are devices that communicate with a controller or data aggregator to either send input data or receive output data. Input data may include readings about a given environment/device state from sensors, while output data may include data sent back to actuators for them to either undertake actions or change parameter values.(Citation: Guidance - NIST SP800-82) These devices are frequently embedded devices running on lightweight embedded operating systems or RTOSes. </t>
  </si>
  <si>
    <t>A0002</t>
  </si>
  <si>
    <t>Human-Machine Interface (HMI)</t>
  </si>
  <si>
    <t>Human-Machine Interfaces (HMIs) are systems used by an operator to monitor the real-time status of an operational process and to perform necessary control functions, including the adjustment of device parameters. An HMI can take various forms, including a dedicated screen or control panel integrated with a specific device/controller, or a customizable software GUI application running on a standard operating system (e.g., MS Windows) that interfaces with a control/SCADA server. The HMI is critical to ensuring operators have sufficient visibility and control over the operational process.</t>
  </si>
  <si>
    <t>A0005</t>
  </si>
  <si>
    <t>Intelligent Electronic Device (IED)</t>
  </si>
  <si>
    <t>An Intelligent Electronic Device (IED) is a type of specialized field device that is designed to perform specific operational functions, frequently for protection, monitoring, or control within the electric sector. IEDs are typically used to both acquire telemetry and execute tailored control algorithms/actions based on customizable parameters/settings. An IED is usually implemented as a dedicated embedded device and supports various network automation protocols to communicate with RTUs and Control Servers.</t>
  </si>
  <si>
    <t>A0012</t>
  </si>
  <si>
    <t>Jump Host</t>
  </si>
  <si>
    <t xml:space="preserve">Jump hosts are devices used to support remote management sessions into ICS networks or devices. The system is used to access the ICS environment securely from external networks, such as the corporate network. The user must first remote into the jump host before they can access ICS devices. The jump host may be a customized Windows server using common remote access protocols (e.g., RDP) or a dedicated access management device. The jump host typically performs various security functions to ensure the authenticity of remote sessions, including authentication, enforcing access controls/permissions, and auditing all access attempts.  </t>
  </si>
  <si>
    <t>A0003</t>
  </si>
  <si>
    <t>Programmable Logic Controller (PLC)</t>
  </si>
  <si>
    <t>A Programmable Logic Controller (PLC) is an embedded programmable control device. PLCs typically utilize a modular architecture with separate modules used to support its processing capabilities, communication mediums, and I/O interfaces. PLCs allow for the deployment of customized programs/logic to control or monitor an operational process. This logic is defined using industry specific programming languages, such as IEC 61131 (Citation: IEC February 2013), which define the set of tasks and program organizational units (POUs) included in the device’s programs.  PLCs also typically have distinct operating modes (e.g., Remote, Run, Program, Stop) which are used to determine when the device can be programmed or whether it should execute the custom logic.</t>
  </si>
  <si>
    <t>A0004</t>
  </si>
  <si>
    <t>Remote Terminal Unit (RTU)</t>
  </si>
  <si>
    <t>A Remote Terminal Unit (RTU) is a device that typically resides between field devices (e.g., PLCs, IEDs) and control/SCADA servers and supports various communication interfacing and data aggregation functions. RTUs are typically responsible for forwarding commands from the control server and the collection of telemetry, events, and alerts from the field devices. An RTU can be implemented as a dedicated embedded device, as software platform that runs on a hardened/ruggedized computer, or using a custom application program on a PLC.</t>
  </si>
  <si>
    <t>A0014</t>
  </si>
  <si>
    <t>Routers</t>
  </si>
  <si>
    <t>A computer that is a gateway between two networks at OSI layer 3 and that relays and directs data packets through that inter-network. The most common form of router operates on IP packets.(Citation: IETF RFC4949 2007)</t>
  </si>
  <si>
    <t>A0010</t>
  </si>
  <si>
    <t>Safety Controller</t>
  </si>
  <si>
    <t>Safety controllers are typically a type of field device used to perform the safety critical function. Safety controllers often support the deployment of custom programs/logic, similar to a PLC, but can also be tailored for sector specific functions/applications. The safety controllers typically utilize redundant hardware and processors to ensure they operate reliably if a component fails.</t>
  </si>
  <si>
    <t>A0011</t>
  </si>
  <si>
    <t>Virtual Private Network (VPN) Server</t>
  </si>
  <si>
    <t>A VPN server is a device that is used to establish a secure network tunnel between itself and other remote VPN devices, including field VPNs. VPN servers can be used to establish a secure connection with a single remote device, or to securely bridge all traffic between two separate networks together by encapsulating all data between those networks. VPN servers typically support remote network services that are used by field VPNs to initiate the establishment of the secure VPN tunnel between the field device and server.</t>
  </si>
  <si>
    <t>A0001</t>
  </si>
  <si>
    <t>Workstation</t>
  </si>
  <si>
    <t>Workstations are devices used by human operators or engineers to perform various configuration, programming, maintenance, diagnostic, or operational tasks. Workstations typically utilize standard desktop or laptop hardware and operating systems (e.g., MS Windows), but run dedicated control system applications or diagnostic/management software     to support interfacing with the control servers or field devices. Some workstations have a fixed location within the network architecture, while others are transient devices that are directly connected to various field devices to support local management activities.</t>
  </si>
  <si>
    <t>🎯 GUÍA DE MAPEO MITRE ATT&amp;CK ICS - EJEMPLOS PRÁCTICOS</t>
  </si>
  <si>
    <t>Esta hoja muestra ejemplos de cómo mapear tus activos, riesgos y amenazas con códigos MITRE</t>
  </si>
  <si>
    <t>📦 EJEMPLO 1: MAPEO DE ACTIVOS CON ASSETS ICS MITRE</t>
  </si>
  <si>
    <t>Tipo de Activo</t>
  </si>
  <si>
    <t>Ejemplo Real</t>
  </si>
  <si>
    <t>Confianza</t>
  </si>
  <si>
    <t>Técnica MITRE #1</t>
  </si>
  <si>
    <t>Conf%</t>
  </si>
  <si>
    <t>Técnica #2</t>
  </si>
  <si>
    <t>PLC Siemens</t>
  </si>
  <si>
    <t>PLC S7-1200 Línea Producción 1</t>
  </si>
  <si>
    <t>Programmable Logic Controller</t>
  </si>
  <si>
    <t>Servidor SCADA</t>
  </si>
  <si>
    <t>Servidor WinCC Control Central</t>
  </si>
  <si>
    <t>HMI</t>
  </si>
  <si>
    <t>Panel HMI Operador Sala Control</t>
  </si>
  <si>
    <t>Human-Machine Interface</t>
  </si>
  <si>
    <t>Switch Industrial</t>
  </si>
  <si>
    <t>Switch Cisco IE-3000 Red OT</t>
  </si>
  <si>
    <t>PC Ingeniería TIA Portal</t>
  </si>
  <si>
    <t>Engineering Workstation</t>
  </si>
  <si>
    <t>T0818</t>
  </si>
  <si>
    <t>⚠️ EJEMPLO 2: MAPEO DE RIESGOS CON TÉCNICAS MITRE</t>
  </si>
  <si>
    <t>Riesgo Identificado</t>
  </si>
  <si>
    <t>Descripción del Riesgo</t>
  </si>
  <si>
    <t>Táctica</t>
  </si>
  <si>
    <t>Acceso no autorizado PLC</t>
  </si>
  <si>
    <t>Modificación no autorizada de lógica de control en PLC</t>
  </si>
  <si>
    <t>CRÍTICO</t>
  </si>
  <si>
    <t>Interceptación comunicaciones</t>
  </si>
  <si>
    <t>Ataque Man-in-the-Middle en red OT sin cifrado</t>
  </si>
  <si>
    <t>Denegación servicio SCADA</t>
  </si>
  <si>
    <t>Ataque DoS que impide visualización proceso industrial</t>
  </si>
  <si>
    <t>Malware en workstation</t>
  </si>
  <si>
    <t>Infección por spearphishing en PC ingeniería</t>
  </si>
  <si>
    <t>Credenciales hardcoded</t>
  </si>
  <si>
    <t>Contraseñas fijas en firmware de dispositivos ICS</t>
  </si>
  <si>
    <t>🔄 MATRIZ DE INTERACCIÓN: ASSETS ICS ↔ TÉCNICAS MITRE</t>
  </si>
  <si>
    <t>Esta matriz muestra qué técnicas MITRE son aplicables a cada tipo de Asset ICS</t>
  </si>
  <si>
    <t>Asset ICS</t>
  </si>
  <si>
    <t>Técnicas Aplicables (Top 5)</t>
  </si>
  <si>
    <t>T1</t>
  </si>
  <si>
    <t>T2</t>
  </si>
  <si>
    <t>T3</t>
  </si>
  <si>
    <t>T4</t>
  </si>
  <si>
    <t>T5</t>
  </si>
  <si>
    <t>Prioridad</t>
  </si>
  <si>
    <t>Notas</t>
  </si>
  <si>
    <t>PLC</t>
  </si>
  <si>
    <t>Controlador más crítico</t>
  </si>
  <si>
    <t>CRÍTICA</t>
  </si>
  <si>
    <t>Parada producción</t>
  </si>
  <si>
    <t>Requiere segmentación red</t>
  </si>
  <si>
    <t>Interfaz operador</t>
  </si>
  <si>
    <t>Pérdida visibilidad</t>
  </si>
  <si>
    <t>Hardening requerido</t>
  </si>
  <si>
    <t>Servidor SCADA/DCS</t>
  </si>
  <si>
    <t>Control total perdido</t>
  </si>
  <si>
    <t>Fortificar acceso</t>
  </si>
  <si>
    <t>Base datos históricos</t>
  </si>
  <si>
    <t>Pérdida datos</t>
  </si>
  <si>
    <t>Backup crítico</t>
  </si>
  <si>
    <t>PC ingeniería</t>
  </si>
  <si>
    <t>Punto entrada</t>
  </si>
  <si>
    <t>EDR recomendado</t>
  </si>
  <si>
    <t>📚 GUÍA DE USO DEL MAPEO</t>
  </si>
  <si>
    <t>1. IDENTIFICA TUS ACTIVOS: En la hoja 'Activos', clasifica cada activo según el Asset ICS MITRE más apropiado</t>
  </si>
  <si>
    <t>2. MAPEA RIESGOS: En 'Matriz_Riesgos', vincula cada riesgo con las técnicas MITRE aplicables</t>
  </si>
  <si>
    <t>3. USA CÓDIGOS: Los códigos T#### son técnicas de ataque, A#### son tipos de activos ICS</t>
  </si>
  <si>
    <t>4. PORCENTAJE: Verde (70-100%) = alta confianza, Amarillo (40-69%) = media, Rojo (&lt;40%) = revisar</t>
  </si>
  <si>
    <t>5. CONSULTA DETALLES: Revisa hojas 'MITRE_Ataques' y 'MITRE_Assets_ICS' para más información</t>
  </si>
  <si>
    <t>6. PRIORIZA: Usa las tácticas MITRE para entender el tipo de ataque (Initial Access, Impact, etc.)</t>
  </si>
  <si>
    <t>🤖 REGLAS DE MAPEO AUTOMÁTICO MITRE</t>
  </si>
  <si>
    <t>Esta hoja contiene las reglas de palabras clave para sugerencias automáticas</t>
  </si>
  <si>
    <t>📦 REGLAS PARA ASSETS ICS</t>
  </si>
  <si>
    <t>Código Asset</t>
  </si>
  <si>
    <t>Nombre Asset</t>
  </si>
  <si>
    <t>Palabras Clave</t>
  </si>
  <si>
    <t>PLC - Programmable Logic Controller</t>
  </si>
  <si>
    <t>PLC, controlador, S7, Allen Bradley, Schneider, Siemens, lógico programable</t>
  </si>
  <si>
    <t>PLC S7-1200, Controlador AB, PLC Schneider</t>
  </si>
  <si>
    <t>HMI - Human Machine Interface</t>
  </si>
  <si>
    <t>HMI, SCADA, pantalla, interfaz operador, panel, WinCC, InTouch</t>
  </si>
  <si>
    <t>Panel HMI, Servidor SCADA, Pantalla operador</t>
  </si>
  <si>
    <t>Workstation - Estación Trabajo</t>
  </si>
  <si>
    <t>PC, workstation, estación, computadora, escritorio, laptop, TIA Portal</t>
  </si>
  <si>
    <t>PC Ingeniería, Workstation programación</t>
  </si>
  <si>
    <t>RTU - Remote Terminal Unit</t>
  </si>
  <si>
    <t>RTU, unidad remota, telemetría, remote terminal</t>
  </si>
  <si>
    <t>RTU campo, Unidad telemetría</t>
  </si>
  <si>
    <t>Control Server - Servidor Control</t>
  </si>
  <si>
    <t>servidor control, control server, servidor SCADA, servidor DCS</t>
  </si>
  <si>
    <t>Servidor WinCC, Server Control Central</t>
  </si>
  <si>
    <t>Routers - Equipos Red</t>
  </si>
  <si>
    <t>router, switch, firewall, enrutador, conmutador, red, network</t>
  </si>
  <si>
    <t>Switch Cisco, Router industrial, Firewall OT</t>
  </si>
  <si>
    <t>Data Historian - Historiador</t>
  </si>
  <si>
    <t>historian, historiador, PI System, Wonderware, base datos tiempo real</t>
  </si>
  <si>
    <t>PI Historian, Wonderware Historian</t>
  </si>
  <si>
    <t>servidor aplicación, application server, app server</t>
  </si>
  <si>
    <t>Servidor MES, Application Server</t>
  </si>
  <si>
    <t>IED - Intelligent Electronic Device</t>
  </si>
  <si>
    <t>IED, dispositivo electrónico, relé, protective relay</t>
  </si>
  <si>
    <t>BAJA</t>
  </si>
  <si>
    <t>Relé protección, IED campo</t>
  </si>
  <si>
    <t>Data Gateway - Pasarela</t>
  </si>
  <si>
    <t>gateway, pasarela, conversor protocolo, data gateway</t>
  </si>
  <si>
    <t>Gateway Modbus, Pasarela Profinet</t>
  </si>
  <si>
    <t>VPN Server</t>
  </si>
  <si>
    <t>VPN, red privada virtual, acceso remoto</t>
  </si>
  <si>
    <t>Servidor VPN, VPN industrial</t>
  </si>
  <si>
    <t>Field I/O - Entradas/Salidas</t>
  </si>
  <si>
    <t>I/O, entrada salida, módulo IO, field io</t>
  </si>
  <si>
    <t>Módulo I/O remoto, Field I/O</t>
  </si>
  <si>
    <t>🎯 REGLAS PARA TÉCNICAS MITRE (Top 20)</t>
  </si>
  <si>
    <t>Código Técnica</t>
  </si>
  <si>
    <t>MITM, man-in-the-middle, interceptación, intercepción red, ataque red</t>
  </si>
  <si>
    <t>modificar programa, código malicioso, lógica alterada, backdoor PLC</t>
  </si>
  <si>
    <t>Inhibit Response</t>
  </si>
  <si>
    <t>firmware, flash, actualización firmware, modificar firmware</t>
  </si>
  <si>
    <t>alarma, supresión alarma, ocultar alerta, deshabilitar notificación</t>
  </si>
  <si>
    <t>drive-by, exploit web, compromiso navegador, ataque navegador</t>
  </si>
  <si>
    <t>MEDIO</t>
  </si>
  <si>
    <t>exploit servidor, vulnerabilidad pública, aplicación expuesta, puerto abierto</t>
  </si>
  <si>
    <t>acceso remoto, VPN, RDP, SSH, servicio remoto</t>
  </si>
  <si>
    <t>credenciales fijas, contraseña hardcoded, password fijo, credencial embebida</t>
  </si>
  <si>
    <t>spearphishing, phishing, correo malicioso, adjunto malware</t>
  </si>
  <si>
    <t>cambio modo, modo operación, operating mode, modo PLC</t>
  </si>
  <si>
    <t>línea comandos, CLI, shell, consola, command line</t>
  </si>
  <si>
    <t>GUI, interfaz gráfica, HMI, panel operador</t>
  </si>
  <si>
    <t>denegación vista, pérdida visualización, HMI caído, sin monitoreo</t>
  </si>
  <si>
    <t>pérdida disponibilidad, servicio caído, downtime, no disponible</t>
  </si>
  <si>
    <t>denegación control, pérdida control, sin control proceso</t>
  </si>
  <si>
    <t>sniffing, captura red, wireshark, tráfico red, monitoreo red</t>
  </si>
  <si>
    <t>recopilación automática, colección datos, extracción datos</t>
  </si>
  <si>
    <t>modificar parámetro, cambiar setpoint, alterar variable, parámetro</t>
  </si>
  <si>
    <t>Impair Process</t>
  </si>
  <si>
    <t>Exploitation Remote Services</t>
  </si>
  <si>
    <t>explotación remota, exploit servicio, vulnerabilidad servicio</t>
  </si>
  <si>
    <t>cuenta válida, credencial comprometida, usuario legítimo</t>
  </si>
  <si>
    <t>📚 CÓMO USAR EL SISTEMA DE SUGERENCIAS AUTOMÁTICAS</t>
  </si>
  <si>
    <t>🎯 FUNCIONAMIENTO</t>
  </si>
  <si>
    <t>El sistema analiza automáticamente el texto que escribes en:</t>
  </si>
  <si>
    <t xml:space="preserve">  • Nombre del activo (en hoja Activos)</t>
  </si>
  <si>
    <t xml:space="preserve">  • Descripción del riesgo (en hoja Matriz_Riesgos)</t>
  </si>
  <si>
    <t>Y sugiere el código MITRE más apropiado basándose en palabras clave.</t>
  </si>
  <si>
    <t>📦 EN LA HOJA ACTIVOS</t>
  </si>
  <si>
    <t>PASO 1</t>
  </si>
  <si>
    <t>Escribe el nombre del activo (ej: "PLC Siemens S7-1200")</t>
  </si>
  <si>
    <t>PASO 2</t>
  </si>
  <si>
    <t>La columna "🤖 Sugerencia Auto Asset" mostrará: "→ A0003: PLC"</t>
  </si>
  <si>
    <t>PASO 3</t>
  </si>
  <si>
    <t>Si la sugerencia es correcta, copia ese código a la columna "Asset ICS MITRE"</t>
  </si>
  <si>
    <t>PASO 4</t>
  </si>
  <si>
    <t>Si dice "⚠️ Revisar manual", selecciona manualmente de la lista desplegable</t>
  </si>
  <si>
    <t>⚠️ EN LA HOJA MATRIZ_RIESGOS</t>
  </si>
  <si>
    <t>Escribe la descripción del riesgo (ej: "Ataque Man-in-the-Middle en red OT")</t>
  </si>
  <si>
    <t>La columna "🤖 Sugerencia Auto Técnica" mostrará: "→ T0830: MITM"</t>
  </si>
  <si>
    <t>Si es correcto, copia T0830 a la columna "Técnica MITRE"</t>
  </si>
  <si>
    <t>Puedes asignar múltiples técnicas MITRE a un mismo riesgo</t>
  </si>
  <si>
    <t>🔍 PALABRAS CLAVE RECONOCIDAS</t>
  </si>
  <si>
    <t>El sistema busca palabras como:</t>
  </si>
  <si>
    <t>Para Assets</t>
  </si>
  <si>
    <t>PLC, HMI, SCADA, RTU, Servidor, Router, Switch, PC, Workstation</t>
  </si>
  <si>
    <t>Para Técnicas</t>
  </si>
  <si>
    <t>MITM, Firmware, Modificar, Alarma, Credencial, Phishing, Exploit, VPN</t>
  </si>
  <si>
    <t>💡 MEJORES PRÁCTICAS</t>
  </si>
  <si>
    <t>1.</t>
  </si>
  <si>
    <t>Usa nombres descriptivos en tus activos (incluye marca, modelo, función)</t>
  </si>
  <si>
    <t>2.</t>
  </si>
  <si>
    <t>Las sugerencias son orientativas - siempre valida la correctitud</t>
  </si>
  <si>
    <t>3.</t>
  </si>
  <si>
    <t>Consulta hoja "MITRE_Reglas_Auto" para ver todas las palabras clave</t>
  </si>
  <si>
    <t>4.</t>
  </si>
  <si>
    <t>Consulta "MITRE_Ejemplos_Mapeo" para ver ejemplos prácticos</t>
  </si>
  <si>
    <t>5.</t>
  </si>
  <si>
    <t>Si la sugerencia no es correcta, selecciona manualmente de la lista</t>
  </si>
  <si>
    <t>📊 EJEMPLO COMPLETO</t>
  </si>
  <si>
    <t>Escribes: "PLC Allen Bradley CompactLogix Línea 1"</t>
  </si>
  <si>
    <t>Sugerencia</t>
  </si>
  <si>
    <t>Sistema sugiere: "→ A0003: PLC" (por palabra "PLC")</t>
  </si>
  <si>
    <t>Copias A0003 a columna "Asset ICS MITRE"</t>
  </si>
  <si>
    <t>Resultado</t>
  </si>
  <si>
    <t>✅ Activo clasificado correctamente</t>
  </si>
  <si>
    <t>Riesgo</t>
  </si>
  <si>
    <t>Escribes: "Interceptación de comunicaciones en protocolo Modbus sin cifrado"</t>
  </si>
  <si>
    <t>Sistema sugiere: "→ T0830: MITM" (por palabra "Interceptación")</t>
  </si>
  <si>
    <t>Copias T0830 a columna "Técnica MITRE"</t>
  </si>
  <si>
    <t>✅ Riesgo vinculado con técnica MITRE</t>
  </si>
  <si>
    <t>🎯 MAPEO INTELIGENTE AUTOMÁTICO MITRE ATT&amp;CK ICS</t>
  </si>
  <si>
    <t>Análisis automático basado en coincidencias semánticas - Generado: 12/11/2025 03:59</t>
  </si>
  <si>
    <t>📦 MAPEO DE ACTIVOS</t>
  </si>
  <si>
    <t>Asset ICS Sugerido</t>
  </si>
  <si>
    <t>Confianza %</t>
  </si>
  <si>
    <t>Técnica #3</t>
  </si>
  <si>
    <t>⚠️ MAPEO DE RIESGOS</t>
  </si>
  <si>
    <t>Táctica Principal</t>
  </si>
  <si>
    <t>📊 LEYENDA DE CONFIANZA</t>
  </si>
  <si>
    <t>70-100%: Alta confianza</t>
  </si>
  <si>
    <t>40-69%: Media confianza</t>
  </si>
  <si>
    <t>0-39%: Baja confianza - Requiere revisión</t>
  </si>
  <si>
    <t>📈 ESTADÍSTICAS DEL ANÁLISIS</t>
  </si>
  <si>
    <t>Activos analizados: 0</t>
  </si>
  <si>
    <t>Riesgos analizados: 0</t>
  </si>
  <si>
    <t>Amenazas analizadas: 0</t>
  </si>
  <si>
    <t>Mapeos alta confianza: 0</t>
  </si>
  <si>
    <t>CONTROL DE DOCUMENTOS DEL SGSI</t>
  </si>
  <si>
    <t>Código Doc</t>
  </si>
  <si>
    <t>Fecha Emisión</t>
  </si>
  <si>
    <t>Autor</t>
  </si>
  <si>
    <t>Aprobador</t>
  </si>
  <si>
    <t>Cambios</t>
  </si>
  <si>
    <t>Próx. Revisión</t>
  </si>
  <si>
    <t>DOC-SGSI-001</t>
  </si>
  <si>
    <t>Política General SGSI</t>
  </si>
  <si>
    <t>Política</t>
  </si>
  <si>
    <t>Vigente</t>
  </si>
  <si>
    <t>Actualización normativa</t>
  </si>
  <si>
    <t>01/01/2026</t>
  </si>
  <si>
    <t>SharePoint/Políticas</t>
  </si>
  <si>
    <t>DOC-PROC-001</t>
  </si>
  <si>
    <t>Procedimiento Backup</t>
  </si>
  <si>
    <t>Procedimiento</t>
  </si>
  <si>
    <t>1.5</t>
  </si>
  <si>
    <t>15/02/2025</t>
  </si>
  <si>
    <t>Nuevas tecnologías</t>
  </si>
  <si>
    <t>15/08/2025</t>
  </si>
  <si>
    <t>SharePoint/Procedimientos</t>
  </si>
  <si>
    <t>METODOLOGÍA DE ANÁLISIS DE RIESGOS</t>
  </si>
  <si>
    <t>ESCALA DE PROBABILIDAD</t>
  </si>
  <si>
    <t>Valor</t>
  </si>
  <si>
    <t>Muy Alta</t>
  </si>
  <si>
    <t>Ocurre frecuentemente</t>
  </si>
  <si>
    <t>Más de 1 vez/mes</t>
  </si>
  <si>
    <t>Probable que ocurra</t>
  </si>
  <si>
    <t>1 vez cada 1-6 meses</t>
  </si>
  <si>
    <t>Puede ocurrir</t>
  </si>
  <si>
    <t>1 vez cada 6-12 meses</t>
  </si>
  <si>
    <t>Poco probable</t>
  </si>
  <si>
    <t>1 vez cada 1-3 años</t>
  </si>
  <si>
    <t>Muy Baja</t>
  </si>
  <si>
    <t>Muy improbable</t>
  </si>
  <si>
    <t>Menos de 1 vez cada 3 años</t>
  </si>
  <si>
    <t>ESCALA DE IMPACTO</t>
  </si>
  <si>
    <t>Impacto Negocio</t>
  </si>
  <si>
    <t>Impacto catastrófico</t>
  </si>
  <si>
    <t>Pérdida &gt; 500K€, cierre negocio</t>
  </si>
  <si>
    <t>Impacto grave</t>
  </si>
  <si>
    <t>Pérdida 100-500K€</t>
  </si>
  <si>
    <t>Impacto moderado</t>
  </si>
  <si>
    <t>Pérdida 20-100K€</t>
  </si>
  <si>
    <t>Impacto menor</t>
  </si>
  <si>
    <t>Pérdida 5-20K€</t>
  </si>
  <si>
    <t>Muy Bajo</t>
  </si>
  <si>
    <t>Impacto insignificante</t>
  </si>
  <si>
    <t>Pérdida &lt; 5K€</t>
  </si>
  <si>
    <t>MATRIZ DE EVALUACIÓN: Riesgo = Probabilidad × Impacto</t>
  </si>
  <si>
    <t>STATEMENT OF APPLICABILITY (SOA)</t>
  </si>
  <si>
    <t>📋 Plantilla para: STATEMENT OF APPLICABILITY (SOA)</t>
  </si>
  <si>
    <t>Esta hoja debe personalizarse según las necesidades de la organización.</t>
  </si>
  <si>
    <t>PLAN DE AUDITORÍA INTERNA</t>
  </si>
  <si>
    <t>📋 Plantilla para: PLAN DE AUDITORÍA INTERNA</t>
  </si>
  <si>
    <t>REVISIÓN POR LA DIRECCIÓN</t>
  </si>
  <si>
    <t>📋 Plantilla para: REVISIÓN POR LA DIRECCIÓN</t>
  </si>
  <si>
    <t>PLAN DE PROYECTO SGSI</t>
  </si>
  <si>
    <t>📋 Plantilla para: PLAN DE PROYECTO SGSI</t>
  </si>
  <si>
    <t>DATOS DE LA ORGANIZACIÓN</t>
  </si>
  <si>
    <t>📋 INFORMACIÓN GENERAL</t>
  </si>
  <si>
    <t>Campo</t>
  </si>
  <si>
    <t>Razón Social:</t>
  </si>
  <si>
    <t>[Ingrese razón social]</t>
  </si>
  <si>
    <t>NIF/CIF:</t>
  </si>
  <si>
    <t>[Ingrese NIF]</t>
  </si>
  <si>
    <t>Dirección:</t>
  </si>
  <si>
    <t>[Ingrese dirección]</t>
  </si>
  <si>
    <t>Ciudad:</t>
  </si>
  <si>
    <t>[Ciudad]</t>
  </si>
  <si>
    <t>Código Postal:</t>
  </si>
  <si>
    <t>[CP]</t>
  </si>
  <si>
    <t>País:</t>
  </si>
  <si>
    <t>[País]</t>
  </si>
  <si>
    <t>Teléfono:</t>
  </si>
  <si>
    <t>[Teléfono]</t>
  </si>
  <si>
    <t>Email:</t>
  </si>
  <si>
    <t>[Email]</t>
  </si>
  <si>
    <t>Sitio Web:</t>
  </si>
  <si>
    <t>[www.example.com]</t>
  </si>
  <si>
    <t>👤 RESPONSABLE DEL SGSI</t>
  </si>
  <si>
    <t>Nombre:</t>
  </si>
  <si>
    <t>[Nombre completo]</t>
  </si>
  <si>
    <t>Cargo:</t>
  </si>
  <si>
    <t>[Cargo]</t>
  </si>
  <si>
    <t>🎯 ALCANCE DEL SGSI</t>
  </si>
  <si>
    <t>[Descripción del alcance del SGSI]
Ejemplo: "Aplica a todos los procesos de tecnología de la información que soportan las operaciones de la organización, incluyendo..."</t>
  </si>
  <si>
    <t>PLAN DE CONTINUIDAD DE NEGOCIO</t>
  </si>
  <si>
    <t>📋 Plantilla para: PLAN DE CONTINUIDAD DE NEGOCIO</t>
  </si>
  <si>
    <t>ANÁLISIS DE IMPACTO AL NEGOCIO (BIA)</t>
  </si>
  <si>
    <t>📋 Plantilla para: ANÁLISIS DE IMPACTO AL NEGOCIO (BIA)</t>
  </si>
  <si>
    <t>PLAN DE FORMACIÓN Y CONCIENCIACIÓN</t>
  </si>
  <si>
    <t>📋 Plantilla para: PLAN DE FORMACIÓN Y CONCIENCIACIÓN</t>
  </si>
  <si>
    <t>ACUERDO CONFIDENCIALIDAD - PROVEEDORES</t>
  </si>
  <si>
    <t>📋 Plantilla para: ACUERDO CONFIDENCIALIDAD - PROVEEDORES</t>
  </si>
  <si>
    <t>ACUERDO CONFIDENCIALIDAD - EMPLEADOS</t>
  </si>
  <si>
    <t>📋 Plantilla para: ACUERDO CONFIDENCIALIDAD - EMPLEADOS</t>
  </si>
  <si>
    <t>COMITÉ DE SEGURIDAD DE LA INFORMACIÓN</t>
  </si>
  <si>
    <t>📋 Plantilla para: COMITÉ DE SEGURIDAD DE LA INFORMACIÓN</t>
  </si>
  <si>
    <t>CONFIGURATION MANAGEMENT DATABASE</t>
  </si>
  <si>
    <t>CI ID</t>
  </si>
  <si>
    <t>Nombre CI</t>
  </si>
  <si>
    <t>Dependencias</t>
  </si>
  <si>
    <t>PROCEDIMIENTO DE HARDENING</t>
  </si>
  <si>
    <t>PLAN DIRECTOR DE CIBERSEGURIDAD</t>
  </si>
  <si>
    <t>PLAN DE PRUEBAS DE RECUPERACIÓN</t>
  </si>
  <si>
    <t>INFORMES DE RECUPERACIÓN</t>
  </si>
  <si>
    <t>MANTENIMIENTO DEL PLAN DRP</t>
  </si>
  <si>
    <t>POLÍTICAS DE SEGURIDAD DE LA INFORMACIÓN</t>
  </si>
  <si>
    <t>Título Política</t>
  </si>
  <si>
    <t>Fecha Aprobación</t>
  </si>
  <si>
    <t>Aprobado Por</t>
  </si>
  <si>
    <t>Próxima Revisión</t>
  </si>
  <si>
    <t>Ubicación Documento</t>
  </si>
  <si>
    <t>Control ISO</t>
  </si>
  <si>
    <t>Política General de Seguridad</t>
  </si>
  <si>
    <t>Política marco del SGSI</t>
  </si>
  <si>
    <t>POL-ACC-001</t>
  </si>
  <si>
    <t>Control de Acceso</t>
  </si>
  <si>
    <t>Gestión de accesos y privilegios</t>
  </si>
  <si>
    <t>15/03/2025</t>
  </si>
  <si>
    <t>15/03/2026</t>
  </si>
  <si>
    <t>A.5.15</t>
  </si>
  <si>
    <t>Uso Aceptable</t>
  </si>
  <si>
    <t>Uso apropiado de recursos IT</t>
  </si>
  <si>
    <t>20/02/2025</t>
  </si>
  <si>
    <t>20/02/2026</t>
  </si>
  <si>
    <t>POL-CONT-001</t>
  </si>
  <si>
    <t>Gestión de continuidad</t>
  </si>
  <si>
    <t>10/04/2025</t>
  </si>
  <si>
    <t>10/04/2026</t>
  </si>
  <si>
    <t>A.5.29</t>
  </si>
  <si>
    <t>POL-INC-001</t>
  </si>
  <si>
    <t>Gestión de Incidentes</t>
  </si>
  <si>
    <t>Respuesta a incidentes de seguridad</t>
  </si>
  <si>
    <t>05/05/2025</t>
  </si>
  <si>
    <t>05/05/2026</t>
  </si>
  <si>
    <t>A.5.24</t>
  </si>
  <si>
    <t>PROCEDIMIENTOS DE SEGURIDAD</t>
  </si>
  <si>
    <t>Título Procedimiento</t>
  </si>
  <si>
    <t>Fecha Creación</t>
  </si>
  <si>
    <t>Relacionado Con</t>
  </si>
  <si>
    <t>PROC-ACC-001</t>
  </si>
  <si>
    <t>Alta de Usuario</t>
  </si>
  <si>
    <t>Creación de cuentas de usuario</t>
  </si>
  <si>
    <t>01/02/2025</t>
  </si>
  <si>
    <t>PROC-ACC-002</t>
  </si>
  <si>
    <t>Baja de Usuario</t>
  </si>
  <si>
    <t>Eliminación de cuentas y accesos</t>
  </si>
  <si>
    <t>PROC-BACK-001</t>
  </si>
  <si>
    <t>Backup Diario</t>
  </si>
  <si>
    <t>Copias de seguridad automáticas</t>
  </si>
  <si>
    <t>15/01/2025</t>
  </si>
  <si>
    <t>Admin Sistemas</t>
  </si>
  <si>
    <t>PROC-INC-001</t>
  </si>
  <si>
    <t>Respuesta a Incidentes</t>
  </si>
  <si>
    <t>Gestión y respuesta ante incidentes</t>
  </si>
  <si>
    <t>20/03/2025</t>
  </si>
  <si>
    <t>PROC-PAR-001</t>
  </si>
  <si>
    <t>Instalación de Parches</t>
  </si>
  <si>
    <t>Actualización de sistemas</t>
  </si>
  <si>
    <t>10/02/2025</t>
  </si>
  <si>
    <t>AUDITORÍAS INTERNAS Y EXTERNAS</t>
  </si>
  <si>
    <t>ID Auditoría</t>
  </si>
  <si>
    <t>Fecha</t>
  </si>
  <si>
    <t>Alcance</t>
  </si>
  <si>
    <t>Auditor</t>
  </si>
  <si>
    <t>Hallazgos</t>
  </si>
  <si>
    <t>No Conformidades</t>
  </si>
  <si>
    <t>Informe</t>
  </si>
  <si>
    <t>Fecha Cierre</t>
  </si>
  <si>
    <t>AUD-2025-001</t>
  </si>
  <si>
    <t>Interna</t>
  </si>
  <si>
    <t>Controles A.5 y A.8</t>
  </si>
  <si>
    <t>Auditor Interno</t>
  </si>
  <si>
    <t>Completada</t>
  </si>
  <si>
    <t>INF-AUD-001.pdf</t>
  </si>
  <si>
    <t>30/03/2025</t>
  </si>
  <si>
    <t>Conforme</t>
  </si>
  <si>
    <t>AUD-2024-004</t>
  </si>
  <si>
    <t>20/12/2024</t>
  </si>
  <si>
    <t>Externa</t>
  </si>
  <si>
    <t>Certificación ISO 27001</t>
  </si>
  <si>
    <t>Bureau Veritas</t>
  </si>
  <si>
    <t>Cerrada</t>
  </si>
  <si>
    <t>INF-CERT-2024.pdf</t>
  </si>
  <si>
    <t>10/01/2025</t>
  </si>
  <si>
    <t>Certificado</t>
  </si>
  <si>
    <t>AUD-2025-002</t>
  </si>
  <si>
    <t>15/06/2025</t>
  </si>
  <si>
    <t>Planificada</t>
  </si>
  <si>
    <t>REGISTRO DE FORMACIÓN Y CONCIENCIACIÓN</t>
  </si>
  <si>
    <t>ID Sesión</t>
  </si>
  <si>
    <t>Curso/Tema</t>
  </si>
  <si>
    <t>Instructor</t>
  </si>
  <si>
    <t>Duración (h)</t>
  </si>
  <si>
    <t>Asistentes</t>
  </si>
  <si>
    <t>Departamento</t>
  </si>
  <si>
    <t>Evaluación</t>
  </si>
  <si>
    <t>Material</t>
  </si>
  <si>
    <t>FORM-2025-001</t>
  </si>
  <si>
    <t>Concienciación Seguridad</t>
  </si>
  <si>
    <t>45</t>
  </si>
  <si>
    <t>Todos</t>
  </si>
  <si>
    <t>Obligatoria</t>
  </si>
  <si>
    <t>PPT + Video</t>
  </si>
  <si>
    <t>FORM-2025-002</t>
  </si>
  <si>
    <t>Phishing y Ingeniería Social</t>
  </si>
  <si>
    <t>Consultor Externo</t>
  </si>
  <si>
    <t>30</t>
  </si>
  <si>
    <t>Especializada</t>
  </si>
  <si>
    <t>92%</t>
  </si>
  <si>
    <t>Manual + Test</t>
  </si>
  <si>
    <t>FORM-2025-003</t>
  </si>
  <si>
    <t>10/03/2025</t>
  </si>
  <si>
    <t>ISO 27001:2022 Novedades</t>
  </si>
  <si>
    <t>Auditor Lead</t>
  </si>
  <si>
    <t>95%</t>
  </si>
  <si>
    <t>Documentación</t>
  </si>
  <si>
    <t>REGISTRO DE EVENTOS DE SEGURIDAD</t>
  </si>
  <si>
    <t>ID Evento</t>
  </si>
  <si>
    <t>Tipo Evento</t>
  </si>
  <si>
    <t>Usuario/Sistema</t>
  </si>
  <si>
    <t>Requiere Acción</t>
  </si>
  <si>
    <t>EVT-001</t>
  </si>
  <si>
    <t>06/11/2025 10:15</t>
  </si>
  <si>
    <t>Login fallido</t>
  </si>
  <si>
    <t>Firewall</t>
  </si>
  <si>
    <t>usuario@empresa.com</t>
  </si>
  <si>
    <t>5 intentos fallidos de login</t>
  </si>
  <si>
    <t>Revisado</t>
  </si>
  <si>
    <t>Usuario bloqueado 30min</t>
  </si>
  <si>
    <t>EVT-002</t>
  </si>
  <si>
    <t>06/11/2025 14:30</t>
  </si>
  <si>
    <t>Cambio permisos</t>
  </si>
  <si>
    <t>admin_ti</t>
  </si>
  <si>
    <t>Elevación privilegios usuario</t>
  </si>
  <si>
    <t>En revisión</t>
  </si>
  <si>
    <t>Verificar autorización</t>
  </si>
  <si>
    <t>PLAN DE CONTINGENCIA Y CONTINUIDAD</t>
  </si>
  <si>
    <t>ID Plan</t>
  </si>
  <si>
    <t>Escenario</t>
  </si>
  <si>
    <t>RTO</t>
  </si>
  <si>
    <t>RPO</t>
  </si>
  <si>
    <t>Acciones Inmediatas</t>
  </si>
  <si>
    <t>Recursos Necesarios</t>
  </si>
  <si>
    <t>CONT-001</t>
  </si>
  <si>
    <t>Caída servidor principal</t>
  </si>
  <si>
    <t>Servidor de aplicaciones no disponible</t>
  </si>
  <si>
    <t>Activar servidor backup, restaurar servicios</t>
  </si>
  <si>
    <t>Servidor DR, equipo técnico</t>
  </si>
  <si>
    <t>CONT-002</t>
  </si>
  <si>
    <t>Ataque de cifrado de datos</t>
  </si>
  <si>
    <t>Aislar sistemas, activar backups</t>
  </si>
  <si>
    <t>Backups offline, forense</t>
  </si>
  <si>
    <t>CONT-003</t>
  </si>
  <si>
    <t>Incendio CPD</t>
  </si>
  <si>
    <t>Fuego en centro de datos</t>
  </si>
  <si>
    <t>Muy baja</t>
  </si>
  <si>
    <t>24 horas</t>
  </si>
  <si>
    <t>Evacuar, activar sitio alterno</t>
  </si>
  <si>
    <t>CPD alterno, seguros</t>
  </si>
  <si>
    <t>RTO = Recovery Time Objective (Tiempo objetivo de recuperación)</t>
  </si>
  <si>
    <t>RPO = Recovery Point Objective (Punto objetivo de recuperación)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</si>
</sst>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5" x14ac:knownFonts="1">
    <font>
      <sz val="11"/>
      <color theme="1"/>
      <name val="Calibri"/>
      <family val="2"/>
      <scheme val="minor"/>
    </font>
    <font>
      <b/>
      <sz val="12"/>
      <color rgb="FF009900"/>
      <name val="Calibri"/>
      <family val="2"/>
    </font>
    <font>
      <b/>
      <sz val="14"/>
      <color rgb="FFFF6600"/>
      <name val="Calibri"/>
      <family val="2"/>
    </font>
    <font>
      <b/>
      <sz val="14"/>
      <color rgb="FF009900"/>
      <name val="Calibri"/>
      <family val="2"/>
    </font>
    <font>
      <b/>
      <sz val="28"/>
      <color rgb="FFFFFFFF"/>
      <name val="Calibri"/>
      <family val="2"/>
    </font>
    <font>
      <b/>
      <sz val="20"/>
      <color rgb="FF0066CC"/>
      <name val="Calibri"/>
      <family val="2"/>
    </font>
    <font>
      <sz val="14"/>
      <color rgb="FF666666"/>
      <name val="Calibri"/>
      <family val="2"/>
    </font>
    <font>
      <b/>
      <sz val="16"/>
      <color rgb="FF333333"/>
      <name val="Calibri"/>
      <family val="2"/>
    </font>
    <font>
      <sz val="12"/>
      <color rgb="FF666666"/>
      <name val="Calibri"/>
      <family val="2"/>
    </font>
    <font>
      <b/>
      <sz val="14"/>
      <color rgb="FF0066CC"/>
      <name val="Calibri"/>
      <family val="2"/>
    </font>
    <font>
      <sz val="11"/>
      <color rgb="FF333333"/>
      <name val="Calibri"/>
      <family val="2"/>
    </font>
    <font>
      <i/>
      <sz val="9"/>
      <color rgb="FF999999"/>
      <name val="Calibri"/>
      <family val="2"/>
    </font>
    <font>
      <b/>
      <sz val="12"/>
      <color rgb="FF70AD47"/>
      <name val="Calibri"/>
      <family val="2"/>
    </font>
    <font>
      <b/>
      <sz val="11"/>
      <color rgb="FFFFFFFF"/>
      <name val="Calibri"/>
      <family val="2"/>
    </font>
    <font>
      <b/>
      <sz val="11"/>
      <name val="Calibri"/>
      <family val="2"/>
    </font>
    <font>
      <b/>
      <sz val="14"/>
      <color rgb="FFFFFFFF"/>
      <name val="Calibri"/>
      <family val="2"/>
    </font>
    <font>
      <b/>
      <sz val="10"/>
      <color rgb="FFFFFFFF"/>
      <name val="Calibri"/>
      <family val="2"/>
    </font>
    <font>
      <b/>
      <sz val="12"/>
      <color rgb="FF5B9BD5"/>
      <name val="Calibri"/>
      <family val="2"/>
    </font>
    <font>
      <b/>
      <sz val="10"/>
      <color rgb="FF666666"/>
      <name val="Calibri"/>
      <family val="2"/>
    </font>
    <font>
      <b/>
      <sz val="20"/>
      <color rgb="FF4472C4"/>
      <name val="Calibri"/>
      <family val="2"/>
    </font>
    <font>
      <b/>
      <sz val="20"/>
      <color rgb="FFFF6600"/>
      <name val="Calibri"/>
      <family val="2"/>
    </font>
    <font>
      <b/>
      <sz val="20"/>
      <color rgb="FFFF0000"/>
      <name val="Calibri"/>
      <family val="2"/>
    </font>
    <font>
      <b/>
      <sz val="20"/>
      <color rgb="FF70AD47"/>
      <name val="Calibri"/>
      <family val="2"/>
    </font>
    <font>
      <b/>
      <sz val="9"/>
      <color rgb="FFFFFFFF"/>
      <name val="Calibri"/>
      <family val="2"/>
    </font>
    <font>
      <b/>
      <sz val="11"/>
      <color rgb="FF000000"/>
      <name val="Calibri"/>
      <family val="2"/>
    </font>
    <font>
      <b/>
      <sz val="12"/>
      <color rgb="FFC00000"/>
      <name val="Calibri"/>
      <family val="2"/>
    </font>
    <font>
      <b/>
      <sz val="10"/>
      <name val="Calibri"/>
      <family val="2"/>
    </font>
    <font>
      <b/>
      <sz val="12"/>
      <color rgb="FF000000"/>
      <name val="Calibri"/>
      <family val="2"/>
    </font>
    <font>
      <b/>
      <sz val="12"/>
      <color rgb="FFFFFFFF"/>
      <name val="Calibri"/>
      <family val="2"/>
    </font>
    <font>
      <b/>
      <sz val="12"/>
      <color rgb="FFFF0000"/>
      <name val="Calibri"/>
      <family val="2"/>
    </font>
    <font>
      <b/>
      <sz val="14"/>
      <color rgb="FF70AD47"/>
      <name val="Calibri"/>
      <family val="2"/>
    </font>
    <font>
      <b/>
      <sz val="14"/>
      <color rgb="FFFFC000"/>
      <name val="Calibri"/>
      <family val="2"/>
    </font>
    <font>
      <b/>
      <sz val="14"/>
      <color rgb="FFC00000"/>
      <name val="Calibri"/>
      <family val="2"/>
    </font>
    <font>
      <b/>
      <sz val="14"/>
      <color rgb="FF4472C4"/>
      <name val="Calibri"/>
      <family val="2"/>
    </font>
    <font>
      <b/>
      <sz val="10"/>
      <color rgb="FF009900"/>
      <name val="Calibri"/>
      <family val="2"/>
    </font>
    <font>
      <i/>
      <sz val="10"/>
      <color rgb="FF666666"/>
      <name val="Calibri"/>
      <family val="2"/>
    </font>
    <font>
      <b/>
      <sz val="11"/>
      <color rgb="FF2E75B5"/>
      <name val="Calibri"/>
      <family val="2"/>
    </font>
    <font>
      <i/>
      <sz val="9"/>
      <color rgb="FF666666"/>
      <name val="Calibri"/>
      <family val="2"/>
    </font>
    <font>
      <i/>
      <sz val="9"/>
      <color rgb="FF2E75B5"/>
      <name val="Calibri"/>
      <family val="2"/>
    </font>
    <font>
      <b/>
      <sz val="12"/>
      <color rgb="FF00B050"/>
      <name val="Calibri"/>
      <family val="2"/>
    </font>
    <font>
      <b/>
      <sz val="11"/>
      <color rgb="FF00B050"/>
      <name val="Calibri"/>
      <family val="2"/>
    </font>
    <font>
      <b/>
      <sz val="10"/>
      <color rgb="FFE74C3C"/>
      <name val="Calibri"/>
      <family val="2"/>
    </font>
    <font>
      <b/>
      <sz val="9"/>
      <color rgb="FF000000"/>
      <name val="Calibri"/>
      <family val="2"/>
    </font>
    <font>
      <b/>
      <sz val="12"/>
      <color rgb="FFE67E22"/>
      <name val="Calibri"/>
      <family val="2"/>
    </font>
    <font>
      <b/>
      <sz val="12"/>
      <color rgb="FFC65911"/>
      <name val="Calibri"/>
      <family val="2"/>
    </font>
    <font>
      <b/>
      <i/>
      <sz val="11"/>
      <color rgb="FFC65911"/>
      <name val="Calibri"/>
      <family val="2"/>
    </font>
    <font>
      <b/>
      <sz val="14"/>
      <color rgb="FF00B0F0"/>
      <name val="Calibri"/>
      <family val="2"/>
    </font>
    <font>
      <b/>
      <sz val="12"/>
      <color rgb="FF4472C4"/>
      <name val="Calibri"/>
      <family val="2"/>
    </font>
    <font>
      <sz val="11"/>
      <color rgb="FF000000"/>
      <name val="Calibri"/>
      <family val="2"/>
    </font>
    <font>
      <sz val="10"/>
      <color rgb="FF000000"/>
      <name val="Calibri"/>
      <family val="2"/>
    </font>
    <font>
      <i/>
      <sz val="11"/>
      <color rgb="FF666666"/>
      <name val="Calibri"/>
      <family val="2"/>
    </font>
    <font>
      <sz val="10"/>
      <color rgb="FF999999"/>
      <name val="Calibri"/>
      <family val="2"/>
    </font>
    <font>
      <sz val="11"/>
      <name val="Calibri"/>
      <family val="2"/>
    </font>
    <font>
      <i/>
      <sz val="10"/>
      <color rgb="FF000000"/>
      <name val="Segoe UI"/>
      <family val="2"/>
    </font>
    <font>
      <u/>
      <sz val="9"/>
      <color rgb="FF2E75B6"/>
      <name val="Segoe UI"/>
      <family val="2"/>
    </font>
    <font>
      <b/>
      <sz val="13"/>
      <color rgb="FFFFFFFF"/>
      <name val="Segoe UI"/>
      <family val="2"/>
    </font>
    <font>
      <b/>
      <sz val="10"/>
      <color rgb="FF4472C4"/>
      <name val="Segoe UI"/>
      <family val="2"/>
    </font>
    <font>
      <sz val="9"/>
      <color rgb="FF000000"/>
      <name val="Segoe UI"/>
      <family val="2"/>
    </font>
    <font>
      <b/>
      <sz val="10"/>
      <color rgb="FFED7D31"/>
      <name val="Segoe UI"/>
      <family val="2"/>
    </font>
    <font>
      <b/>
      <sz val="10"/>
      <color rgb="FF70AD47"/>
      <name val="Segoe UI"/>
      <family val="2"/>
    </font>
    <font>
      <b/>
      <sz val="10"/>
      <color rgb="FF5B9BD5"/>
      <name val="Segoe UI"/>
      <family val="2"/>
    </font>
    <font>
      <b/>
      <sz val="10"/>
      <color rgb="FF9966CC"/>
      <name val="Segoe UI"/>
      <family val="2"/>
    </font>
    <font>
      <i/>
      <sz val="9"/>
      <color rgb="FF000000"/>
      <name val="Segoe UI"/>
      <family val="2"/>
    </font>
    <font>
      <b/>
      <sz val="11"/>
      <color rgb="FFFFFFFF"/>
      <name val="Calibri"/>
      <family val="2"/>
    </font>
    <font>
      <i/>
      <sz val="9"/>
      <color rgb="FF7F7F7F"/>
      <name val="Calibri"/>
      <family val="2"/>
    </font>
    <font>
      <sz val="10"/>
      <color theme="1"/>
      <name val="Calibri"/>
      <family val="2"/>
      <scheme val="minor"/>
    </font>
    <font>
      <b/>
      <sz val="10"/>
      <color theme="1"/>
      <name val="Calibri"/>
      <family val="2"/>
      <scheme val="minor"/>
    </font>
    <font>
      <b/>
      <sz val="11"/>
      <color rgb="FFFFFFFF"/>
      <name val="Calibri"/>
      <family val="2"/>
      <scheme val="minor"/>
    </font>
    <font>
      <b/>
      <sz val="11"/>
      <color rgb="FFFFFFFF"/>
      <name val="Calibri"/>
      <family val="2"/>
    </font>
    <font>
      <b/>
      <sz val="11"/>
      <color rgb="FFFFFFFF"/>
      <name val="Calibri"/>
      <family val="2"/>
    </font>
    <font>
      <b/>
      <sz val="11"/>
      <color rgb="FFFFFFFF"/>
      <name val="Calibri"/>
      <family val="2"/>
    </font>
    <font>
      <b/>
      <sz val="14"/>
      <color rgb="FF1F4E78"/>
      <name val="Calibri"/>
      <family val="2"/>
    </font>
    <font>
      <i/>
      <sz val="10"/>
      <name val="Calibri"/>
      <family val="2"/>
    </font>
    <font>
      <b/>
      <sz val="12"/>
      <color rgb="FFFFFFFF"/>
      <name val="Calibri"/>
      <family val="2"/>
    </font>
    <font>
      <b/>
      <sz val="11"/>
      <name val="Calibri"/>
      <family val="2"/>
    </font>
    <font>
      <i/>
      <sz val="9"/>
      <name val="Calibri"/>
      <family val="2"/>
    </font>
    <font>
      <sz val="10"/>
      <name val="Calibri"/>
      <family val="2"/>
    </font>
    <font>
      <b/>
      <sz val="10"/>
      <name val="Calibri"/>
      <family val="2"/>
    </font>
    <font>
      <sz val="9"/>
      <name val="Calibri"/>
      <family val="2"/>
    </font>
    <font>
      <i/>
      <sz val="9"/>
      <color rgb="FF7030A0"/>
      <name val="Calibri"/>
      <family val="2"/>
    </font>
    <font>
      <b/>
      <sz val="16"/>
      <color rgb="FFD32F2F"/>
      <name val="Calibri"/>
      <family val="2"/>
    </font>
    <font>
      <b/>
      <sz val="16"/>
      <color rgb="FF1976D2"/>
      <name val="Calibri"/>
      <family val="2"/>
    </font>
    <font>
      <b/>
      <sz val="16"/>
      <color rgb="FF388E3C"/>
      <name val="Calibri"/>
      <family val="2"/>
    </font>
    <font>
      <b/>
      <sz val="11"/>
      <color rgb="FF388E3C"/>
      <name val="Calibri"/>
      <family val="2"/>
    </font>
    <font>
      <b/>
      <sz val="11"/>
      <color rgb="FFD32F2F"/>
      <name val="Calibri"/>
      <family val="2"/>
    </font>
    <font>
      <b/>
      <u/>
      <sz val="9"/>
      <color rgb="FFFFFFFF"/>
      <name val="Calibri"/>
      <family val="2"/>
    </font>
    <font>
      <i/>
      <sz val="9"/>
      <color rgb="FF00B050"/>
      <name val="Calibri"/>
      <family val="2"/>
    </font>
    <font>
      <sz val="9"/>
      <color theme="1"/>
      <name val="Calibri"/>
      <family val="2"/>
      <scheme val="minor"/>
    </font>
    <font>
      <sz val="10"/>
      <color theme="1"/>
      <name val="Segoe UI"/>
      <family val="2"/>
    </font>
    <font>
      <b/>
      <sz val="10"/>
      <color theme="1"/>
      <name val="Segoe UI"/>
      <family val="2"/>
    </font>
    <font>
      <b/>
      <sz val="9"/>
      <color theme="1"/>
      <name val="Segoe UI"/>
      <family val="2"/>
    </font>
    <font>
      <sz val="9"/>
      <color theme="1"/>
      <name val="Segoe UI"/>
      <family val="2"/>
    </font>
    <font>
      <b/>
      <sz val="10"/>
      <color rgb="FF000000"/>
      <name val="Segoe UI"/>
      <family val="2"/>
    </font>
    <font>
      <b/>
      <sz val="22"/>
      <color rgb="FFFFFFFF"/>
      <name val="Segoe UI"/>
      <family val="2"/>
    </font>
    <font>
      <b/>
      <sz val="11"/>
      <color theme="1"/>
      <name val="Segoe UI"/>
      <family val="2"/>
    </font>
  </fonts>
  <fills count="70">
    <fill>
      <patternFill patternType="none"/>
    </fill>
    <fill>
      <patternFill patternType="gray125"/>
    </fill>
    <fill>
      <patternFill patternType="solid">
        <fgColor rgb="FF0066CC"/>
        <bgColor rgb="FF4472C4"/>
      </patternFill>
    </fill>
    <fill>
      <patternFill patternType="solid">
        <fgColor rgb="FFE7E6E6"/>
        <bgColor rgb="FFE7E6E6"/>
      </patternFill>
    </fill>
    <fill>
      <patternFill patternType="solid">
        <fgColor rgb="FF70AD47"/>
        <bgColor rgb="FF70AD47"/>
      </patternFill>
    </fill>
    <fill>
      <patternFill patternType="solid">
        <fgColor rgb="FFFFC000"/>
        <bgColor rgb="FFFFC000"/>
      </patternFill>
    </fill>
    <fill>
      <patternFill patternType="solid">
        <fgColor rgb="FF5B9BD5"/>
        <bgColor rgb="FF5B9BD5"/>
      </patternFill>
    </fill>
    <fill>
      <patternFill patternType="solid">
        <fgColor rgb="FFF2F2F2"/>
        <bgColor rgb="FFF2F2F2"/>
      </patternFill>
    </fill>
    <fill>
      <patternFill patternType="solid">
        <fgColor rgb="FFFF0000"/>
        <bgColor rgb="FFFF0000"/>
      </patternFill>
    </fill>
    <fill>
      <patternFill patternType="solid">
        <fgColor rgb="FFFF6600"/>
        <bgColor rgb="FFFF6600"/>
      </patternFill>
    </fill>
    <fill>
      <patternFill patternType="solid">
        <fgColor rgb="FFC00000"/>
        <bgColor rgb="FFC00000"/>
      </patternFill>
    </fill>
    <fill>
      <patternFill patternType="solid">
        <fgColor rgb="FF4472C4"/>
        <bgColor rgb="FF4472C4"/>
      </patternFill>
    </fill>
    <fill>
      <patternFill patternType="solid">
        <fgColor rgb="FF92D050"/>
        <bgColor rgb="FF92D050"/>
      </patternFill>
    </fill>
    <fill>
      <patternFill patternType="solid">
        <fgColor rgb="FF009900"/>
        <bgColor rgb="FF009900"/>
      </patternFill>
    </fill>
    <fill>
      <patternFill patternType="solid">
        <fgColor rgb="FF7030A0"/>
        <bgColor rgb="FF7030A0"/>
      </patternFill>
    </fill>
    <fill>
      <patternFill patternType="solid">
        <fgColor rgb="FF2E75B5"/>
        <bgColor rgb="FF2E75B5"/>
      </patternFill>
    </fill>
    <fill>
      <patternFill patternType="solid">
        <fgColor rgb="FF00B050"/>
        <bgColor rgb="FF00B050"/>
      </patternFill>
    </fill>
    <fill>
      <patternFill patternType="solid">
        <fgColor rgb="FFE74C3C"/>
        <bgColor rgb="FFE74C3C"/>
      </patternFill>
    </fill>
    <fill>
      <patternFill patternType="solid">
        <fgColor rgb="FFFD6A02"/>
        <bgColor rgb="FFFD6A02"/>
      </patternFill>
    </fill>
    <fill>
      <patternFill patternType="solid">
        <fgColor rgb="FF1F4E78"/>
        <bgColor rgb="FF1F4E78"/>
      </patternFill>
    </fill>
    <fill>
      <patternFill patternType="solid">
        <fgColor rgb="FF548235"/>
        <bgColor rgb="FF548235"/>
      </patternFill>
    </fill>
    <fill>
      <patternFill patternType="solid">
        <fgColor rgb="FFF4B183"/>
        <bgColor rgb="FFF4B183"/>
      </patternFill>
    </fill>
    <fill>
      <patternFill patternType="solid">
        <fgColor rgb="FFE67E22"/>
        <bgColor rgb="FFE67E22"/>
      </patternFill>
    </fill>
    <fill>
      <patternFill patternType="solid">
        <fgColor rgb="FF34495E"/>
        <bgColor rgb="FF34495E"/>
      </patternFill>
    </fill>
    <fill>
      <patternFill patternType="solid">
        <fgColor rgb="FF8E44AD"/>
        <bgColor rgb="FF8E44AD"/>
      </patternFill>
    </fill>
    <fill>
      <patternFill patternType="solid">
        <fgColor rgb="FF16A085"/>
        <bgColor rgb="FF16A085"/>
      </patternFill>
    </fill>
    <fill>
      <patternFill patternType="solid">
        <fgColor rgb="FFC65911"/>
        <bgColor rgb="FFC65911"/>
      </patternFill>
    </fill>
    <fill>
      <patternFill patternType="solid">
        <fgColor rgb="FF7F7F7F"/>
        <bgColor rgb="FF7F7F7F"/>
      </patternFill>
    </fill>
    <fill>
      <patternFill patternType="solid">
        <fgColor rgb="FF2980B9"/>
        <bgColor rgb="FF2980B9"/>
      </patternFill>
    </fill>
    <fill>
      <patternFill patternType="solid">
        <fgColor rgb="FFF2F2F2"/>
        <bgColor rgb="FFF2F2F2"/>
      </patternFill>
    </fill>
    <fill>
      <patternFill patternType="solid">
        <fgColor rgb="FFED7D31"/>
        <bgColor rgb="FFED7D31"/>
      </patternFill>
    </fill>
    <fill>
      <patternFill patternType="solid">
        <fgColor rgb="FF5B9BD5"/>
        <bgColor rgb="FF5B9BD5"/>
      </patternFill>
    </fill>
    <fill>
      <patternFill patternType="solid">
        <fgColor rgb="FF9966CC"/>
        <bgColor rgb="FF9966CC"/>
      </patternFill>
    </fill>
    <fill>
      <patternFill patternType="solid">
        <fgColor rgb="FF4472C4"/>
      </patternFill>
    </fill>
    <fill>
      <patternFill patternType="solid">
        <fgColor rgb="FFED7D31"/>
      </patternFill>
    </fill>
    <fill>
      <patternFill patternType="solid">
        <fgColor rgb="FF70AD47"/>
      </patternFill>
    </fill>
    <fill>
      <patternFill patternType="solid">
        <fgColor rgb="FFD9E1F2"/>
        <bgColor rgb="FFD9E1F2"/>
      </patternFill>
    </fill>
    <fill>
      <patternFill patternType="solid">
        <fgColor rgb="FFFCE4D6"/>
        <bgColor rgb="FFFCE4D6"/>
      </patternFill>
    </fill>
    <fill>
      <patternFill patternType="solid">
        <fgColor rgb="FFE2EFDA"/>
        <bgColor rgb="FFE2EFDA"/>
      </patternFill>
    </fill>
    <fill>
      <patternFill patternType="solid">
        <fgColor rgb="FFFFFFFF"/>
        <bgColor indexed="64"/>
      </patternFill>
    </fill>
    <fill>
      <patternFill patternType="solid">
        <fgColor rgb="FFD9E1F2"/>
        <bgColor indexed="64"/>
      </patternFill>
    </fill>
    <fill>
      <patternFill patternType="solid">
        <fgColor rgb="FFE2EFDA"/>
        <bgColor indexed="64"/>
      </patternFill>
    </fill>
    <fill>
      <patternFill patternType="solid">
        <fgColor rgb="FFBDD7EE"/>
        <bgColor indexed="64"/>
      </patternFill>
    </fill>
    <fill>
      <patternFill patternType="solid">
        <fgColor rgb="FF92D050"/>
        <bgColor indexed="64"/>
      </patternFill>
    </fill>
    <fill>
      <patternFill patternType="solid">
        <fgColor rgb="FF1F4E78"/>
        <bgColor rgb="FF1F4E78"/>
      </patternFill>
    </fill>
    <fill>
      <patternFill patternType="solid">
        <fgColor rgb="FF4472C4"/>
        <bgColor rgb="FF4472C4"/>
      </patternFill>
    </fill>
    <fill>
      <patternFill patternType="solid">
        <fgColor rgb="FF1F4E78"/>
        <bgColor rgb="FF1F4E78"/>
      </patternFill>
    </fill>
    <fill>
      <patternFill patternType="solid">
        <fgColor rgb="FF4472C4"/>
        <bgColor rgb="FF4472C4"/>
      </patternFill>
    </fill>
    <fill>
      <patternFill patternType="solid">
        <fgColor rgb="FFC00000"/>
        <bgColor rgb="FFC00000"/>
      </patternFill>
    </fill>
    <fill>
      <patternFill patternType="solid">
        <fgColor rgb="FFC6EFCE"/>
        <bgColor rgb="FFC6EFCE"/>
      </patternFill>
    </fill>
    <fill>
      <patternFill patternType="solid">
        <fgColor rgb="FFFFEB9C"/>
        <bgColor rgb="FFFFEB9C"/>
      </patternFill>
    </fill>
    <fill>
      <patternFill patternType="solid">
        <fgColor rgb="FFFFC7CE"/>
        <bgColor rgb="FFFFC7CE"/>
      </patternFill>
    </fill>
    <fill>
      <patternFill patternType="solid">
        <fgColor rgb="FF70AD47"/>
        <bgColor rgb="FF70AD47"/>
      </patternFill>
    </fill>
    <fill>
      <patternFill patternType="solid">
        <fgColor rgb="FFFFC000"/>
        <bgColor rgb="FFFFC000"/>
      </patternFill>
    </fill>
    <fill>
      <patternFill patternType="solid">
        <fgColor rgb="FFFFF2CC"/>
        <bgColor rgb="FFFFF2CC"/>
      </patternFill>
    </fill>
    <fill>
      <patternFill patternType="solid">
        <fgColor rgb="FF00B050"/>
        <bgColor rgb="FF00B050"/>
      </patternFill>
    </fill>
    <fill>
      <patternFill patternType="solid">
        <fgColor rgb="FF70AD47"/>
        <bgColor rgb="FF70AD47"/>
      </patternFill>
    </fill>
    <fill>
      <patternFill patternType="solid">
        <fgColor rgb="FFFFC000"/>
        <bgColor rgb="FFFFC000"/>
      </patternFill>
    </fill>
    <fill>
      <patternFill patternType="solid">
        <fgColor rgb="FF92D050"/>
        <bgColor rgb="FF92D050"/>
      </patternFill>
    </fill>
    <fill>
      <patternFill patternType="solid">
        <fgColor rgb="FFFF6B6B"/>
        <bgColor rgb="FFFF6B6B"/>
      </patternFill>
    </fill>
    <fill>
      <patternFill patternType="solid">
        <fgColor rgb="FF4A148C"/>
        <bgColor rgb="FF4A148C"/>
      </patternFill>
    </fill>
    <fill>
      <patternFill patternType="solid">
        <fgColor rgb="FFD32F2F"/>
        <bgColor rgb="FFD32F2F"/>
      </patternFill>
    </fill>
    <fill>
      <patternFill patternType="solid">
        <fgColor rgb="FF1976D2"/>
        <bgColor rgb="FF1976D2"/>
      </patternFill>
    </fill>
    <fill>
      <patternFill patternType="solid">
        <fgColor rgb="FF388E3C"/>
        <bgColor rgb="FF388E3C"/>
      </patternFill>
    </fill>
    <fill>
      <patternFill patternType="solid">
        <fgColor rgb="FF7030A0"/>
        <bgColor rgb="FF7030A0"/>
      </patternFill>
    </fill>
    <fill>
      <patternFill patternType="solid">
        <fgColor rgb="FF0070C0"/>
        <bgColor rgb="FF0070C0"/>
      </patternFill>
    </fill>
    <fill>
      <patternFill patternType="solid">
        <fgColor rgb="FF4472C4"/>
        <bgColor rgb="FF1F4E78"/>
      </patternFill>
    </fill>
    <fill>
      <patternFill patternType="solid">
        <fgColor rgb="FF4472C4"/>
        <bgColor indexed="64"/>
      </patternFill>
    </fill>
    <fill>
      <patternFill patternType="solid">
        <fgColor rgb="FFC6E0B4"/>
        <bgColor indexed="64"/>
      </patternFill>
    </fill>
    <fill>
      <patternFill patternType="solid">
        <fgColor rgb="FFE7E6E6"/>
        <bgColor rgb="FFE7E6E6"/>
      </patternFill>
    </fill>
  </fills>
  <borders count="51">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rgb="FF1F4E78"/>
      </left>
      <right style="medium">
        <color rgb="FF1F4E78"/>
      </right>
      <top style="medium">
        <color rgb="FF1F4E78"/>
      </top>
      <bottom style="medium">
        <color rgb="FF1F4E78"/>
      </bottom>
      <diagonal/>
    </border>
    <border>
      <left style="medium">
        <color rgb="FF2E75B6"/>
      </left>
      <right style="medium">
        <color rgb="FF2E75B6"/>
      </right>
      <top style="medium">
        <color rgb="FF2E75B6"/>
      </top>
      <bottom style="medium">
        <color rgb="FF2E75B6"/>
      </bottom>
      <diagonal/>
    </border>
    <border>
      <left style="thin">
        <color rgb="FFBFBFBF"/>
      </left>
      <right style="thin">
        <color rgb="FFBFBFBF"/>
      </right>
      <top style="thin">
        <color rgb="FFBFBFBF"/>
      </top>
      <bottom style="thin">
        <color rgb="FFBFBFBF"/>
      </bottom>
      <diagonal/>
    </border>
    <border>
      <left style="medium">
        <color rgb="FF4472C4"/>
      </left>
      <right style="medium">
        <color rgb="FF4472C4"/>
      </right>
      <top style="medium">
        <color rgb="FF4472C4"/>
      </top>
      <bottom style="medium">
        <color rgb="FF4472C4"/>
      </bottom>
      <diagonal/>
    </border>
    <border>
      <left style="thin">
        <color rgb="FF4472C4"/>
      </left>
      <right style="thin">
        <color rgb="FF4472C4"/>
      </right>
      <top style="thin">
        <color rgb="FF4472C4"/>
      </top>
      <bottom style="thin">
        <color rgb="FF4472C4"/>
      </bottom>
      <diagonal/>
    </border>
    <border>
      <left style="medium">
        <color rgb="FFED7D31"/>
      </left>
      <right style="medium">
        <color rgb="FFED7D31"/>
      </right>
      <top style="medium">
        <color rgb="FFED7D31"/>
      </top>
      <bottom style="medium">
        <color rgb="FFED7D31"/>
      </bottom>
      <diagonal/>
    </border>
    <border>
      <left style="thin">
        <color rgb="FFED7D31"/>
      </left>
      <right style="thin">
        <color rgb="FFED7D31"/>
      </right>
      <top style="thin">
        <color rgb="FFED7D31"/>
      </top>
      <bottom style="thin">
        <color rgb="FFED7D31"/>
      </bottom>
      <diagonal/>
    </border>
    <border>
      <left style="medium">
        <color rgb="FF70AD47"/>
      </left>
      <right style="medium">
        <color rgb="FF70AD47"/>
      </right>
      <top style="medium">
        <color rgb="FF70AD47"/>
      </top>
      <bottom style="medium">
        <color rgb="FF70AD47"/>
      </bottom>
      <diagonal/>
    </border>
    <border>
      <left style="thin">
        <color rgb="FF70AD47"/>
      </left>
      <right style="thin">
        <color rgb="FF70AD47"/>
      </right>
      <top style="thin">
        <color rgb="FF70AD47"/>
      </top>
      <bottom style="thin">
        <color rgb="FF70AD47"/>
      </bottom>
      <diagonal/>
    </border>
    <border>
      <left style="medium">
        <color rgb="FF5B9BD5"/>
      </left>
      <right style="medium">
        <color rgb="FF5B9BD5"/>
      </right>
      <top style="medium">
        <color rgb="FF5B9BD5"/>
      </top>
      <bottom style="medium">
        <color rgb="FF5B9BD5"/>
      </bottom>
      <diagonal/>
    </border>
    <border>
      <left style="thin">
        <color rgb="FF5B9BD5"/>
      </left>
      <right style="thin">
        <color rgb="FF5B9BD5"/>
      </right>
      <top style="thin">
        <color rgb="FF5B9BD5"/>
      </top>
      <bottom style="thin">
        <color rgb="FF5B9BD5"/>
      </bottom>
      <diagonal/>
    </border>
    <border>
      <left style="medium">
        <color rgb="FF9966CC"/>
      </left>
      <right style="medium">
        <color rgb="FF9966CC"/>
      </right>
      <top style="medium">
        <color rgb="FF9966CC"/>
      </top>
      <bottom style="medium">
        <color rgb="FF9966CC"/>
      </bottom>
      <diagonal/>
    </border>
    <border>
      <left style="thin">
        <color rgb="FF9966CC"/>
      </left>
      <right style="thin">
        <color rgb="FF9966CC"/>
      </right>
      <top style="thin">
        <color rgb="FF9966CC"/>
      </top>
      <bottom style="thin">
        <color rgb="FF9966CC"/>
      </bottom>
      <diagonal/>
    </border>
    <border>
      <left/>
      <right/>
      <top style="medium">
        <color rgb="FF5B9BD5"/>
      </top>
      <bottom style="medium">
        <color rgb="FF5B9BD5"/>
      </bottom>
      <diagonal/>
    </border>
    <border>
      <left/>
      <right style="medium">
        <color rgb="FF5B9BD5"/>
      </right>
      <top style="medium">
        <color rgb="FF5B9BD5"/>
      </top>
      <bottom style="medium">
        <color rgb="FF5B9BD5"/>
      </bottom>
      <diagonal/>
    </border>
    <border>
      <left/>
      <right/>
      <top style="thin">
        <color rgb="FF9966CC"/>
      </top>
      <bottom style="thin">
        <color rgb="FF9966CC"/>
      </bottom>
      <diagonal/>
    </border>
    <border>
      <left/>
      <right style="thin">
        <color rgb="FF9966CC"/>
      </right>
      <top style="thin">
        <color rgb="FF9966CC"/>
      </top>
      <bottom style="thin">
        <color rgb="FF9966CC"/>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medium">
        <color rgb="FF2E75B6"/>
      </top>
      <bottom style="medium">
        <color rgb="FF2E75B6"/>
      </bottom>
      <diagonal/>
    </border>
    <border>
      <left/>
      <right style="medium">
        <color rgb="FF2E75B6"/>
      </right>
      <top style="medium">
        <color rgb="FF2E75B6"/>
      </top>
      <bottom style="medium">
        <color rgb="FF2E75B6"/>
      </bottom>
      <diagonal/>
    </border>
    <border>
      <left/>
      <right/>
      <top style="medium">
        <color rgb="FF1F4E78"/>
      </top>
      <bottom style="medium">
        <color rgb="FF1F4E78"/>
      </bottom>
      <diagonal/>
    </border>
    <border>
      <left/>
      <right style="medium">
        <color rgb="FF1F4E78"/>
      </right>
      <top style="medium">
        <color rgb="FF1F4E78"/>
      </top>
      <bottom style="medium">
        <color rgb="FF1F4E78"/>
      </bottom>
      <diagonal/>
    </border>
    <border>
      <left/>
      <right/>
      <top style="medium">
        <color rgb="FF4472C4"/>
      </top>
      <bottom style="medium">
        <color rgb="FF4472C4"/>
      </bottom>
      <diagonal/>
    </border>
    <border>
      <left/>
      <right style="medium">
        <color rgb="FF4472C4"/>
      </right>
      <top style="medium">
        <color rgb="FF4472C4"/>
      </top>
      <bottom style="medium">
        <color rgb="FF4472C4"/>
      </bottom>
      <diagonal/>
    </border>
    <border>
      <left/>
      <right/>
      <top style="medium">
        <color rgb="FFED7D31"/>
      </top>
      <bottom style="medium">
        <color rgb="FFED7D31"/>
      </bottom>
      <diagonal/>
    </border>
    <border>
      <left/>
      <right style="medium">
        <color rgb="FFED7D31"/>
      </right>
      <top style="medium">
        <color rgb="FFED7D31"/>
      </top>
      <bottom style="medium">
        <color rgb="FFED7D31"/>
      </bottom>
      <diagonal/>
    </border>
    <border>
      <left/>
      <right/>
      <top/>
      <bottom/>
      <diagonal/>
    </border>
    <border>
      <left/>
      <right/>
      <top style="medium">
        <color rgb="FF9966CC"/>
      </top>
      <bottom style="medium">
        <color rgb="FF9966CC"/>
      </bottom>
      <diagonal/>
    </border>
    <border>
      <left/>
      <right style="medium">
        <color rgb="FF9966CC"/>
      </right>
      <top style="medium">
        <color rgb="FF9966CC"/>
      </top>
      <bottom style="medium">
        <color rgb="FF9966CC"/>
      </bottom>
      <diagonal/>
    </border>
    <border>
      <left/>
      <right/>
      <top style="medium">
        <color rgb="FF70AD47"/>
      </top>
      <bottom style="medium">
        <color rgb="FF70AD47"/>
      </bottom>
      <diagonal/>
    </border>
    <border>
      <left/>
      <right style="medium">
        <color rgb="FF70AD47"/>
      </right>
      <top style="medium">
        <color rgb="FF70AD47"/>
      </top>
      <bottom style="medium">
        <color rgb="FF70AD47"/>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1">
    <xf numFmtId="0" fontId="0" fillId="0" borderId="38"/>
  </cellStyleXfs>
  <cellXfs count="246">
    <xf numFmtId="0" fontId="0" fillId="0" borderId="0"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13" fillId="9" borderId="1" xfId="0" applyFont="1" applyFill="1" applyBorder="1" applyAlignment="1">
      <alignment horizontal="center" vertical="center"/>
    </xf>
    <xf numFmtId="0" fontId="13" fillId="5" borderId="1" xfId="0" applyFont="1" applyFill="1" applyBorder="1" applyAlignment="1">
      <alignment horizontal="center" vertical="center"/>
    </xf>
    <xf numFmtId="0" fontId="13" fillId="4" borderId="1" xfId="0" applyFont="1" applyFill="1" applyBorder="1" applyAlignment="1">
      <alignment horizontal="center" vertical="center"/>
    </xf>
    <xf numFmtId="0" fontId="23" fillId="11" borderId="1" xfId="0" applyFont="1" applyFill="1" applyBorder="1" applyAlignment="1">
      <alignment horizontal="center" vertical="center"/>
    </xf>
    <xf numFmtId="0" fontId="27" fillId="5" borderId="1" xfId="0" applyFont="1" applyFill="1" applyBorder="1" applyAlignment="1">
      <alignment horizontal="center" vertical="center"/>
    </xf>
    <xf numFmtId="0" fontId="27" fillId="9" borderId="1" xfId="0" applyFont="1" applyFill="1" applyBorder="1" applyAlignment="1">
      <alignment horizontal="center" vertical="center"/>
    </xf>
    <xf numFmtId="0" fontId="28" fillId="8" borderId="1" xfId="0" applyFont="1" applyFill="1" applyBorder="1" applyAlignment="1">
      <alignment horizontal="center" vertical="center"/>
    </xf>
    <xf numFmtId="0" fontId="28" fillId="10" borderId="1" xfId="0" applyFont="1" applyFill="1" applyBorder="1" applyAlignment="1">
      <alignment horizontal="center" vertical="center"/>
    </xf>
    <xf numFmtId="0" fontId="27" fillId="4" borderId="1" xfId="0" applyFont="1" applyFill="1" applyBorder="1" applyAlignment="1">
      <alignment horizontal="center" vertical="center"/>
    </xf>
    <xf numFmtId="0" fontId="13" fillId="10" borderId="1" xfId="0" applyFont="1" applyFill="1" applyBorder="1" applyAlignment="1">
      <alignment horizontal="center" vertical="center"/>
    </xf>
    <xf numFmtId="0" fontId="27" fillId="12" borderId="1" xfId="0" applyFont="1" applyFill="1" applyBorder="1" applyAlignment="1">
      <alignment horizontal="center" vertical="center"/>
    </xf>
    <xf numFmtId="0" fontId="23" fillId="8" borderId="1" xfId="0" applyFont="1" applyFill="1" applyBorder="1" applyAlignment="1">
      <alignment horizontal="center" vertical="center"/>
    </xf>
    <xf numFmtId="0" fontId="3" fillId="7" borderId="1" xfId="0" applyFont="1" applyFill="1" applyBorder="1" applyAlignment="1">
      <alignment horizontal="center" vertical="center"/>
    </xf>
    <xf numFmtId="0" fontId="30" fillId="7" borderId="1" xfId="0" applyFont="1" applyFill="1" applyBorder="1" applyAlignment="1">
      <alignment horizontal="center" vertical="center"/>
    </xf>
    <xf numFmtId="0" fontId="31" fillId="7" borderId="1" xfId="0" applyFont="1" applyFill="1" applyBorder="1" applyAlignment="1">
      <alignment horizontal="center" vertical="center"/>
    </xf>
    <xf numFmtId="0" fontId="2" fillId="7" borderId="1" xfId="0" applyFont="1" applyFill="1" applyBorder="1" applyAlignment="1">
      <alignment horizontal="center" vertical="center"/>
    </xf>
    <xf numFmtId="0" fontId="32" fillId="7" borderId="1" xfId="0" applyFont="1" applyFill="1" applyBorder="1" applyAlignment="1">
      <alignment horizontal="center" vertical="center"/>
    </xf>
    <xf numFmtId="0" fontId="33" fillId="7" borderId="1" xfId="0" applyFont="1" applyFill="1" applyBorder="1" applyAlignment="1">
      <alignment horizontal="center" vertical="center"/>
    </xf>
    <xf numFmtId="0" fontId="13" fillId="11" borderId="1" xfId="0" applyFont="1" applyFill="1" applyBorder="1" applyAlignment="1">
      <alignment horizontal="center" vertical="center"/>
    </xf>
    <xf numFmtId="0" fontId="16" fillId="14" borderId="1" xfId="0" applyFont="1" applyFill="1" applyBorder="1" applyAlignment="1">
      <alignment horizontal="center" vertical="center"/>
    </xf>
    <xf numFmtId="0" fontId="0" fillId="0" borderId="1" xfId="0" applyBorder="1" applyAlignment="1">
      <alignment horizontal="left" vertical="center" wrapText="1"/>
    </xf>
    <xf numFmtId="0" fontId="23" fillId="22" borderId="1" xfId="0" applyFont="1" applyFill="1" applyBorder="1" applyAlignment="1">
      <alignment horizontal="center" vertical="center"/>
    </xf>
    <xf numFmtId="0" fontId="23" fillId="26" borderId="1" xfId="0" applyFont="1" applyFill="1" applyBorder="1" applyAlignment="1">
      <alignment horizontal="center" vertical="center"/>
    </xf>
    <xf numFmtId="0" fontId="23" fillId="28" borderId="1" xfId="0" applyFont="1" applyFill="1" applyBorder="1" applyAlignment="1">
      <alignment horizontal="center" vertical="center"/>
    </xf>
    <xf numFmtId="0" fontId="23" fillId="27" borderId="1" xfId="0" applyFont="1" applyFill="1" applyBorder="1" applyAlignment="1">
      <alignment horizontal="center" vertical="center"/>
    </xf>
    <xf numFmtId="0" fontId="63" fillId="33" borderId="1" xfId="0" applyFont="1" applyFill="1" applyBorder="1" applyAlignment="1">
      <alignment horizontal="center" vertical="center"/>
    </xf>
    <xf numFmtId="0" fontId="65" fillId="0" borderId="13" xfId="0" applyFont="1" applyBorder="1"/>
    <xf numFmtId="14" fontId="65" fillId="0" borderId="13" xfId="0" applyNumberFormat="1" applyFont="1" applyBorder="1"/>
    <xf numFmtId="14" fontId="65" fillId="39" borderId="13" xfId="0" applyNumberFormat="1" applyFont="1" applyFill="1" applyBorder="1"/>
    <xf numFmtId="14" fontId="16" fillId="6" borderId="1" xfId="0" applyNumberFormat="1" applyFont="1" applyFill="1" applyBorder="1" applyAlignment="1">
      <alignment horizontal="center"/>
    </xf>
    <xf numFmtId="22" fontId="0" fillId="0" borderId="0" xfId="0" applyNumberFormat="1" applyBorder="1"/>
    <xf numFmtId="0" fontId="68" fillId="44" borderId="43" xfId="0" applyFont="1" applyFill="1" applyBorder="1" applyAlignment="1">
      <alignment horizontal="center" vertical="center"/>
    </xf>
    <xf numFmtId="0" fontId="69" fillId="45" borderId="44" xfId="0" applyFont="1" applyFill="1" applyBorder="1" applyAlignment="1">
      <alignment horizontal="center" vertical="center"/>
    </xf>
    <xf numFmtId="0" fontId="0" fillId="0" borderId="45" xfId="0" applyBorder="1" applyAlignment="1">
      <alignment vertical="top" wrapText="1"/>
    </xf>
    <xf numFmtId="0" fontId="0" fillId="0" borderId="45" xfId="0" applyBorder="1"/>
    <xf numFmtId="0" fontId="70" fillId="46" borderId="45" xfId="0" applyFont="1" applyFill="1" applyBorder="1" applyAlignment="1">
      <alignment horizontal="center" wrapText="1"/>
    </xf>
    <xf numFmtId="0" fontId="0" fillId="49" borderId="0" xfId="0" applyFill="1" applyBorder="1"/>
    <xf numFmtId="0" fontId="0" fillId="50" borderId="0" xfId="0" applyFill="1" applyBorder="1"/>
    <xf numFmtId="0" fontId="0" fillId="51" borderId="0" xfId="0" applyFill="1" applyBorder="1"/>
    <xf numFmtId="0" fontId="0" fillId="0" borderId="45" xfId="0" applyBorder="1" applyAlignment="1">
      <alignment vertical="center" wrapText="1"/>
    </xf>
    <xf numFmtId="0" fontId="0" fillId="49" borderId="45" xfId="0" applyFill="1" applyBorder="1" applyAlignment="1">
      <alignment vertical="center" wrapText="1"/>
    </xf>
    <xf numFmtId="0" fontId="15" fillId="66" borderId="45" xfId="0" applyFont="1" applyFill="1" applyBorder="1" applyAlignment="1">
      <alignment horizontal="center" vertical="center" wrapText="1"/>
    </xf>
    <xf numFmtId="0" fontId="13" fillId="66" borderId="45" xfId="0" applyFont="1" applyFill="1" applyBorder="1" applyAlignment="1">
      <alignment horizontal="center" vertical="center" wrapText="1"/>
    </xf>
    <xf numFmtId="0" fontId="67" fillId="67" borderId="0" xfId="0" applyFont="1" applyFill="1" applyBorder="1" applyAlignment="1">
      <alignment horizontal="center"/>
    </xf>
    <xf numFmtId="22" fontId="87" fillId="0" borderId="46" xfId="0" applyNumberFormat="1" applyFont="1" applyBorder="1"/>
    <xf numFmtId="0" fontId="88" fillId="39" borderId="13" xfId="0" applyFont="1" applyFill="1" applyBorder="1" applyAlignment="1">
      <alignment vertical="center"/>
    </xf>
    <xf numFmtId="14" fontId="88" fillId="39" borderId="13" xfId="0" applyNumberFormat="1" applyFont="1" applyFill="1" applyBorder="1" applyAlignment="1">
      <alignment vertical="center"/>
    </xf>
    <xf numFmtId="0" fontId="89" fillId="40" borderId="13" xfId="0" applyFont="1" applyFill="1" applyBorder="1" applyAlignment="1">
      <alignment horizontal="center" vertical="center"/>
    </xf>
    <xf numFmtId="0" fontId="89" fillId="68" borderId="13" xfId="0" applyFont="1" applyFill="1" applyBorder="1" applyAlignment="1">
      <alignment horizontal="center" vertical="center"/>
    </xf>
    <xf numFmtId="0" fontId="90" fillId="40" borderId="46" xfId="0" applyFont="1" applyFill="1" applyBorder="1"/>
    <xf numFmtId="0" fontId="91" fillId="0" borderId="46" xfId="0" applyFont="1" applyBorder="1"/>
    <xf numFmtId="0" fontId="92" fillId="69" borderId="47" xfId="0" applyFont="1" applyFill="1" applyBorder="1" applyAlignment="1">
      <alignment horizontal="center" vertical="center" wrapText="1"/>
    </xf>
    <xf numFmtId="0" fontId="18" fillId="0" borderId="1" xfId="0" applyFont="1" applyBorder="1" applyAlignment="1">
      <alignment horizontal="center" vertical="center"/>
    </xf>
    <xf numFmtId="0" fontId="19" fillId="7" borderId="1" xfId="0" applyFont="1" applyFill="1" applyBorder="1" applyAlignment="1">
      <alignment horizontal="center" vertical="center"/>
    </xf>
    <xf numFmtId="0" fontId="20" fillId="7" borderId="1" xfId="0" applyFont="1" applyFill="1" applyBorder="1" applyAlignment="1">
      <alignment horizontal="center" vertical="center"/>
    </xf>
    <xf numFmtId="0" fontId="21" fillId="7" borderId="1" xfId="0" applyFont="1" applyFill="1" applyBorder="1" applyAlignment="1">
      <alignment horizontal="center" vertical="center"/>
    </xf>
    <xf numFmtId="0" fontId="22" fillId="7" borderId="1" xfId="0" applyFont="1" applyFill="1" applyBorder="1" applyAlignment="1">
      <alignment horizontal="center" vertical="center"/>
    </xf>
    <xf numFmtId="0" fontId="67" fillId="43" borderId="0" xfId="0" applyFont="1" applyFill="1" applyBorder="1" applyAlignment="1">
      <alignment horizontal="center" vertical="center"/>
    </xf>
    <xf numFmtId="0" fontId="0" fillId="0" borderId="0" xfId="0" applyBorder="1" applyAlignment="1">
      <alignment horizontal="center" vertical="center"/>
    </xf>
    <xf numFmtId="0" fontId="16" fillId="6" borderId="1" xfId="0" applyFont="1" applyFill="1" applyBorder="1" applyAlignment="1">
      <alignment horizontal="center" vertical="center"/>
    </xf>
    <xf numFmtId="0" fontId="13" fillId="8" borderId="1" xfId="0" applyFont="1" applyFill="1" applyBorder="1" applyAlignment="1">
      <alignment horizontal="center" vertical="center"/>
    </xf>
    <xf numFmtId="0" fontId="16" fillId="5" borderId="1" xfId="0" applyFont="1" applyFill="1" applyBorder="1" applyAlignment="1">
      <alignment horizontal="center" vertical="center"/>
    </xf>
    <xf numFmtId="0" fontId="70" fillId="46" borderId="45" xfId="0" applyFont="1" applyFill="1" applyBorder="1" applyAlignment="1">
      <alignment horizontal="center" vertical="center"/>
    </xf>
    <xf numFmtId="0" fontId="77" fillId="54" borderId="45" xfId="0" applyFont="1" applyFill="1" applyBorder="1" applyAlignment="1">
      <alignment horizontal="center" vertical="center"/>
    </xf>
    <xf numFmtId="0" fontId="78" fillId="54" borderId="45" xfId="0" applyFont="1" applyFill="1" applyBorder="1" applyAlignment="1">
      <alignment horizontal="left" vertical="top" wrapText="1"/>
    </xf>
    <xf numFmtId="0" fontId="66" fillId="40" borderId="13" xfId="0" applyFont="1" applyFill="1" applyBorder="1" applyAlignment="1">
      <alignment horizontal="center" vertical="center"/>
    </xf>
    <xf numFmtId="0" fontId="65" fillId="39" borderId="13" xfId="0" applyFont="1" applyFill="1" applyBorder="1" applyAlignment="1">
      <alignment horizontal="center" vertical="center"/>
    </xf>
    <xf numFmtId="14" fontId="65" fillId="39" borderId="13" xfId="0" applyNumberFormat="1" applyFont="1" applyFill="1" applyBorder="1" applyAlignment="1">
      <alignment horizontal="center" vertical="center"/>
    </xf>
    <xf numFmtId="0" fontId="88" fillId="39" borderId="13" xfId="0" applyFont="1" applyFill="1" applyBorder="1" applyAlignment="1">
      <alignment horizontal="center" vertical="center"/>
    </xf>
    <xf numFmtId="0" fontId="16" fillId="17" borderId="1" xfId="0" applyFont="1" applyFill="1" applyBorder="1" applyAlignment="1">
      <alignment horizontal="center" vertical="center"/>
    </xf>
    <xf numFmtId="0" fontId="0" fillId="0" borderId="1" xfId="0" applyBorder="1" applyAlignment="1">
      <alignment horizontal="left" vertical="top" wrapText="1"/>
    </xf>
    <xf numFmtId="0" fontId="24" fillId="5" borderId="1" xfId="0" applyFont="1" applyFill="1" applyBorder="1" applyAlignment="1">
      <alignment horizontal="center" vertical="center"/>
    </xf>
    <xf numFmtId="0" fontId="13" fillId="17" borderId="1" xfId="0" applyFont="1" applyFill="1" applyBorder="1" applyAlignment="1">
      <alignment horizontal="center" vertical="center"/>
    </xf>
    <xf numFmtId="0" fontId="23" fillId="18" borderId="1" xfId="0" applyFont="1" applyFill="1" applyBorder="1" applyAlignment="1">
      <alignment horizontal="center" vertical="center"/>
    </xf>
    <xf numFmtId="0" fontId="63" fillId="34" borderId="1" xfId="0" applyFont="1" applyFill="1" applyBorder="1" applyAlignment="1">
      <alignment horizontal="center" vertical="center"/>
    </xf>
    <xf numFmtId="0" fontId="23" fillId="9" borderId="1" xfId="0" applyFont="1" applyFill="1" applyBorder="1" applyAlignment="1">
      <alignment horizontal="center" vertical="center"/>
    </xf>
    <xf numFmtId="0" fontId="23" fillId="15" borderId="1" xfId="0" applyFont="1" applyFill="1" applyBorder="1" applyAlignment="1">
      <alignment horizontal="center" vertical="center"/>
    </xf>
    <xf numFmtId="0" fontId="14" fillId="3" borderId="1" xfId="0" applyFont="1" applyFill="1" applyBorder="1" applyAlignment="1">
      <alignment horizontal="center" vertical="center"/>
    </xf>
    <xf numFmtId="0" fontId="23" fillId="16" borderId="1" xfId="0" applyFont="1" applyFill="1" applyBorder="1" applyAlignment="1">
      <alignment horizontal="center" vertical="center"/>
    </xf>
    <xf numFmtId="0" fontId="13" fillId="16" borderId="1" xfId="0" applyFont="1" applyFill="1" applyBorder="1" applyAlignment="1">
      <alignment horizontal="center" vertical="center"/>
    </xf>
    <xf numFmtId="0" fontId="14" fillId="0" borderId="1" xfId="0" applyFont="1" applyBorder="1" applyAlignment="1">
      <alignment horizontal="center" vertical="center"/>
    </xf>
    <xf numFmtId="0" fontId="39" fillId="0" borderId="1" xfId="0" applyFont="1" applyBorder="1" applyAlignment="1">
      <alignment horizontal="center" vertical="center"/>
    </xf>
    <xf numFmtId="0" fontId="63" fillId="35" borderId="1" xfId="0" applyFont="1" applyFill="1" applyBorder="1" applyAlignment="1">
      <alignment horizontal="center" vertical="center"/>
    </xf>
    <xf numFmtId="0" fontId="23" fillId="13" borderId="1" xfId="0" applyFont="1" applyFill="1" applyBorder="1" applyAlignment="1">
      <alignment horizontal="center" vertical="center"/>
    </xf>
    <xf numFmtId="0" fontId="26" fillId="0" borderId="1" xfId="0" applyFont="1" applyBorder="1" applyAlignment="1">
      <alignment horizontal="center" vertical="center"/>
    </xf>
    <xf numFmtId="0" fontId="66" fillId="41" borderId="13" xfId="0" applyFont="1" applyFill="1" applyBorder="1" applyAlignment="1">
      <alignment horizontal="center" vertical="center"/>
    </xf>
    <xf numFmtId="0" fontId="66" fillId="42" borderId="13" xfId="0" applyFont="1" applyFill="1" applyBorder="1" applyAlignment="1">
      <alignment horizontal="center" vertical="center"/>
    </xf>
    <xf numFmtId="9" fontId="65" fillId="0" borderId="13" xfId="0" applyNumberFormat="1" applyFont="1" applyBorder="1" applyAlignment="1">
      <alignment horizontal="center" vertical="center"/>
    </xf>
    <xf numFmtId="0" fontId="23" fillId="10" borderId="1" xfId="0" applyFont="1" applyFill="1" applyBorder="1" applyAlignment="1">
      <alignment horizontal="center" vertical="center"/>
    </xf>
    <xf numFmtId="0" fontId="24" fillId="4" borderId="1" xfId="0" applyFont="1" applyFill="1" applyBorder="1" applyAlignment="1">
      <alignment horizontal="center" vertical="center"/>
    </xf>
    <xf numFmtId="0" fontId="0" fillId="0" borderId="45" xfId="0" applyBorder="1" applyAlignment="1">
      <alignment horizontal="center" vertical="center"/>
    </xf>
    <xf numFmtId="0" fontId="0" fillId="0" borderId="45" xfId="0" applyBorder="1" applyAlignment="1">
      <alignment horizontal="left" vertical="top" wrapText="1"/>
    </xf>
    <xf numFmtId="0" fontId="23" fillId="25" borderId="1" xfId="0" applyFont="1" applyFill="1" applyBorder="1" applyAlignment="1">
      <alignment horizontal="center" vertical="center"/>
    </xf>
    <xf numFmtId="0" fontId="0" fillId="0" borderId="0" xfId="0" applyBorder="1" applyAlignment="1">
      <alignment horizontal="left" vertical="top" wrapText="1"/>
    </xf>
    <xf numFmtId="0" fontId="87" fillId="0" borderId="46" xfId="0" applyFont="1" applyBorder="1" applyAlignment="1">
      <alignment horizontal="center" vertical="center"/>
    </xf>
    <xf numFmtId="0" fontId="87" fillId="0" borderId="46" xfId="0" applyFont="1" applyBorder="1" applyAlignment="1">
      <alignment horizontal="left" vertical="top" wrapText="1"/>
    </xf>
    <xf numFmtId="0" fontId="13" fillId="4" borderId="0" xfId="0" applyFont="1" applyFill="1" applyBorder="1" applyAlignment="1">
      <alignment horizontal="center" vertical="center"/>
    </xf>
    <xf numFmtId="0" fontId="23" fillId="19" borderId="1" xfId="0" applyFont="1" applyFill="1" applyBorder="1" applyAlignment="1">
      <alignment horizontal="center" vertical="center"/>
    </xf>
    <xf numFmtId="0" fontId="23" fillId="20" borderId="1" xfId="0" applyFont="1" applyFill="1" applyBorder="1" applyAlignment="1">
      <alignment horizontal="center" vertical="center"/>
    </xf>
    <xf numFmtId="0" fontId="23" fillId="14" borderId="1" xfId="0" applyFont="1" applyFill="1" applyBorder="1" applyAlignment="1">
      <alignment horizontal="center" vertical="center"/>
    </xf>
    <xf numFmtId="0" fontId="42" fillId="21" borderId="1" xfId="0" applyFont="1" applyFill="1" applyBorder="1" applyAlignment="1">
      <alignment horizontal="center" vertical="center"/>
    </xf>
    <xf numFmtId="0" fontId="23" fillId="23" borderId="1" xfId="0" applyFont="1" applyFill="1" applyBorder="1" applyAlignment="1">
      <alignment horizontal="center" vertical="center"/>
    </xf>
    <xf numFmtId="0" fontId="23" fillId="24" borderId="1" xfId="0" applyFont="1" applyFill="1" applyBorder="1" applyAlignment="1">
      <alignment horizontal="center" vertical="center"/>
    </xf>
    <xf numFmtId="0" fontId="59" fillId="29" borderId="19" xfId="0" applyFont="1" applyFill="1" applyBorder="1" applyAlignment="1">
      <alignment horizontal="center" vertical="center"/>
    </xf>
    <xf numFmtId="0" fontId="60" fillId="29" borderId="21" xfId="0" applyFont="1" applyFill="1" applyBorder="1" applyAlignment="1">
      <alignment horizontal="center" vertical="center"/>
    </xf>
    <xf numFmtId="0" fontId="56" fillId="29" borderId="15" xfId="0" applyFont="1" applyFill="1" applyBorder="1" applyAlignment="1">
      <alignment horizontal="center" vertical="center"/>
    </xf>
    <xf numFmtId="0" fontId="58" fillId="29" borderId="17" xfId="0" applyFont="1" applyFill="1" applyBorder="1" applyAlignment="1">
      <alignment horizontal="center" vertical="center"/>
    </xf>
    <xf numFmtId="0" fontId="52" fillId="0" borderId="38" xfId="0" applyFont="1"/>
    <xf numFmtId="0" fontId="0" fillId="0" borderId="38" xfId="0"/>
    <xf numFmtId="0" fontId="54" fillId="0" borderId="13" xfId="0" applyFont="1" applyBorder="1" applyAlignment="1">
      <alignment horizontal="left" vertical="center" indent="1"/>
    </xf>
    <xf numFmtId="0" fontId="16" fillId="56" borderId="47" xfId="0" applyFont="1" applyFill="1" applyBorder="1" applyAlignment="1">
      <alignment horizontal="center" vertical="center"/>
    </xf>
    <xf numFmtId="0" fontId="76" fillId="0" borderId="47" xfId="0" applyFont="1" applyBorder="1" applyAlignment="1">
      <alignment horizontal="left" vertical="center"/>
    </xf>
    <xf numFmtId="0" fontId="14" fillId="0" borderId="47" xfId="0" applyFont="1" applyBorder="1" applyAlignment="1">
      <alignment horizontal="center" vertical="center"/>
    </xf>
    <xf numFmtId="0" fontId="76" fillId="36" borderId="47" xfId="0" applyFont="1" applyFill="1" applyBorder="1" applyAlignment="1">
      <alignment horizontal="center" vertical="center"/>
    </xf>
    <xf numFmtId="0" fontId="52" fillId="0" borderId="47" xfId="0" applyFont="1" applyBorder="1"/>
    <xf numFmtId="0" fontId="14" fillId="57" borderId="47" xfId="0" applyFont="1" applyFill="1" applyBorder="1" applyAlignment="1">
      <alignment horizontal="center" vertical="center"/>
    </xf>
    <xf numFmtId="0" fontId="76" fillId="48" borderId="47" xfId="0" applyFont="1" applyFill="1" applyBorder="1" applyAlignment="1">
      <alignment horizontal="center" vertical="center"/>
    </xf>
    <xf numFmtId="0" fontId="16" fillId="61" borderId="47" xfId="0" applyFont="1" applyFill="1" applyBorder="1" applyAlignment="1">
      <alignment horizontal="center" vertical="center"/>
    </xf>
    <xf numFmtId="0" fontId="80" fillId="0" borderId="47" xfId="0" applyFont="1" applyBorder="1" applyAlignment="1">
      <alignment horizontal="center" vertical="center"/>
    </xf>
    <xf numFmtId="0" fontId="78" fillId="0" borderId="47" xfId="0" applyFont="1" applyBorder="1" applyAlignment="1">
      <alignment horizontal="left" vertical="center"/>
    </xf>
    <xf numFmtId="0" fontId="76" fillId="37" borderId="47" xfId="0" applyFont="1" applyFill="1" applyBorder="1" applyAlignment="1">
      <alignment horizontal="center" vertical="center"/>
    </xf>
    <xf numFmtId="0" fontId="16" fillId="62" borderId="47" xfId="0" applyFont="1" applyFill="1" applyBorder="1" applyAlignment="1">
      <alignment horizontal="center" vertical="center"/>
    </xf>
    <xf numFmtId="0" fontId="81" fillId="0" borderId="47" xfId="0" applyFont="1" applyBorder="1" applyAlignment="1">
      <alignment horizontal="center" vertical="center"/>
    </xf>
    <xf numFmtId="0" fontId="16" fillId="63" borderId="47" xfId="0" applyFont="1" applyFill="1" applyBorder="1" applyAlignment="1">
      <alignment horizontal="center" vertical="center"/>
    </xf>
    <xf numFmtId="0" fontId="82" fillId="0" borderId="47" xfId="0" applyFont="1" applyBorder="1" applyAlignment="1">
      <alignment horizontal="center" vertical="center"/>
    </xf>
    <xf numFmtId="0" fontId="14" fillId="58" borderId="47" xfId="0" applyFont="1" applyFill="1" applyBorder="1" applyAlignment="1">
      <alignment horizontal="center" vertical="center"/>
    </xf>
    <xf numFmtId="0" fontId="76" fillId="38" borderId="47" xfId="0" applyFont="1" applyFill="1" applyBorder="1" applyAlignment="1">
      <alignment horizontal="center" vertical="center"/>
    </xf>
    <xf numFmtId="0" fontId="14" fillId="59" borderId="47" xfId="0" applyFont="1" applyFill="1" applyBorder="1" applyAlignment="1">
      <alignment horizontal="center" vertical="center"/>
    </xf>
    <xf numFmtId="0" fontId="76" fillId="57" borderId="47" xfId="0" applyFont="1" applyFill="1" applyBorder="1" applyAlignment="1">
      <alignment horizontal="center" vertical="center"/>
    </xf>
    <xf numFmtId="0" fontId="57" fillId="0" borderId="13" xfId="0" applyFont="1" applyBorder="1" applyAlignment="1">
      <alignment horizontal="left" vertical="center" wrapText="1" indent="1"/>
    </xf>
    <xf numFmtId="0" fontId="83" fillId="0" borderId="47" xfId="0" applyFont="1" applyBorder="1" applyAlignment="1">
      <alignment horizontal="center" vertical="center"/>
    </xf>
    <xf numFmtId="0" fontId="78" fillId="0" borderId="47" xfId="0" applyFont="1" applyBorder="1" applyAlignment="1">
      <alignment horizontal="center" vertical="center"/>
    </xf>
    <xf numFmtId="0" fontId="84" fillId="0" borderId="47" xfId="0" applyFont="1" applyBorder="1" applyAlignment="1">
      <alignment horizontal="center" vertical="center"/>
    </xf>
    <xf numFmtId="0" fontId="64" fillId="0" borderId="38" xfId="0" applyFont="1"/>
    <xf numFmtId="0" fontId="86" fillId="0" borderId="38" xfId="0" applyFont="1"/>
    <xf numFmtId="0" fontId="11" fillId="0" borderId="38" xfId="0" applyFont="1" applyAlignment="1">
      <alignment horizontal="left" vertical="top" wrapText="1"/>
    </xf>
    <xf numFmtId="0" fontId="0" fillId="0" borderId="0" xfId="0" applyBorder="1"/>
    <xf numFmtId="0" fontId="7" fillId="3" borderId="38" xfId="0" applyFont="1" applyFill="1" applyAlignment="1">
      <alignment horizontal="center" vertical="center"/>
    </xf>
    <xf numFmtId="0" fontId="8" fillId="0" borderId="38" xfId="0" applyFont="1" applyAlignment="1">
      <alignment horizontal="left" vertical="top" wrapText="1"/>
    </xf>
    <xf numFmtId="0" fontId="10" fillId="0" borderId="38" xfId="0" applyFont="1" applyAlignment="1">
      <alignment horizontal="left" vertical="top" wrapText="1"/>
    </xf>
    <xf numFmtId="0" fontId="10" fillId="0" borderId="38" xfId="0" applyFont="1" applyAlignment="1">
      <alignment horizontal="center" vertical="center"/>
    </xf>
    <xf numFmtId="0" fontId="9" fillId="0" borderId="38" xfId="0" applyFont="1" applyAlignment="1">
      <alignment horizontal="left" vertical="top" wrapText="1"/>
    </xf>
    <xf numFmtId="0" fontId="4" fillId="2" borderId="38" xfId="0" applyFont="1" applyFill="1" applyAlignment="1">
      <alignment horizontal="left" vertical="top" wrapText="1"/>
    </xf>
    <xf numFmtId="0" fontId="5" fillId="0" borderId="38" xfId="0" applyFont="1" applyAlignment="1">
      <alignment horizontal="center" vertical="center"/>
    </xf>
    <xf numFmtId="0" fontId="6" fillId="0" borderId="38" xfId="0" applyFont="1" applyAlignment="1">
      <alignment horizontal="left" vertical="top" wrapText="1"/>
    </xf>
    <xf numFmtId="0" fontId="55" fillId="31" borderId="20" xfId="0" applyFont="1" applyFill="1" applyBorder="1" applyAlignment="1">
      <alignment horizontal="center" vertical="center"/>
    </xf>
    <xf numFmtId="0" fontId="0" fillId="0" borderId="24" xfId="0" applyBorder="1"/>
    <xf numFmtId="0" fontId="0" fillId="0" borderId="25" xfId="0" applyBorder="1"/>
    <xf numFmtId="0" fontId="55" fillId="32" borderId="22" xfId="0" applyFont="1" applyFill="1" applyBorder="1" applyAlignment="1">
      <alignment horizontal="center" vertical="center"/>
    </xf>
    <xf numFmtId="0" fontId="0" fillId="0" borderId="39" xfId="0" applyBorder="1"/>
    <xf numFmtId="0" fontId="0" fillId="0" borderId="40" xfId="0" applyBorder="1"/>
    <xf numFmtId="0" fontId="61" fillId="29" borderId="23" xfId="0" applyFont="1" applyFill="1" applyBorder="1" applyAlignment="1">
      <alignment horizontal="center" vertical="center"/>
    </xf>
    <xf numFmtId="0" fontId="0" fillId="0" borderId="26" xfId="0" applyBorder="1"/>
    <xf numFmtId="0" fontId="0" fillId="0" borderId="27" xfId="0" applyBorder="1"/>
    <xf numFmtId="0" fontId="62" fillId="29" borderId="13" xfId="0" applyFont="1" applyFill="1" applyBorder="1" applyAlignment="1">
      <alignment horizontal="center" vertical="center" wrapText="1"/>
    </xf>
    <xf numFmtId="0" fontId="0" fillId="0" borderId="28" xfId="0" applyBorder="1"/>
    <xf numFmtId="0" fontId="0" fillId="0" borderId="29" xfId="0" applyBorder="1"/>
    <xf numFmtId="0" fontId="55" fillId="47" borderId="14" xfId="0" applyFont="1" applyFill="1" applyBorder="1" applyAlignment="1">
      <alignment horizontal="center" vertical="center"/>
    </xf>
    <xf numFmtId="0" fontId="0" fillId="0" borderId="34" xfId="0" applyBorder="1"/>
    <xf numFmtId="0" fontId="0" fillId="0" borderId="35" xfId="0" applyBorder="1"/>
    <xf numFmtId="0" fontId="16" fillId="60" borderId="47" xfId="0" applyFont="1" applyFill="1" applyBorder="1" applyAlignment="1">
      <alignment horizontal="center" vertical="center"/>
    </xf>
    <xf numFmtId="0" fontId="0" fillId="0" borderId="48" xfId="0" applyBorder="1"/>
    <xf numFmtId="0" fontId="0" fillId="0" borderId="49" xfId="0" applyBorder="1"/>
    <xf numFmtId="0" fontId="64" fillId="0" borderId="38" xfId="0" applyFont="1" applyAlignment="1">
      <alignment horizontal="center" vertical="center"/>
    </xf>
    <xf numFmtId="0" fontId="0" fillId="0" borderId="38" xfId="0"/>
    <xf numFmtId="0" fontId="85" fillId="64" borderId="47" xfId="0" applyFont="1" applyFill="1" applyBorder="1" applyAlignment="1">
      <alignment horizontal="center" vertical="center"/>
    </xf>
    <xf numFmtId="0" fontId="55" fillId="30" borderId="16" xfId="0" applyFont="1" applyFill="1" applyBorder="1" applyAlignment="1">
      <alignment horizontal="center" vertical="center"/>
    </xf>
    <xf numFmtId="0" fontId="0" fillId="0" borderId="36" xfId="0" applyBorder="1"/>
    <xf numFmtId="0" fontId="0" fillId="0" borderId="37" xfId="0" applyBorder="1"/>
    <xf numFmtId="0" fontId="55" fillId="56" borderId="18" xfId="0" applyFont="1" applyFill="1" applyBorder="1" applyAlignment="1">
      <alignment horizontal="center" vertical="center"/>
    </xf>
    <xf numFmtId="0" fontId="0" fillId="0" borderId="41" xfId="0" applyBorder="1"/>
    <xf numFmtId="0" fontId="0" fillId="0" borderId="42" xfId="0" applyBorder="1"/>
    <xf numFmtId="0" fontId="93" fillId="46" borderId="11" xfId="0" applyFont="1" applyFill="1" applyBorder="1" applyAlignment="1">
      <alignment horizontal="center" vertical="center"/>
    </xf>
    <xf numFmtId="0" fontId="0" fillId="0" borderId="32" xfId="0" applyBorder="1"/>
    <xf numFmtId="0" fontId="0" fillId="0" borderId="33" xfId="0" applyBorder="1"/>
    <xf numFmtId="0" fontId="53" fillId="29" borderId="38" xfId="0" applyFont="1" applyFill="1" applyAlignment="1">
      <alignment horizontal="center" vertical="center"/>
    </xf>
    <xf numFmtId="0" fontId="28" fillId="65" borderId="12" xfId="0" applyFont="1" applyFill="1" applyBorder="1" applyAlignment="1">
      <alignment horizontal="center" vertical="center"/>
    </xf>
    <xf numFmtId="0" fontId="0" fillId="0" borderId="30" xfId="0" applyBorder="1"/>
    <xf numFmtId="0" fontId="0" fillId="0" borderId="31" xfId="0" applyBorder="1"/>
    <xf numFmtId="0" fontId="28" fillId="55" borderId="11" xfId="0" applyFont="1" applyFill="1" applyBorder="1" applyAlignment="1">
      <alignment horizontal="center" vertical="center"/>
    </xf>
    <xf numFmtId="0" fontId="15" fillId="60" borderId="47" xfId="0" applyFont="1" applyFill="1" applyBorder="1" applyAlignment="1">
      <alignment horizontal="center" vertical="center"/>
    </xf>
    <xf numFmtId="0" fontId="79" fillId="0" borderId="47" xfId="0" applyFont="1" applyBorder="1" applyAlignment="1">
      <alignment horizontal="center" vertical="center"/>
    </xf>
    <xf numFmtId="0" fontId="17" fillId="0" borderId="38" xfId="0" applyFont="1" applyAlignment="1">
      <alignment horizontal="center" vertical="center"/>
    </xf>
    <xf numFmtId="0" fontId="92" fillId="69" borderId="47" xfId="0" applyFont="1" applyFill="1" applyBorder="1" applyAlignment="1">
      <alignment horizontal="center" vertical="center" wrapText="1"/>
    </xf>
    <xf numFmtId="0" fontId="48" fillId="0" borderId="38" xfId="0" applyFont="1" applyAlignment="1">
      <alignment horizontal="left" vertical="top" wrapText="1"/>
    </xf>
    <xf numFmtId="0" fontId="49" fillId="0" borderId="38" xfId="0" applyFont="1" applyAlignment="1">
      <alignment horizontal="left" vertical="top" wrapText="1"/>
    </xf>
    <xf numFmtId="0" fontId="46" fillId="3" borderId="38" xfId="0" applyFont="1" applyFill="1" applyAlignment="1">
      <alignment horizontal="center" vertical="center"/>
    </xf>
    <xf numFmtId="0" fontId="47" fillId="3" borderId="38" xfId="0" applyFont="1" applyFill="1" applyAlignment="1">
      <alignment horizontal="center" vertical="center"/>
    </xf>
    <xf numFmtId="0" fontId="49" fillId="0" borderId="38" xfId="0" applyFont="1" applyAlignment="1">
      <alignment horizontal="center" vertical="center"/>
    </xf>
    <xf numFmtId="0" fontId="39" fillId="3" borderId="38" xfId="0" applyFont="1" applyFill="1" applyAlignment="1">
      <alignment horizontal="left" vertical="top" wrapText="1"/>
    </xf>
    <xf numFmtId="0" fontId="0" fillId="0" borderId="46" xfId="0" applyBorder="1" applyAlignment="1">
      <alignment horizontal="left" vertical="top" wrapText="1"/>
    </xf>
    <xf numFmtId="0" fontId="0" fillId="0" borderId="9" xfId="0" applyBorder="1"/>
    <xf numFmtId="0" fontId="0" fillId="0" borderId="10" xfId="0" applyBorder="1"/>
    <xf numFmtId="0" fontId="35" fillId="0" borderId="38" xfId="0" applyFont="1" applyAlignment="1">
      <alignment horizontal="left" vertical="top" wrapText="1"/>
    </xf>
    <xf numFmtId="0" fontId="41" fillId="0" borderId="38" xfId="0" applyFont="1" applyAlignment="1">
      <alignment horizontal="center" vertical="center"/>
    </xf>
    <xf numFmtId="0" fontId="37" fillId="0" borderId="38" xfId="0" applyFont="1" applyAlignment="1">
      <alignment horizontal="left" vertical="top" wrapText="1"/>
    </xf>
    <xf numFmtId="0" fontId="36" fillId="0" borderId="38" xfId="0" applyFont="1" applyAlignment="1">
      <alignment horizontal="left" vertical="top" wrapText="1"/>
    </xf>
    <xf numFmtId="0" fontId="38" fillId="0" borderId="38" xfId="0" applyFont="1" applyAlignment="1">
      <alignment horizontal="left" vertical="top" wrapText="1"/>
    </xf>
    <xf numFmtId="0" fontId="39" fillId="0" borderId="38" xfId="0" applyFont="1" applyAlignment="1">
      <alignment horizontal="center" vertical="center"/>
    </xf>
    <xf numFmtId="0" fontId="40" fillId="0" borderId="38" xfId="0" applyFont="1" applyAlignment="1">
      <alignment horizontal="center" vertical="center"/>
    </xf>
    <xf numFmtId="0" fontId="34" fillId="0" borderId="38" xfId="0" applyFont="1" applyAlignment="1">
      <alignment horizontal="center" vertical="center"/>
    </xf>
    <xf numFmtId="0" fontId="1" fillId="0" borderId="38" xfId="0" applyFont="1" applyAlignment="1">
      <alignment horizontal="left" vertical="top" wrapText="1"/>
    </xf>
    <xf numFmtId="0" fontId="29" fillId="0" borderId="38" xfId="0" applyFont="1" applyAlignment="1">
      <alignment horizontal="center" vertical="center"/>
    </xf>
    <xf numFmtId="0" fontId="23" fillId="11" borderId="46" xfId="0" applyFont="1" applyFill="1" applyBorder="1" applyAlignment="1">
      <alignment horizontal="center" vertical="center"/>
    </xf>
    <xf numFmtId="0" fontId="13" fillId="10" borderId="46" xfId="0" applyFont="1" applyFill="1" applyBorder="1" applyAlignment="1">
      <alignment horizontal="center" vertical="center"/>
    </xf>
    <xf numFmtId="0" fontId="26" fillId="0" borderId="38" xfId="0" applyFont="1" applyAlignment="1">
      <alignment horizontal="center" vertical="center"/>
    </xf>
    <xf numFmtId="0" fontId="24" fillId="4" borderId="46" xfId="0" applyFont="1" applyFill="1" applyBorder="1" applyAlignment="1">
      <alignment horizontal="center" vertical="center"/>
    </xf>
    <xf numFmtId="0" fontId="24" fillId="5" borderId="46" xfId="0" applyFont="1" applyFill="1" applyBorder="1" applyAlignment="1">
      <alignment horizontal="center" vertical="center"/>
    </xf>
    <xf numFmtId="0" fontId="24" fillId="9" borderId="46" xfId="0" applyFont="1" applyFill="1" applyBorder="1" applyAlignment="1">
      <alignment horizontal="center" vertical="center"/>
    </xf>
    <xf numFmtId="0" fontId="25" fillId="0" borderId="38" xfId="0" applyFont="1" applyAlignment="1">
      <alignment horizontal="center" vertical="center"/>
    </xf>
    <xf numFmtId="0" fontId="13" fillId="8" borderId="46" xfId="0" applyFont="1" applyFill="1" applyBorder="1" applyAlignment="1">
      <alignment horizontal="center" vertical="center"/>
    </xf>
    <xf numFmtId="0" fontId="43" fillId="0" borderId="38" xfId="0" applyFont="1" applyAlignment="1">
      <alignment horizontal="left" vertical="top" wrapText="1"/>
    </xf>
    <xf numFmtId="0" fontId="71" fillId="0" borderId="38" xfId="0" applyFont="1" applyAlignment="1">
      <alignment horizontal="center" vertical="center"/>
    </xf>
    <xf numFmtId="0" fontId="76" fillId="0" borderId="38" xfId="0" applyFont="1" applyAlignment="1">
      <alignment horizontal="left" wrapText="1"/>
    </xf>
    <xf numFmtId="0" fontId="72" fillId="0" borderId="38" xfId="0" applyFont="1" applyAlignment="1">
      <alignment horizontal="center"/>
    </xf>
    <xf numFmtId="0" fontId="73" fillId="53" borderId="38" xfId="0" applyFont="1" applyFill="1" applyAlignment="1">
      <alignment horizontal="center"/>
    </xf>
    <xf numFmtId="0" fontId="73" fillId="48" borderId="38" xfId="0" applyFont="1" applyFill="1" applyAlignment="1">
      <alignment horizontal="center"/>
    </xf>
    <xf numFmtId="0" fontId="73" fillId="52" borderId="38" xfId="0" applyFont="1" applyFill="1" applyAlignment="1">
      <alignment horizontal="center"/>
    </xf>
    <xf numFmtId="0" fontId="73" fillId="47" borderId="38" xfId="0" applyFont="1" applyFill="1" applyAlignment="1">
      <alignment horizontal="center"/>
    </xf>
    <xf numFmtId="0" fontId="75" fillId="0" borderId="38" xfId="0" applyFont="1" applyAlignment="1">
      <alignment horizontal="center"/>
    </xf>
    <xf numFmtId="0" fontId="70" fillId="47" borderId="38" xfId="0" applyFont="1" applyFill="1" applyAlignment="1">
      <alignment horizontal="center"/>
    </xf>
    <xf numFmtId="0" fontId="70" fillId="48" borderId="38" xfId="0" applyFont="1" applyFill="1" applyAlignment="1">
      <alignment horizontal="center"/>
    </xf>
    <xf numFmtId="0" fontId="0" fillId="0" borderId="38" xfId="0" applyAlignment="1">
      <alignment vertical="top" wrapText="1"/>
    </xf>
    <xf numFmtId="0" fontId="74" fillId="0" borderId="38" xfId="0" applyFont="1" applyAlignment="1">
      <alignment horizontal="center"/>
    </xf>
    <xf numFmtId="0" fontId="44" fillId="0" borderId="38" xfId="0" applyFont="1" applyAlignment="1">
      <alignment horizontal="center" vertical="center"/>
    </xf>
    <xf numFmtId="0" fontId="45" fillId="0" borderId="38" xfId="0" applyFont="1" applyAlignment="1">
      <alignment horizontal="left" vertical="top" wrapText="1"/>
    </xf>
    <xf numFmtId="0" fontId="50" fillId="0" borderId="38" xfId="0" applyFont="1" applyAlignment="1">
      <alignment horizontal="left" vertical="top" wrapText="1"/>
    </xf>
    <xf numFmtId="0" fontId="51" fillId="0" borderId="38" xfId="0" applyFont="1" applyAlignment="1">
      <alignment horizontal="left" vertical="top" wrapText="1"/>
    </xf>
    <xf numFmtId="0" fontId="12" fillId="0" borderId="38" xfId="0" applyFont="1" applyAlignment="1">
      <alignment horizontal="center" vertical="center"/>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38" xfId="0" applyBorder="1"/>
    <xf numFmtId="0" fontId="92" fillId="69" borderId="50" xfId="0" applyFont="1" applyFill="1" applyBorder="1" applyAlignment="1">
      <alignment horizontal="center"/>
    </xf>
    <xf numFmtId="0" fontId="94" fillId="41" borderId="48" xfId="0" applyFont="1" applyFill="1"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22" fontId="87" fillId="0" borderId="47" xfId="0" applyNumberFormat="1" applyFont="1" applyBorder="1"/>
    <xf numFmtId="0" fontId="87" fillId="0" borderId="47" xfId="0" applyFont="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12</xdr:row>
          <xdr:rowOff>19050</xdr:rowOff>
        </xdr:from>
        <xdr:to>
          <xdr:col>8</xdr:col>
          <xdr:colOff>1638300</xdr:colOff>
          <xdr:row>12</xdr:row>
          <xdr:rowOff>247650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19050</xdr:rowOff>
        </xdr:from>
        <xdr:to>
          <xdr:col>8</xdr:col>
          <xdr:colOff>1638300</xdr:colOff>
          <xdr:row>13</xdr:row>
          <xdr:rowOff>247650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14</xdr:row>
          <xdr:rowOff>19050</xdr:rowOff>
        </xdr:from>
        <xdr:to>
          <xdr:col>8</xdr:col>
          <xdr:colOff>1638300</xdr:colOff>
          <xdr:row>14</xdr:row>
          <xdr:rowOff>247650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15</xdr:row>
          <xdr:rowOff>19050</xdr:rowOff>
        </xdr:from>
        <xdr:to>
          <xdr:col>8</xdr:col>
          <xdr:colOff>1638300</xdr:colOff>
          <xdr:row>15</xdr:row>
          <xdr:rowOff>247650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Propietarios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16</xdr:row>
          <xdr:rowOff>19050</xdr:rowOff>
        </xdr:from>
        <xdr:to>
          <xdr:col>8</xdr:col>
          <xdr:colOff>1638300</xdr:colOff>
          <xdr:row>16</xdr:row>
          <xdr:rowOff>247650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Valor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17</xdr:row>
          <xdr:rowOff>19050</xdr:rowOff>
        </xdr:from>
        <xdr:to>
          <xdr:col>8</xdr:col>
          <xdr:colOff>1638300</xdr:colOff>
          <xdr:row>17</xdr:row>
          <xdr:rowOff>247650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Duplicados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18</xdr:row>
          <xdr:rowOff>19050</xdr:rowOff>
        </xdr:from>
        <xdr:to>
          <xdr:col>8</xdr:col>
          <xdr:colOff>1638300</xdr:colOff>
          <xdr:row>18</xdr:row>
          <xdr:rowOff>247650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Eliminar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19050</xdr:rowOff>
        </xdr:from>
        <xdr:to>
          <xdr:col>8</xdr:col>
          <xdr:colOff>1638300</xdr:colOff>
          <xdr:row>21</xdr:row>
          <xdr:rowOff>247650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Riesgo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22</xdr:row>
          <xdr:rowOff>19050</xdr:rowOff>
        </xdr:from>
        <xdr:to>
          <xdr:col>8</xdr:col>
          <xdr:colOff>1638300</xdr:colOff>
          <xdr:row>22</xdr:row>
          <xdr:rowOff>247650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Inherente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23</xdr:row>
          <xdr:rowOff>19050</xdr:rowOff>
        </xdr:from>
        <xdr:to>
          <xdr:col>8</xdr:col>
          <xdr:colOff>1638300</xdr:colOff>
          <xdr:row>23</xdr:row>
          <xdr:rowOff>247650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de Calor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24</xdr:row>
          <xdr:rowOff>19050</xdr:rowOff>
        </xdr:from>
        <xdr:to>
          <xdr:col>8</xdr:col>
          <xdr:colOff>1638300</xdr:colOff>
          <xdr:row>24</xdr:row>
          <xdr:rowOff>247650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Residual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25</xdr:row>
          <xdr:rowOff>19050</xdr:rowOff>
        </xdr:from>
        <xdr:to>
          <xdr:col>8</xdr:col>
          <xdr:colOff>1638300</xdr:colOff>
          <xdr:row>25</xdr:row>
          <xdr:rowOff>247650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Colorear Riesgos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28</xdr:row>
          <xdr:rowOff>19050</xdr:rowOff>
        </xdr:from>
        <xdr:to>
          <xdr:col>8</xdr:col>
          <xdr:colOff>1638300</xdr:colOff>
          <xdr:row>28</xdr:row>
          <xdr:rowOff>247650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Tratamiento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29</xdr:row>
          <xdr:rowOff>19050</xdr:rowOff>
        </xdr:from>
        <xdr:to>
          <xdr:col>8</xdr:col>
          <xdr:colOff>1638300</xdr:colOff>
          <xdr:row>29</xdr:row>
          <xdr:rowOff>247650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Estado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30</xdr:row>
          <xdr:rowOff>19050</xdr:rowOff>
        </xdr:from>
        <xdr:to>
          <xdr:col>8</xdr:col>
          <xdr:colOff>1638300</xdr:colOff>
          <xdr:row>30</xdr:row>
          <xdr:rowOff>247650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1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33</xdr:row>
          <xdr:rowOff>19050</xdr:rowOff>
        </xdr:from>
        <xdr:to>
          <xdr:col>8</xdr:col>
          <xdr:colOff>1638300</xdr:colOff>
          <xdr:row>33</xdr:row>
          <xdr:rowOff>247650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1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34</xdr:row>
          <xdr:rowOff>19050</xdr:rowOff>
        </xdr:from>
        <xdr:to>
          <xdr:col>8</xdr:col>
          <xdr:colOff>1638300</xdr:colOff>
          <xdr:row>34</xdr:row>
          <xdr:rowOff>247650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100-00001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Reporte Completo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35</xdr:row>
          <xdr:rowOff>19050</xdr:rowOff>
        </xdr:from>
        <xdr:to>
          <xdr:col>8</xdr:col>
          <xdr:colOff>1638300</xdr:colOff>
          <xdr:row>35</xdr:row>
          <xdr:rowOff>247650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Activos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36</xdr:row>
          <xdr:rowOff>19050</xdr:rowOff>
        </xdr:from>
        <xdr:to>
          <xdr:col>8</xdr:col>
          <xdr:colOff>1638300</xdr:colOff>
          <xdr:row>36</xdr:row>
          <xdr:rowOff>247650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100-00001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ISO 27001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17</xdr:row>
          <xdr:rowOff>19050</xdr:rowOff>
        </xdr:from>
        <xdr:to>
          <xdr:col>14</xdr:col>
          <xdr:colOff>1171575</xdr:colOff>
          <xdr:row>17</xdr:row>
          <xdr:rowOff>247650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100-00001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Tecnicas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18</xdr:row>
          <xdr:rowOff>19050</xdr:rowOff>
        </xdr:from>
        <xdr:to>
          <xdr:col>14</xdr:col>
          <xdr:colOff>1171575</xdr:colOff>
          <xdr:row>18</xdr:row>
          <xdr:rowOff>247650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Mitigaciones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19</xdr:row>
          <xdr:rowOff>19050</xdr:rowOff>
        </xdr:from>
        <xdr:to>
          <xdr:col>14</xdr:col>
          <xdr:colOff>1171575</xdr:colOff>
          <xdr:row>19</xdr:row>
          <xdr:rowOff>276225</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100-00001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Assets 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20</xdr:row>
          <xdr:rowOff>19050</xdr:rowOff>
        </xdr:from>
        <xdr:to>
          <xdr:col>14</xdr:col>
          <xdr:colOff>1171575</xdr:colOff>
          <xdr:row>20</xdr:row>
          <xdr:rowOff>323850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100-00001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MITRE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39</xdr:row>
          <xdr:rowOff>19050</xdr:rowOff>
        </xdr:from>
        <xdr:to>
          <xdr:col>4</xdr:col>
          <xdr:colOff>104775</xdr:colOff>
          <xdr:row>39</xdr:row>
          <xdr:rowOff>247650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100-00001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Info Sistema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39</xdr:row>
          <xdr:rowOff>19050</xdr:rowOff>
        </xdr:from>
        <xdr:to>
          <xdr:col>9</xdr:col>
          <xdr:colOff>2305050</xdr:colOff>
          <xdr:row>39</xdr:row>
          <xdr:rowOff>247650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100-00001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[OK] Validar Excel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e6a4c2e81ec943c/Escritorio/sgsi%20ciberseguridad/SGSI_COMPLETO_David_Nanculeo_v4.7_ORGANIZADO.xlsm" TargetMode="External"/><Relationship Id="rId1" Type="http://schemas.openxmlformats.org/officeDocument/2006/relationships/externalLinkPath" Target="SGSI_COMPLETO_David_Nanculeo_v4.7_ORGANIZ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Panel_Control"/>
      <sheetName val="Dashboard"/>
      <sheetName val="Instrucciones"/>
      <sheetName val="Matriz_Riesgos"/>
      <sheetName val="Activos"/>
      <sheetName val="Plan_Tratamiento"/>
      <sheetName val="Analisis_Riesgos"/>
      <sheetName val="Gestion_Incidentes"/>
      <sheetName val="MITRE_Ataques"/>
      <sheetName val="MITRE_Mitigaciones"/>
      <sheetName val="Metricas_KPI"/>
      <sheetName val="Log_Acciones"/>
      <sheetName val="Config_Tuning"/>
      <sheetName val="MITRE_Assets_ICS"/>
      <sheetName val="MITRE_Ejemplos_Mapeo"/>
      <sheetName val="MITRE_Reglas_Auto"/>
      <sheetName val="MITRE_Como_Usar_Auto"/>
      <sheetName val="MITRE_Mapeo_Inteligente"/>
      <sheetName val="Control_Documentos"/>
      <sheetName val="Portada"/>
      <sheetName val="Metodologia_Riesgos"/>
      <sheetName val="SoA"/>
      <sheetName val="Plan_Auditoria"/>
      <sheetName val="Revision_Direccion"/>
      <sheetName val="Plan_Proyecto_SGSI"/>
      <sheetName val="Datos_Organizacion"/>
      <sheetName val="Plan_Continuidad"/>
      <sheetName val="BIA"/>
      <sheetName val="Plan_Formacion"/>
      <sheetName val="NDA_Proveedores"/>
      <sheetName val="NDA_Empleados"/>
      <sheetName val="Comite_Seguridad"/>
      <sheetName val="CMDB"/>
      <sheetName val="Procedimiento_Hardening"/>
      <sheetName val="Plan_Director_Ciber"/>
      <sheetName val="DRP_Pruebas"/>
      <sheetName val="DRP_Informes"/>
      <sheetName val="DRP_Mantenimiento"/>
      <sheetName val="Config_Categorias"/>
      <sheetName val="Config_Areas"/>
      <sheetName val="Config_Clases"/>
      <sheetName val="Controles_ISO27001"/>
      <sheetName val="Declaracion_Aplicabilidad"/>
      <sheetName val="Inventario_Amenazas"/>
      <sheetName val="Inventario_Vulnerabilidades"/>
      <sheetName val="Politicas_Seguridad"/>
      <sheetName val="Procedimientos"/>
      <sheetName val="Auditorias"/>
      <sheetName val="Registro_Formacion"/>
      <sheetName val="Clasificacion_Incidentes"/>
      <sheetName val="Registro_Eventos"/>
      <sheetName val="Plan_Contingencia"/>
      <sheetName val="SGSI_COMPLETO_David_Nanculeo_v4"/>
    </sheetNames>
    <definedNames>
      <definedName name="ActualizarDashboard"/>
      <definedName name="ActualizarEstadoTratamiento"/>
      <definedName name="ActualizarPropietarios"/>
      <definedName name="ActualizarRiesgoResidual"/>
      <definedName name="CalcularRiesgoInherente"/>
      <definedName name="CalcularValorActivo"/>
      <definedName name="ColorearRiesgos"/>
      <definedName name="EliminarActivo"/>
      <definedName name="ExportarActivosCSV"/>
      <definedName name="ExportarActivosPDF"/>
      <definedName name="ExportarReporteCompleto"/>
      <definedName name="GenerarInformeTratamiento"/>
      <definedName name="GenerarMapaCalor"/>
      <definedName name="GenerarMapaMITRE"/>
      <definedName name="GenerarReporteActivos"/>
      <definedName name="IngresarNuevoActivo"/>
      <definedName name="IngresarNuevoRiesgo"/>
      <definedName name="IngresarNuevoTratamiento"/>
      <definedName name="MostrarInfoSistema"/>
      <definedName name="ValidarActivosDuplicados"/>
      <definedName name="ValidarCumplimientoISO"/>
      <definedName name="ValidarEstructuraExcel"/>
      <definedName name="VerAssetsMITRE"/>
      <definedName name="VerMitigacionesMITRE"/>
      <definedName name="VerTecnicasMITRE"/>
    </definedNames>
    <sheetDataSet>
      <sheetData sheetId="0"/>
      <sheetData sheetId="1"/>
      <sheetData sheetId="2"/>
      <sheetData sheetId="3">
        <row r="2">
          <cell r="Z2"/>
        </row>
        <row r="3">
          <cell r="Z3"/>
        </row>
        <row r="4">
          <cell r="Z4"/>
        </row>
        <row r="5">
          <cell r="Z5"/>
        </row>
        <row r="6">
          <cell r="Z6"/>
        </row>
      </sheetData>
      <sheetData sheetId="4">
        <row r="2">
          <cell r="A2" t="str">
            <v>ID</v>
          </cell>
          <cell r="C2" t="str">
            <v>Descripción</v>
          </cell>
          <cell r="O2" t="str">
            <v>Valoración</v>
          </cell>
          <cell r="U2" t="str">
            <v>Asset ICS MITRE</v>
          </cell>
        </row>
        <row r="3">
          <cell r="A3" t="str">
            <v>ID</v>
          </cell>
          <cell r="C3" t="str">
            <v>Nombre</v>
          </cell>
          <cell r="O3" t="str">
            <v>Alta</v>
          </cell>
          <cell r="U3"/>
        </row>
        <row r="4">
          <cell r="A4" t="str">
            <v>ACT-001</v>
          </cell>
          <cell r="C4" t="str">
            <v>Servidor Principal</v>
          </cell>
          <cell r="U4"/>
        </row>
        <row r="5">
          <cell r="A5" t="str">
            <v>ACT-002</v>
          </cell>
          <cell r="C5" t="str">
            <v>Sistema ERP SAP</v>
          </cell>
          <cell r="U5"/>
        </row>
        <row r="6">
          <cell r="A6" t="str">
            <v>ACT-003</v>
          </cell>
          <cell r="C6" t="str">
            <v>BBDD Clientes</v>
          </cell>
          <cell r="U6"/>
        </row>
        <row r="7">
          <cell r="A7" t="str">
            <v>ACT-2025-006</v>
          </cell>
          <cell r="C7" t="str">
            <v>BBDD Clientes</v>
          </cell>
          <cell r="O7" t="str">
            <v>Alta</v>
          </cell>
          <cell r="U7"/>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
    <tabColor rgb="FF4472C4"/>
  </sheetPr>
  <dimension ref="A1:F40"/>
  <sheetViews>
    <sheetView showGridLines="0" workbookViewId="0">
      <pane ySplit="1" topLeftCell="A2" activePane="bottomLeft" state="frozen"/>
      <selection pane="bottomLeft"/>
    </sheetView>
  </sheetViews>
  <sheetFormatPr baseColWidth="10" defaultColWidth="9.140625" defaultRowHeight="15" x14ac:dyDescent="0.25"/>
  <cols>
    <col min="1" max="6" width="18" customWidth="1"/>
  </cols>
  <sheetData>
    <row r="1" spans="1:6" ht="30" customHeight="1" x14ac:dyDescent="0.25"/>
    <row r="5" spans="1:6" x14ac:dyDescent="0.25">
      <c r="A5" s="145" t="s">
        <v>0</v>
      </c>
      <c r="B5" s="139"/>
      <c r="C5" s="139"/>
      <c r="D5" s="139"/>
      <c r="E5" s="139"/>
      <c r="F5" s="139"/>
    </row>
    <row r="6" spans="1:6" x14ac:dyDescent="0.25">
      <c r="A6" s="139"/>
      <c r="B6" s="139"/>
      <c r="C6" s="139"/>
      <c r="D6" s="139"/>
      <c r="E6" s="139"/>
      <c r="F6" s="139"/>
    </row>
    <row r="7" spans="1:6" x14ac:dyDescent="0.25">
      <c r="A7" s="139"/>
      <c r="B7" s="139"/>
      <c r="C7" s="139"/>
      <c r="D7" s="139"/>
      <c r="E7" s="139"/>
      <c r="F7" s="139"/>
    </row>
    <row r="8" spans="1:6" x14ac:dyDescent="0.25">
      <c r="A8" s="139"/>
      <c r="B8" s="139"/>
      <c r="C8" s="139"/>
      <c r="D8" s="139"/>
      <c r="E8" s="139"/>
      <c r="F8" s="139"/>
    </row>
    <row r="10" spans="1:6" x14ac:dyDescent="0.25">
      <c r="A10" s="146" t="s">
        <v>1</v>
      </c>
      <c r="B10" s="139"/>
      <c r="C10" s="139"/>
      <c r="D10" s="139"/>
      <c r="E10" s="139"/>
      <c r="F10" s="139"/>
    </row>
    <row r="11" spans="1:6" x14ac:dyDescent="0.25">
      <c r="A11" s="139"/>
      <c r="B11" s="139"/>
      <c r="C11" s="139"/>
      <c r="D11" s="139"/>
      <c r="E11" s="139"/>
      <c r="F11" s="139"/>
    </row>
    <row r="13" spans="1:6" ht="18.75" customHeight="1" x14ac:dyDescent="0.25">
      <c r="A13" s="147" t="s">
        <v>2</v>
      </c>
      <c r="B13" s="139"/>
      <c r="C13" s="139"/>
      <c r="D13" s="139"/>
      <c r="E13" s="139"/>
      <c r="F13" s="139"/>
    </row>
    <row r="18" spans="1:6" ht="21" customHeight="1" x14ac:dyDescent="0.25">
      <c r="A18" s="140" t="s">
        <v>3</v>
      </c>
      <c r="B18" s="139"/>
      <c r="C18" s="139"/>
      <c r="D18" s="139"/>
      <c r="E18" s="139"/>
      <c r="F18" s="139"/>
    </row>
    <row r="20" spans="1:6" ht="15.75" customHeight="1" x14ac:dyDescent="0.25">
      <c r="A20" s="141" t="s">
        <v>4</v>
      </c>
      <c r="B20" s="139"/>
      <c r="C20" s="139"/>
      <c r="D20" s="139"/>
      <c r="E20" s="139"/>
      <c r="F20" s="139"/>
    </row>
    <row r="25" spans="1:6" ht="18.75" customHeight="1" x14ac:dyDescent="0.25">
      <c r="A25" s="144" t="s">
        <v>5</v>
      </c>
      <c r="B25" s="139"/>
      <c r="C25" s="139"/>
      <c r="D25" s="139"/>
      <c r="E25" s="139"/>
      <c r="F25" s="139"/>
    </row>
    <row r="27" spans="1:6" x14ac:dyDescent="0.25">
      <c r="A27" s="142" t="s">
        <v>6</v>
      </c>
      <c r="B27" s="139"/>
      <c r="C27" s="139"/>
      <c r="D27" s="139"/>
      <c r="E27" s="139"/>
      <c r="F27" s="139"/>
    </row>
    <row r="28" spans="1:6" x14ac:dyDescent="0.25">
      <c r="A28" s="142" t="s">
        <v>7</v>
      </c>
      <c r="B28" s="139"/>
      <c r="C28" s="139"/>
      <c r="D28" s="139"/>
      <c r="E28" s="139"/>
      <c r="F28" s="139"/>
    </row>
    <row r="29" spans="1:6" x14ac:dyDescent="0.25">
      <c r="A29" s="143" t="s">
        <v>8</v>
      </c>
      <c r="B29" s="139"/>
      <c r="C29" s="139"/>
      <c r="D29" s="139"/>
      <c r="E29" s="139"/>
      <c r="F29" s="139"/>
    </row>
    <row r="30" spans="1:6" x14ac:dyDescent="0.25">
      <c r="A30" s="142" t="s">
        <v>9</v>
      </c>
      <c r="B30" s="139"/>
      <c r="C30" s="139"/>
      <c r="D30" s="139"/>
      <c r="E30" s="139"/>
      <c r="F30" s="139"/>
    </row>
    <row r="31" spans="1:6" x14ac:dyDescent="0.25">
      <c r="A31" s="142" t="s">
        <v>10</v>
      </c>
      <c r="B31" s="139"/>
      <c r="C31" s="139"/>
      <c r="D31" s="139"/>
      <c r="E31" s="139"/>
      <c r="F31" s="139"/>
    </row>
    <row r="32" spans="1:6" x14ac:dyDescent="0.25">
      <c r="A32" s="142" t="s">
        <v>11</v>
      </c>
      <c r="B32" s="139"/>
      <c r="C32" s="139"/>
      <c r="D32" s="139"/>
      <c r="E32" s="139"/>
      <c r="F32" s="139"/>
    </row>
    <row r="40" spans="1:6" x14ac:dyDescent="0.25">
      <c r="A40" s="138" t="s">
        <v>12</v>
      </c>
      <c r="B40" s="139"/>
      <c r="C40" s="139"/>
      <c r="D40" s="139"/>
      <c r="E40" s="139"/>
      <c r="F40" s="139"/>
    </row>
  </sheetData>
  <mergeCells count="13">
    <mergeCell ref="A5:F8"/>
    <mergeCell ref="A10:F11"/>
    <mergeCell ref="A13:F13"/>
    <mergeCell ref="A32:F32"/>
    <mergeCell ref="A27:F27"/>
    <mergeCell ref="A31:F31"/>
    <mergeCell ref="A40:F40"/>
    <mergeCell ref="A18:F18"/>
    <mergeCell ref="A20:F20"/>
    <mergeCell ref="A30:F30"/>
    <mergeCell ref="A29:F29"/>
    <mergeCell ref="A25:F25"/>
    <mergeCell ref="A28:F28"/>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D657F-2D97-4A42-B3DA-94EAFBCF5CD8}">
  <sheetPr codeName="Hoja54">
    <tabColor rgb="FF0066CC"/>
    <pageSetUpPr fitToPage="1"/>
  </sheetPr>
  <dimension ref="A1:S50"/>
  <sheetViews>
    <sheetView showGridLines="0" workbookViewId="0">
      <selection sqref="A1:J1"/>
    </sheetView>
  </sheetViews>
  <sheetFormatPr baseColWidth="10" defaultColWidth="9.140625" defaultRowHeight="15" x14ac:dyDescent="0.25"/>
  <cols>
    <col min="1" max="1" width="3" style="111" customWidth="1"/>
    <col min="2" max="2" width="2" style="111" customWidth="1"/>
    <col min="3" max="4" width="25" style="111" customWidth="1"/>
    <col min="5" max="5" width="2" style="111" customWidth="1"/>
    <col min="6" max="7" width="25" style="111" customWidth="1"/>
    <col min="8" max="8" width="2" style="111" customWidth="1"/>
    <col min="9" max="9" width="25" style="111" customWidth="1"/>
    <col min="10" max="10" width="35" style="111" customWidth="1"/>
    <col min="11" max="11" width="18" style="111" customWidth="1"/>
    <col min="12" max="12" width="12" style="111" customWidth="1"/>
    <col min="13" max="13" width="10" style="111" customWidth="1"/>
    <col min="14" max="14" width="9.140625" style="111"/>
    <col min="15" max="15" width="18" style="111" customWidth="1"/>
    <col min="16" max="16" width="10" style="111" customWidth="1"/>
    <col min="17" max="17" width="9.28515625" style="111" bestFit="1" customWidth="1"/>
    <col min="18" max="16384" width="9.140625" style="111"/>
  </cols>
  <sheetData>
    <row r="1" spans="1:19" ht="45" customHeight="1" thickBot="1" x14ac:dyDescent="0.3">
      <c r="A1" s="110"/>
      <c r="B1" s="110"/>
      <c r="C1" s="175" t="s">
        <v>13</v>
      </c>
      <c r="D1" s="176"/>
      <c r="E1" s="176"/>
      <c r="F1" s="176"/>
      <c r="G1" s="176"/>
      <c r="H1" s="176"/>
      <c r="I1" s="176"/>
      <c r="J1" s="177"/>
      <c r="K1" s="110"/>
      <c r="L1" s="110"/>
      <c r="M1" s="110"/>
      <c r="N1" s="110"/>
      <c r="O1" s="110"/>
      <c r="P1" s="110"/>
      <c r="Q1" s="110"/>
      <c r="R1" s="110"/>
      <c r="S1" s="110"/>
    </row>
    <row r="2" spans="1:19" ht="24.95" customHeight="1" x14ac:dyDescent="0.25">
      <c r="A2" s="110"/>
      <c r="B2" s="110"/>
      <c r="C2" s="178" t="s">
        <v>14</v>
      </c>
      <c r="D2" s="167"/>
      <c r="E2" s="167"/>
      <c r="F2" s="167"/>
      <c r="G2" s="167"/>
      <c r="H2" s="167"/>
      <c r="I2" s="167"/>
      <c r="J2" s="167"/>
      <c r="K2" s="110"/>
      <c r="L2" s="110"/>
      <c r="M2" s="110"/>
      <c r="N2" s="110"/>
      <c r="O2" s="110"/>
      <c r="P2" s="110"/>
      <c r="Q2" s="110"/>
      <c r="R2" s="110"/>
      <c r="S2" s="110"/>
    </row>
    <row r="3" spans="1:19" ht="8.1" customHeight="1" thickBot="1" x14ac:dyDescent="0.3">
      <c r="A3" s="110"/>
      <c r="B3" s="110"/>
      <c r="C3" s="110"/>
      <c r="D3" s="110"/>
      <c r="E3" s="110"/>
      <c r="F3" s="110"/>
      <c r="G3" s="110"/>
      <c r="H3" s="110"/>
      <c r="I3" s="110"/>
      <c r="J3" s="110"/>
      <c r="K3" s="110"/>
      <c r="L3" s="110"/>
      <c r="M3" s="110"/>
      <c r="N3" s="110"/>
      <c r="O3" s="110"/>
      <c r="P3" s="110"/>
      <c r="Q3" s="110"/>
      <c r="R3" s="110"/>
      <c r="S3" s="110"/>
    </row>
    <row r="4" spans="1:19" ht="30" customHeight="1" thickBot="1" x14ac:dyDescent="0.3">
      <c r="A4" s="110"/>
      <c r="B4" s="110"/>
      <c r="C4" s="179" t="s">
        <v>15</v>
      </c>
      <c r="D4" s="180"/>
      <c r="E4" s="180"/>
      <c r="F4" s="180"/>
      <c r="G4" s="180"/>
      <c r="H4" s="180"/>
      <c r="I4" s="180"/>
      <c r="J4" s="181"/>
      <c r="K4" s="110"/>
      <c r="L4" s="110"/>
      <c r="M4" s="110"/>
      <c r="N4" s="110"/>
      <c r="O4" s="110"/>
      <c r="P4" s="110"/>
      <c r="Q4" s="110"/>
      <c r="R4" s="110"/>
      <c r="S4" s="110"/>
    </row>
    <row r="5" spans="1:19" ht="21.95" customHeight="1" thickBot="1" x14ac:dyDescent="0.3">
      <c r="A5" s="110"/>
      <c r="B5" s="110"/>
      <c r="C5" s="112" t="s">
        <v>16</v>
      </c>
      <c r="D5" s="112" t="s">
        <v>17</v>
      </c>
      <c r="E5" s="110"/>
      <c r="F5" s="112" t="s">
        <v>18</v>
      </c>
      <c r="G5" s="112" t="s">
        <v>19</v>
      </c>
      <c r="H5" s="110"/>
      <c r="I5" s="110"/>
      <c r="J5" s="110"/>
      <c r="K5" s="182" t="s">
        <v>20</v>
      </c>
      <c r="L5" s="176"/>
      <c r="M5" s="177"/>
      <c r="N5" s="110"/>
      <c r="O5" s="183" t="s">
        <v>21</v>
      </c>
      <c r="P5" s="164"/>
      <c r="Q5" s="165"/>
      <c r="R5" s="110"/>
      <c r="S5" s="110"/>
    </row>
    <row r="6" spans="1:19" ht="21.95" customHeight="1" x14ac:dyDescent="0.25">
      <c r="A6" s="110"/>
      <c r="B6" s="110"/>
      <c r="C6" s="112" t="s">
        <v>22</v>
      </c>
      <c r="D6" s="112" t="s">
        <v>23</v>
      </c>
      <c r="E6" s="110"/>
      <c r="F6" s="112" t="s">
        <v>24</v>
      </c>
      <c r="G6" s="112" t="s">
        <v>25</v>
      </c>
      <c r="H6" s="110"/>
      <c r="I6" s="110"/>
      <c r="J6" s="110"/>
      <c r="K6" s="113" t="s">
        <v>26</v>
      </c>
      <c r="L6" s="113" t="s">
        <v>27</v>
      </c>
      <c r="M6" s="113" t="s">
        <v>28</v>
      </c>
      <c r="N6" s="110"/>
      <c r="O6" s="184" t="s">
        <v>29</v>
      </c>
      <c r="P6" s="164"/>
      <c r="Q6" s="165"/>
      <c r="R6" s="110"/>
      <c r="S6" s="110"/>
    </row>
    <row r="7" spans="1:19" ht="21.95" customHeight="1" x14ac:dyDescent="0.25">
      <c r="A7" s="110"/>
      <c r="B7" s="110"/>
      <c r="C7" s="112" t="s">
        <v>30</v>
      </c>
      <c r="D7" s="112" t="s">
        <v>31</v>
      </c>
      <c r="E7" s="110"/>
      <c r="F7" s="112" t="s">
        <v>32</v>
      </c>
      <c r="G7" s="112" t="s">
        <v>33</v>
      </c>
      <c r="H7" s="110"/>
      <c r="I7" s="110"/>
      <c r="J7" s="110"/>
      <c r="K7" s="114" t="s">
        <v>34</v>
      </c>
      <c r="L7" s="115">
        <f>COUNTA([1]Activos!A2:A7)</f>
        <v>6</v>
      </c>
      <c r="M7" s="116" t="s">
        <v>35</v>
      </c>
      <c r="N7" s="110"/>
      <c r="O7" s="117"/>
      <c r="P7" s="117"/>
      <c r="Q7" s="117"/>
      <c r="R7" s="110"/>
      <c r="S7" s="110"/>
    </row>
    <row r="8" spans="1:19" ht="21.95" customHeight="1" x14ac:dyDescent="0.25">
      <c r="A8" s="110"/>
      <c r="B8" s="110"/>
      <c r="C8" s="112" t="s">
        <v>36</v>
      </c>
      <c r="D8" s="112" t="s">
        <v>37</v>
      </c>
      <c r="E8" s="110"/>
      <c r="F8" s="112" t="s">
        <v>38</v>
      </c>
      <c r="G8" s="112" t="s">
        <v>39</v>
      </c>
      <c r="H8" s="110"/>
      <c r="I8" s="110"/>
      <c r="J8" s="110"/>
      <c r="K8" s="114" t="s">
        <v>40</v>
      </c>
      <c r="L8" s="118" t="e">
        <f>COUNTIF([1]Activos!O2:O7,5)</f>
        <v>#VALUE!</v>
      </c>
      <c r="M8" s="119" t="e">
        <f>IF(L7&gt;0,ROUND((L8/L7)*100,1)&amp;"%","0%")</f>
        <v>#VALUE!</v>
      </c>
      <c r="N8" s="110"/>
      <c r="O8" s="120" t="s">
        <v>41</v>
      </c>
      <c r="P8" s="121">
        <v>83</v>
      </c>
      <c r="Q8" s="122" t="s">
        <v>42</v>
      </c>
      <c r="R8" s="110"/>
      <c r="S8" s="110"/>
    </row>
    <row r="9" spans="1:19" ht="21.95" customHeight="1" x14ac:dyDescent="0.25">
      <c r="A9" s="110"/>
      <c r="B9" s="110"/>
      <c r="C9" s="112" t="s">
        <v>43</v>
      </c>
      <c r="D9" s="112" t="s">
        <v>44</v>
      </c>
      <c r="E9" s="110"/>
      <c r="F9" s="112" t="s">
        <v>45</v>
      </c>
      <c r="G9" s="112" t="s">
        <v>46</v>
      </c>
      <c r="H9" s="110"/>
      <c r="I9" s="110"/>
      <c r="J9" s="110"/>
      <c r="K9" s="114" t="s">
        <v>47</v>
      </c>
      <c r="L9" s="115" t="e">
        <f>COUNTIF([1]Activos!C2:C7,"Hardware")</f>
        <v>#VALUE!</v>
      </c>
      <c r="M9" s="123" t="e">
        <f>IF(L7&gt;0,ROUND((L9/L7)*100,1)&amp;"%","0%")</f>
        <v>#VALUE!</v>
      </c>
      <c r="N9" s="110"/>
      <c r="O9" s="124" t="s">
        <v>48</v>
      </c>
      <c r="P9" s="125">
        <v>52</v>
      </c>
      <c r="Q9" s="122" t="s">
        <v>49</v>
      </c>
      <c r="R9" s="110"/>
      <c r="S9" s="110"/>
    </row>
    <row r="10" spans="1:19" ht="21.95" customHeight="1" x14ac:dyDescent="0.25">
      <c r="A10" s="110"/>
      <c r="B10" s="110"/>
      <c r="C10" s="112" t="s">
        <v>50</v>
      </c>
      <c r="D10" s="112" t="s">
        <v>51</v>
      </c>
      <c r="E10" s="110"/>
      <c r="F10" s="112" t="s">
        <v>52</v>
      </c>
      <c r="G10" s="110"/>
      <c r="H10" s="110"/>
      <c r="I10" s="110"/>
      <c r="J10" s="110"/>
      <c r="K10" s="114" t="s">
        <v>53</v>
      </c>
      <c r="L10" s="115" t="e">
        <f>COUNTIF([1]Activos!C2:C7,"OT")</f>
        <v>#VALUE!</v>
      </c>
      <c r="M10" s="119" t="e">
        <f>IF(L7&gt;0,ROUND((L10/L7)*100,1)&amp;"%","0%")</f>
        <v>#VALUE!</v>
      </c>
      <c r="N10" s="110"/>
      <c r="O10" s="126" t="s">
        <v>54</v>
      </c>
      <c r="P10" s="127">
        <v>14</v>
      </c>
      <c r="Q10" s="122" t="s">
        <v>55</v>
      </c>
      <c r="R10" s="110"/>
      <c r="S10" s="110"/>
    </row>
    <row r="11" spans="1:19" ht="23.25" customHeight="1" thickBot="1" x14ac:dyDescent="0.3">
      <c r="A11" s="110" t="s">
        <v>56</v>
      </c>
      <c r="B11" s="110"/>
      <c r="C11" s="110"/>
      <c r="D11" s="110"/>
      <c r="E11" s="110"/>
      <c r="F11" s="110"/>
      <c r="G11" s="110"/>
      <c r="H11" s="110"/>
      <c r="I11" s="110"/>
      <c r="J11" s="110"/>
      <c r="K11" s="114" t="s">
        <v>57</v>
      </c>
      <c r="L11" s="128">
        <f>COUNTA([1]Activos!U2:U7)</f>
        <v>1</v>
      </c>
      <c r="M11" s="129" t="str">
        <f>IF(L7&gt;0,ROUND((L11/L7)*100,1)&amp;"%","0%")</f>
        <v>16,7%</v>
      </c>
      <c r="N11" s="110"/>
      <c r="O11" s="117"/>
      <c r="P11" s="117"/>
      <c r="Q11" s="117"/>
      <c r="R11" s="110"/>
      <c r="S11" s="110"/>
    </row>
    <row r="12" spans="1:19" ht="27.95" customHeight="1" thickBot="1" x14ac:dyDescent="0.3">
      <c r="A12" s="110"/>
      <c r="B12" s="110"/>
      <c r="C12" s="160" t="s">
        <v>58</v>
      </c>
      <c r="D12" s="161"/>
      <c r="E12" s="161"/>
      <c r="F12" s="161"/>
      <c r="G12" s="161"/>
      <c r="H12" s="161"/>
      <c r="I12" s="161"/>
      <c r="J12" s="162"/>
      <c r="K12" s="114" t="s">
        <v>59</v>
      </c>
      <c r="L12" s="130" t="e">
        <f>COUNTBLANK([1]Activos!U2:U7)</f>
        <v>#VALUE!</v>
      </c>
      <c r="M12" s="131" t="e">
        <f>IF(L7&gt;0,ROUND((L12/L7)*100,1)&amp;"%","0%")</f>
        <v>#VALUE!</v>
      </c>
      <c r="N12" s="110"/>
      <c r="O12" s="163" t="s">
        <v>60</v>
      </c>
      <c r="P12" s="164"/>
      <c r="Q12" s="165"/>
      <c r="R12" s="110"/>
      <c r="S12" s="110"/>
    </row>
    <row r="13" spans="1:19" ht="21.95" customHeight="1" x14ac:dyDescent="0.25">
      <c r="A13" s="110"/>
      <c r="B13" s="110"/>
      <c r="C13" s="110"/>
      <c r="D13" s="110"/>
      <c r="E13" s="110"/>
      <c r="F13" s="110"/>
      <c r="G13" s="110"/>
      <c r="H13" s="110"/>
      <c r="I13" s="108" t="s">
        <v>61</v>
      </c>
      <c r="J13" s="132" t="s">
        <v>62</v>
      </c>
      <c r="K13" s="110"/>
      <c r="L13" s="110"/>
      <c r="M13" s="110"/>
      <c r="N13" s="110"/>
      <c r="O13" s="122" t="s">
        <v>63</v>
      </c>
      <c r="P13" s="133">
        <f>COUNTA([1]Activos!U2:U7)</f>
        <v>1</v>
      </c>
      <c r="Q13" s="134" t="e">
        <f>IF(L7&gt;0,ROUND((O13/L7)*100,1)&amp;"%","0%")</f>
        <v>#VALUE!</v>
      </c>
      <c r="R13" s="110"/>
      <c r="S13" s="110"/>
    </row>
    <row r="14" spans="1:19" ht="21.95" customHeight="1" x14ac:dyDescent="0.25">
      <c r="A14" s="110"/>
      <c r="B14" s="110"/>
      <c r="C14" s="110"/>
      <c r="D14" s="110"/>
      <c r="E14" s="110"/>
      <c r="F14" s="110"/>
      <c r="G14" s="110"/>
      <c r="H14" s="110"/>
      <c r="I14" s="108" t="s">
        <v>64</v>
      </c>
      <c r="J14" s="132" t="s">
        <v>65</v>
      </c>
      <c r="K14" s="166" t="s">
        <v>66</v>
      </c>
      <c r="L14" s="167"/>
      <c r="M14" s="167"/>
      <c r="N14" s="110"/>
      <c r="O14" s="122" t="s">
        <v>67</v>
      </c>
      <c r="P14" s="135">
        <f>COUNTA([1]Matriz_Riesgos!Z2:Z6)</f>
        <v>0</v>
      </c>
      <c r="Q14" s="122" t="s">
        <v>68</v>
      </c>
      <c r="R14" s="110"/>
      <c r="S14" s="110"/>
    </row>
    <row r="15" spans="1:19" ht="21.95" customHeight="1" x14ac:dyDescent="0.25">
      <c r="A15" s="110"/>
      <c r="B15" s="110"/>
      <c r="C15" s="110"/>
      <c r="D15" s="110"/>
      <c r="E15" s="110"/>
      <c r="F15" s="110"/>
      <c r="G15" s="110"/>
      <c r="H15" s="110"/>
      <c r="I15" s="108" t="s">
        <v>69</v>
      </c>
      <c r="J15" s="132" t="s">
        <v>70</v>
      </c>
      <c r="K15" s="110"/>
      <c r="L15" s="110"/>
      <c r="M15" s="110"/>
      <c r="N15" s="110"/>
      <c r="O15" s="117"/>
      <c r="P15" s="117"/>
      <c r="Q15" s="117"/>
      <c r="R15" s="110"/>
      <c r="S15" s="110"/>
    </row>
    <row r="16" spans="1:19" ht="21.95" customHeight="1" x14ac:dyDescent="0.25">
      <c r="A16" s="110"/>
      <c r="B16" s="110"/>
      <c r="C16" s="110"/>
      <c r="D16" s="110"/>
      <c r="E16" s="110"/>
      <c r="F16" s="110"/>
      <c r="G16" s="110"/>
      <c r="H16" s="110"/>
      <c r="I16" s="108" t="s">
        <v>71</v>
      </c>
      <c r="J16" s="132" t="s">
        <v>72</v>
      </c>
      <c r="K16" s="110"/>
      <c r="L16" s="110"/>
      <c r="M16" s="110"/>
      <c r="N16" s="110"/>
      <c r="O16" s="168" t="s">
        <v>73</v>
      </c>
      <c r="P16" s="164"/>
      <c r="Q16" s="165"/>
      <c r="R16" s="110"/>
      <c r="S16" s="110"/>
    </row>
    <row r="17" spans="1:19" ht="21.95" customHeight="1" x14ac:dyDescent="0.25">
      <c r="A17" s="110"/>
      <c r="B17" s="110"/>
      <c r="C17" s="110"/>
      <c r="D17" s="110"/>
      <c r="E17" s="110"/>
      <c r="F17" s="110"/>
      <c r="G17" s="110"/>
      <c r="H17" s="110"/>
      <c r="I17" s="108" t="s">
        <v>74</v>
      </c>
      <c r="J17" s="132" t="s">
        <v>75</v>
      </c>
      <c r="K17" s="110"/>
      <c r="L17" s="110"/>
      <c r="M17" s="110"/>
      <c r="N17" s="110"/>
      <c r="O17" s="110"/>
      <c r="P17" s="110"/>
      <c r="Q17" s="110"/>
      <c r="R17" s="110"/>
      <c r="S17" s="110"/>
    </row>
    <row r="18" spans="1:19" ht="21.95" customHeight="1" x14ac:dyDescent="0.25">
      <c r="A18" s="110"/>
      <c r="B18" s="110"/>
      <c r="C18" s="110"/>
      <c r="D18" s="110"/>
      <c r="E18" s="110"/>
      <c r="F18" s="110"/>
      <c r="G18" s="110"/>
      <c r="H18" s="110"/>
      <c r="I18" s="108" t="s">
        <v>76</v>
      </c>
      <c r="J18" s="132" t="s">
        <v>77</v>
      </c>
      <c r="K18" s="110"/>
      <c r="L18" s="110"/>
      <c r="M18" s="110"/>
      <c r="N18" s="110"/>
      <c r="O18" s="110"/>
      <c r="P18" s="110"/>
      <c r="Q18" s="110"/>
      <c r="R18" s="110"/>
      <c r="S18" s="110"/>
    </row>
    <row r="19" spans="1:19" ht="21.95" customHeight="1" x14ac:dyDescent="0.25">
      <c r="A19" s="110"/>
      <c r="B19" s="110"/>
      <c r="C19" s="110"/>
      <c r="D19" s="110"/>
      <c r="E19" s="110"/>
      <c r="F19" s="110"/>
      <c r="G19" s="110"/>
      <c r="H19" s="110"/>
      <c r="I19" s="108" t="s">
        <v>78</v>
      </c>
      <c r="J19" s="132" t="s">
        <v>79</v>
      </c>
      <c r="K19" s="110"/>
      <c r="L19" s="110"/>
      <c r="M19" s="110"/>
      <c r="N19" s="110"/>
      <c r="O19" s="110"/>
      <c r="P19" s="110"/>
      <c r="Q19" s="110"/>
      <c r="R19" s="110"/>
      <c r="S19" s="110"/>
    </row>
    <row r="20" spans="1:19" ht="24" customHeight="1" thickBot="1" x14ac:dyDescent="0.3">
      <c r="A20" s="110"/>
      <c r="B20" s="110"/>
      <c r="C20" s="110"/>
      <c r="D20" s="110"/>
      <c r="E20" s="110"/>
      <c r="F20" s="110"/>
      <c r="G20" s="110"/>
      <c r="H20" s="110"/>
      <c r="I20" s="110"/>
      <c r="J20" s="110"/>
      <c r="K20" s="110"/>
      <c r="L20" s="110"/>
      <c r="M20" s="110"/>
      <c r="N20" s="110"/>
      <c r="O20" s="110"/>
      <c r="P20" s="110"/>
      <c r="Q20" s="110"/>
      <c r="R20" s="110"/>
      <c r="S20" s="110"/>
    </row>
    <row r="21" spans="1:19" ht="27.95" customHeight="1" thickBot="1" x14ac:dyDescent="0.3">
      <c r="A21" s="110"/>
      <c r="B21" s="110"/>
      <c r="C21" s="169" t="s">
        <v>80</v>
      </c>
      <c r="D21" s="170"/>
      <c r="E21" s="170"/>
      <c r="F21" s="170"/>
      <c r="G21" s="170"/>
      <c r="H21" s="170"/>
      <c r="I21" s="170"/>
      <c r="J21" s="171"/>
      <c r="K21" s="110"/>
      <c r="L21" s="110"/>
      <c r="M21" s="110"/>
      <c r="N21" s="110"/>
      <c r="O21" s="110"/>
      <c r="P21" s="110"/>
      <c r="Q21" s="110"/>
      <c r="R21" s="110"/>
      <c r="S21" s="110"/>
    </row>
    <row r="22" spans="1:19" ht="21.95" customHeight="1" x14ac:dyDescent="0.25">
      <c r="A22" s="110"/>
      <c r="B22" s="110"/>
      <c r="C22" s="110"/>
      <c r="D22" s="110"/>
      <c r="E22" s="110"/>
      <c r="F22" s="110"/>
      <c r="G22" s="110"/>
      <c r="H22" s="110"/>
      <c r="I22" s="109" t="s">
        <v>81</v>
      </c>
      <c r="J22" s="132" t="s">
        <v>82</v>
      </c>
      <c r="K22" s="110"/>
      <c r="L22" s="110"/>
      <c r="M22" s="110"/>
      <c r="N22" s="110"/>
      <c r="O22" s="110"/>
      <c r="P22" s="110"/>
      <c r="Q22" s="110"/>
      <c r="R22" s="110"/>
      <c r="S22" s="110"/>
    </row>
    <row r="23" spans="1:19" ht="21.95" customHeight="1" x14ac:dyDescent="0.25">
      <c r="A23" s="110"/>
      <c r="B23" s="110"/>
      <c r="C23" s="110"/>
      <c r="D23" s="110"/>
      <c r="E23" s="110"/>
      <c r="F23" s="110"/>
      <c r="G23" s="110"/>
      <c r="H23" s="110"/>
      <c r="I23" s="109" t="s">
        <v>83</v>
      </c>
      <c r="J23" s="132" t="s">
        <v>84</v>
      </c>
      <c r="K23" s="110"/>
      <c r="L23" s="110"/>
      <c r="M23" s="110"/>
      <c r="N23" s="110"/>
      <c r="O23" s="110"/>
      <c r="P23" s="110"/>
      <c r="Q23" s="110"/>
      <c r="R23" s="110"/>
      <c r="S23" s="110"/>
    </row>
    <row r="24" spans="1:19" ht="21.95" customHeight="1" x14ac:dyDescent="0.25">
      <c r="A24" s="110"/>
      <c r="B24" s="110"/>
      <c r="C24" s="110"/>
      <c r="D24" s="110"/>
      <c r="E24" s="110"/>
      <c r="F24" s="110"/>
      <c r="G24" s="110"/>
      <c r="H24" s="110"/>
      <c r="I24" s="109" t="s">
        <v>85</v>
      </c>
      <c r="J24" s="132" t="s">
        <v>86</v>
      </c>
      <c r="K24" s="110"/>
      <c r="L24" s="110"/>
      <c r="M24" s="110"/>
      <c r="N24" s="110"/>
      <c r="O24" s="110"/>
      <c r="P24" s="110"/>
      <c r="Q24" s="110"/>
      <c r="R24" s="110"/>
      <c r="S24" s="110"/>
    </row>
    <row r="25" spans="1:19" ht="21.95" customHeight="1" x14ac:dyDescent="0.25">
      <c r="A25" s="110"/>
      <c r="B25" s="110"/>
      <c r="C25" s="110"/>
      <c r="D25" s="110"/>
      <c r="E25" s="110"/>
      <c r="F25" s="110"/>
      <c r="G25" s="110"/>
      <c r="H25" s="110"/>
      <c r="I25" s="109" t="s">
        <v>87</v>
      </c>
      <c r="J25" s="132" t="s">
        <v>88</v>
      </c>
      <c r="K25" s="110"/>
      <c r="L25" s="110"/>
      <c r="M25" s="110"/>
      <c r="N25" s="110"/>
      <c r="O25" s="110"/>
      <c r="P25" s="110"/>
      <c r="Q25" s="110"/>
      <c r="R25" s="110"/>
      <c r="S25" s="110"/>
    </row>
    <row r="26" spans="1:19" ht="21.95" customHeight="1" x14ac:dyDescent="0.25">
      <c r="A26" s="110"/>
      <c r="B26" s="110"/>
      <c r="C26" s="110"/>
      <c r="D26" s="110"/>
      <c r="E26" s="110"/>
      <c r="F26" s="110"/>
      <c r="G26" s="110"/>
      <c r="H26" s="110"/>
      <c r="I26" s="109" t="s">
        <v>89</v>
      </c>
      <c r="J26" s="132" t="s">
        <v>90</v>
      </c>
      <c r="K26" s="110"/>
      <c r="L26" s="110"/>
      <c r="M26" s="110"/>
      <c r="N26" s="110"/>
      <c r="O26" s="110"/>
      <c r="P26" s="110"/>
      <c r="Q26" s="110"/>
      <c r="R26" s="110"/>
      <c r="S26" s="110"/>
    </row>
    <row r="27" spans="1:19" ht="5.0999999999999996" customHeight="1" thickBot="1" x14ac:dyDescent="0.3">
      <c r="A27" s="110"/>
      <c r="B27" s="110"/>
      <c r="C27" s="110"/>
      <c r="D27" s="110"/>
      <c r="E27" s="110"/>
      <c r="F27" s="110"/>
      <c r="G27" s="110"/>
      <c r="H27" s="110"/>
      <c r="I27" s="110"/>
      <c r="J27" s="110"/>
      <c r="K27" s="110"/>
      <c r="L27" s="110"/>
      <c r="M27" s="110"/>
      <c r="N27" s="110"/>
      <c r="O27" s="110"/>
      <c r="P27" s="110"/>
      <c r="Q27" s="110"/>
      <c r="R27" s="110"/>
      <c r="S27" s="110"/>
    </row>
    <row r="28" spans="1:19" ht="27.95" customHeight="1" thickBot="1" x14ac:dyDescent="0.3">
      <c r="A28" s="110"/>
      <c r="B28" s="110"/>
      <c r="C28" s="172" t="s">
        <v>91</v>
      </c>
      <c r="D28" s="173"/>
      <c r="E28" s="173"/>
      <c r="F28" s="173"/>
      <c r="G28" s="173"/>
      <c r="H28" s="173"/>
      <c r="I28" s="173"/>
      <c r="J28" s="174"/>
      <c r="K28" s="110"/>
      <c r="L28" s="110"/>
      <c r="M28" s="110"/>
      <c r="N28" s="110"/>
      <c r="O28" s="110"/>
      <c r="P28" s="110"/>
      <c r="Q28" s="110"/>
      <c r="R28" s="110"/>
      <c r="S28" s="110"/>
    </row>
    <row r="29" spans="1:19" ht="21.95" customHeight="1" x14ac:dyDescent="0.25">
      <c r="A29" s="110"/>
      <c r="B29" s="110"/>
      <c r="C29" s="110"/>
      <c r="D29" s="110"/>
      <c r="E29" s="110"/>
      <c r="F29" s="110"/>
      <c r="G29" s="110"/>
      <c r="H29" s="110"/>
      <c r="I29" s="106" t="s">
        <v>92</v>
      </c>
      <c r="J29" s="132" t="s">
        <v>93</v>
      </c>
      <c r="K29" s="110"/>
      <c r="L29" s="110"/>
      <c r="M29" s="110"/>
      <c r="N29" s="110"/>
      <c r="O29" s="110"/>
      <c r="P29" s="110"/>
      <c r="Q29" s="110"/>
      <c r="R29" s="110"/>
      <c r="S29" s="110"/>
    </row>
    <row r="30" spans="1:19" ht="21.95" customHeight="1" x14ac:dyDescent="0.25">
      <c r="A30" s="110"/>
      <c r="B30" s="110"/>
      <c r="C30" s="110"/>
      <c r="D30" s="110"/>
      <c r="E30" s="110"/>
      <c r="F30" s="110"/>
      <c r="G30" s="110"/>
      <c r="H30" s="110"/>
      <c r="I30" s="106" t="s">
        <v>94</v>
      </c>
      <c r="J30" s="132" t="s">
        <v>95</v>
      </c>
      <c r="K30" s="110"/>
      <c r="L30" s="110"/>
      <c r="M30" s="110"/>
      <c r="N30" s="110"/>
      <c r="O30" s="110"/>
      <c r="P30" s="110"/>
      <c r="Q30" s="110"/>
      <c r="R30" s="110"/>
      <c r="S30" s="110"/>
    </row>
    <row r="31" spans="1:19" ht="21.95" customHeight="1" x14ac:dyDescent="0.25">
      <c r="A31" s="110"/>
      <c r="B31" s="110"/>
      <c r="C31" s="110"/>
      <c r="D31" s="110"/>
      <c r="E31" s="110"/>
      <c r="F31" s="110"/>
      <c r="G31" s="110"/>
      <c r="H31" s="110"/>
      <c r="I31" s="106" t="s">
        <v>96</v>
      </c>
      <c r="J31" s="132" t="s">
        <v>97</v>
      </c>
      <c r="K31" s="110"/>
      <c r="L31" s="110"/>
      <c r="M31" s="110"/>
      <c r="N31" s="110"/>
      <c r="O31" s="110"/>
      <c r="P31" s="110"/>
      <c r="Q31" s="110"/>
      <c r="R31" s="110"/>
      <c r="S31" s="110"/>
    </row>
    <row r="32" spans="1:19" ht="5.0999999999999996" customHeight="1" thickBot="1" x14ac:dyDescent="0.3">
      <c r="A32" s="110" t="s">
        <v>98</v>
      </c>
      <c r="B32" s="110"/>
      <c r="C32" s="110" t="s">
        <v>99</v>
      </c>
      <c r="D32" s="110"/>
      <c r="E32" s="110" t="s">
        <v>100</v>
      </c>
      <c r="F32" s="110"/>
      <c r="G32" s="110"/>
      <c r="H32" s="110"/>
      <c r="I32" s="110"/>
      <c r="J32" s="110"/>
      <c r="K32" s="110"/>
      <c r="L32" s="110"/>
      <c r="M32" s="110"/>
      <c r="N32" s="110"/>
      <c r="O32" s="110"/>
      <c r="P32" s="110"/>
      <c r="Q32" s="110"/>
      <c r="R32" s="110"/>
      <c r="S32" s="110"/>
    </row>
    <row r="33" spans="1:19" ht="27.95" customHeight="1" thickBot="1" x14ac:dyDescent="0.3">
      <c r="A33" s="110"/>
      <c r="B33" s="110"/>
      <c r="C33" s="148" t="s">
        <v>101</v>
      </c>
      <c r="D33" s="149"/>
      <c r="E33" s="149"/>
      <c r="F33" s="149"/>
      <c r="G33" s="149"/>
      <c r="H33" s="149"/>
      <c r="I33" s="149"/>
      <c r="J33" s="150"/>
      <c r="K33" s="110"/>
      <c r="L33" s="110"/>
      <c r="M33" s="110"/>
      <c r="N33" s="110"/>
      <c r="O33" s="110"/>
      <c r="P33" s="110"/>
      <c r="Q33" s="110"/>
      <c r="R33" s="110"/>
      <c r="S33" s="110"/>
    </row>
    <row r="34" spans="1:19" ht="21.95" customHeight="1" x14ac:dyDescent="0.25">
      <c r="A34" s="110"/>
      <c r="B34" s="110"/>
      <c r="C34" s="110"/>
      <c r="D34" s="110"/>
      <c r="E34" s="110"/>
      <c r="F34" s="110"/>
      <c r="G34" s="110"/>
      <c r="H34" s="110"/>
      <c r="I34" s="107" t="s">
        <v>102</v>
      </c>
      <c r="J34" s="132" t="s">
        <v>103</v>
      </c>
      <c r="K34" s="110"/>
      <c r="L34" s="110"/>
      <c r="M34" s="110"/>
      <c r="N34" s="110"/>
      <c r="O34" s="110"/>
      <c r="P34" s="110"/>
      <c r="Q34" s="110"/>
      <c r="R34" s="110"/>
      <c r="S34" s="110"/>
    </row>
    <row r="35" spans="1:19" ht="21.95" customHeight="1" x14ac:dyDescent="0.25">
      <c r="A35" s="110"/>
      <c r="B35" s="110"/>
      <c r="C35" s="110"/>
      <c r="D35" s="110"/>
      <c r="E35" s="110"/>
      <c r="F35" s="110"/>
      <c r="G35" s="110"/>
      <c r="H35" s="110"/>
      <c r="I35" s="107" t="s">
        <v>104</v>
      </c>
      <c r="J35" s="132" t="s">
        <v>105</v>
      </c>
      <c r="K35" s="110"/>
      <c r="L35" s="110"/>
      <c r="M35" s="110"/>
      <c r="N35" s="110"/>
      <c r="O35" s="110"/>
      <c r="P35" s="110"/>
      <c r="Q35" s="110"/>
      <c r="R35" s="110"/>
      <c r="S35" s="110"/>
    </row>
    <row r="36" spans="1:19" ht="21.95" customHeight="1" x14ac:dyDescent="0.25">
      <c r="A36" s="110"/>
      <c r="B36" s="110"/>
      <c r="C36" s="110"/>
      <c r="D36" s="110"/>
      <c r="E36" s="110"/>
      <c r="F36" s="110"/>
      <c r="G36" s="110"/>
      <c r="H36" s="110"/>
      <c r="I36" s="107" t="s">
        <v>106</v>
      </c>
      <c r="J36" s="132" t="s">
        <v>107</v>
      </c>
      <c r="K36" s="110"/>
      <c r="L36" s="110"/>
      <c r="M36" s="110"/>
      <c r="N36" s="110"/>
      <c r="O36" s="110"/>
      <c r="P36" s="110"/>
      <c r="Q36" s="110"/>
      <c r="R36" s="110"/>
      <c r="S36" s="110"/>
    </row>
    <row r="37" spans="1:19" ht="21.95" customHeight="1" x14ac:dyDescent="0.25">
      <c r="A37" s="110"/>
      <c r="B37" s="110"/>
      <c r="C37" s="110"/>
      <c r="D37" s="110"/>
      <c r="E37" s="110"/>
      <c r="F37" s="110"/>
      <c r="G37" s="110"/>
      <c r="H37" s="110"/>
      <c r="I37" s="107" t="s">
        <v>108</v>
      </c>
      <c r="J37" s="132" t="s">
        <v>109</v>
      </c>
      <c r="K37" s="110"/>
      <c r="L37" s="110"/>
      <c r="M37" s="110"/>
      <c r="N37" s="110"/>
      <c r="O37" s="110"/>
      <c r="P37" s="110"/>
      <c r="Q37" s="110"/>
      <c r="R37" s="110"/>
      <c r="S37" s="110"/>
    </row>
    <row r="38" spans="1:19" ht="5.0999999999999996" customHeight="1" thickBot="1" x14ac:dyDescent="0.3">
      <c r="A38" s="110"/>
      <c r="B38" s="110"/>
      <c r="C38" s="110"/>
      <c r="D38" s="110"/>
      <c r="E38" s="110"/>
      <c r="F38" s="110"/>
      <c r="G38" s="110"/>
      <c r="H38" s="110"/>
      <c r="I38" s="110"/>
      <c r="J38" s="110"/>
      <c r="K38" s="110"/>
      <c r="L38" s="110"/>
      <c r="M38" s="110"/>
      <c r="N38" s="110"/>
      <c r="O38" s="110"/>
      <c r="P38" s="110"/>
      <c r="Q38" s="110"/>
      <c r="R38" s="110"/>
      <c r="S38" s="110"/>
    </row>
    <row r="39" spans="1:19" ht="27.95" customHeight="1" thickBot="1" x14ac:dyDescent="0.3">
      <c r="A39" s="110"/>
      <c r="B39" s="110"/>
      <c r="C39" s="151" t="s">
        <v>110</v>
      </c>
      <c r="D39" s="152"/>
      <c r="E39" s="152"/>
      <c r="F39" s="152"/>
      <c r="G39" s="152"/>
      <c r="H39" s="152"/>
      <c r="I39" s="152"/>
      <c r="J39" s="153"/>
      <c r="K39" s="110"/>
      <c r="L39" s="110"/>
      <c r="M39" s="110"/>
      <c r="N39" s="110"/>
      <c r="O39" s="110"/>
      <c r="P39" s="110"/>
      <c r="Q39" s="110"/>
      <c r="R39" s="110"/>
      <c r="S39" s="110"/>
    </row>
    <row r="40" spans="1:19" ht="21.95" customHeight="1" x14ac:dyDescent="0.25">
      <c r="A40" s="110"/>
      <c r="B40" s="110"/>
      <c r="C40" s="154" t="s">
        <v>111</v>
      </c>
      <c r="D40" s="155"/>
      <c r="E40" s="156"/>
      <c r="F40" s="110"/>
      <c r="G40" s="154" t="s">
        <v>112</v>
      </c>
      <c r="H40" s="155"/>
      <c r="I40" s="155"/>
      <c r="J40" s="156"/>
      <c r="K40" s="110"/>
      <c r="L40" s="110"/>
      <c r="M40" s="110"/>
      <c r="N40" s="110"/>
      <c r="O40" s="110"/>
      <c r="P40" s="110"/>
      <c r="Q40" s="110"/>
      <c r="R40" s="110"/>
      <c r="S40" s="110"/>
    </row>
    <row r="41" spans="1:19" ht="8.1" customHeight="1" x14ac:dyDescent="0.25">
      <c r="A41" s="110"/>
      <c r="B41" s="110"/>
      <c r="C41" s="110"/>
      <c r="D41" s="110"/>
      <c r="E41" s="110"/>
      <c r="F41" s="110"/>
      <c r="G41" s="110"/>
      <c r="H41" s="110"/>
      <c r="I41" s="110"/>
      <c r="J41" s="110"/>
      <c r="K41" s="110"/>
      <c r="L41" s="110"/>
      <c r="M41" s="110"/>
      <c r="N41" s="110"/>
      <c r="O41" s="110"/>
      <c r="P41" s="110"/>
      <c r="Q41" s="110"/>
      <c r="R41" s="110"/>
      <c r="S41" s="110"/>
    </row>
    <row r="42" spans="1:19" ht="30" customHeight="1" x14ac:dyDescent="0.25">
      <c r="A42" s="110"/>
      <c r="B42" s="110"/>
      <c r="C42" s="157" t="s">
        <v>113</v>
      </c>
      <c r="D42" s="158"/>
      <c r="E42" s="158"/>
      <c r="F42" s="158"/>
      <c r="G42" s="158"/>
      <c r="H42" s="158"/>
      <c r="I42" s="158"/>
      <c r="J42" s="159"/>
      <c r="K42" s="110"/>
      <c r="L42" s="110"/>
      <c r="M42" s="110"/>
      <c r="N42" s="110"/>
      <c r="O42" s="110"/>
      <c r="P42" s="110"/>
      <c r="Q42" s="110"/>
      <c r="R42" s="110"/>
      <c r="S42" s="110"/>
    </row>
    <row r="43" spans="1:19" x14ac:dyDescent="0.25">
      <c r="A43" s="110"/>
      <c r="B43" s="110"/>
      <c r="C43" s="110"/>
      <c r="D43" s="110"/>
      <c r="E43" s="110"/>
      <c r="F43" s="110"/>
      <c r="G43" s="110"/>
      <c r="H43" s="110"/>
      <c r="I43" s="110"/>
      <c r="J43" s="110"/>
      <c r="K43" s="110"/>
      <c r="L43" s="110"/>
      <c r="M43" s="110"/>
      <c r="N43" s="110"/>
      <c r="O43" s="110"/>
      <c r="P43" s="110"/>
      <c r="Q43" s="110"/>
      <c r="R43" s="110"/>
      <c r="S43" s="110"/>
    </row>
    <row r="44" spans="1:19" x14ac:dyDescent="0.25">
      <c r="A44" s="110"/>
      <c r="B44" s="110"/>
      <c r="C44" s="110"/>
      <c r="D44" s="110"/>
      <c r="E44" s="110"/>
      <c r="F44" s="110"/>
      <c r="G44" s="110"/>
      <c r="H44" s="110"/>
      <c r="I44" s="110"/>
      <c r="J44" s="110"/>
      <c r="K44" s="110"/>
      <c r="L44" s="110"/>
      <c r="M44" s="110"/>
      <c r="N44" s="110"/>
      <c r="O44" s="110"/>
      <c r="P44" s="110"/>
      <c r="Q44" s="110"/>
      <c r="R44" s="110"/>
      <c r="S44" s="110"/>
    </row>
    <row r="45" spans="1:19" x14ac:dyDescent="0.25">
      <c r="A45" s="110"/>
      <c r="B45" s="136" t="s">
        <v>114</v>
      </c>
      <c r="C45" s="110"/>
      <c r="D45" s="110"/>
      <c r="E45" s="110"/>
      <c r="F45" s="110"/>
      <c r="G45" s="110"/>
      <c r="H45" s="110"/>
      <c r="I45" s="110"/>
      <c r="J45" s="110"/>
      <c r="K45" s="110"/>
      <c r="L45" s="110"/>
      <c r="M45" s="110"/>
      <c r="N45" s="110"/>
      <c r="O45" s="110"/>
      <c r="P45" s="110"/>
      <c r="Q45" s="110"/>
      <c r="R45" s="110"/>
      <c r="S45" s="110"/>
    </row>
    <row r="46" spans="1:19" x14ac:dyDescent="0.25">
      <c r="A46" s="110"/>
      <c r="B46" s="136" t="s">
        <v>115</v>
      </c>
      <c r="C46" s="110"/>
      <c r="D46" s="110"/>
      <c r="E46" s="110"/>
      <c r="F46" s="110"/>
      <c r="G46" s="110"/>
      <c r="H46" s="110"/>
      <c r="I46" s="110"/>
      <c r="J46" s="110"/>
      <c r="K46" s="110"/>
      <c r="L46" s="110"/>
      <c r="M46" s="110"/>
      <c r="N46" s="110"/>
      <c r="O46" s="110"/>
      <c r="P46" s="110"/>
      <c r="Q46" s="110"/>
      <c r="R46" s="110"/>
      <c r="S46" s="110"/>
    </row>
    <row r="47" spans="1:19" x14ac:dyDescent="0.25">
      <c r="A47" s="110"/>
      <c r="B47" s="137" t="s">
        <v>116</v>
      </c>
      <c r="C47" s="110"/>
      <c r="D47" s="110"/>
      <c r="E47" s="110"/>
      <c r="F47" s="110"/>
      <c r="G47" s="110"/>
      <c r="H47" s="110"/>
      <c r="I47" s="110"/>
      <c r="J47" s="110"/>
      <c r="K47" s="110"/>
      <c r="L47" s="110"/>
      <c r="M47" s="110"/>
      <c r="N47" s="110"/>
      <c r="O47" s="110"/>
      <c r="P47" s="110"/>
      <c r="Q47" s="110"/>
      <c r="R47" s="110"/>
      <c r="S47" s="110"/>
    </row>
    <row r="48" spans="1:19" x14ac:dyDescent="0.25">
      <c r="A48" s="110"/>
      <c r="B48" s="110"/>
      <c r="C48" s="110"/>
      <c r="D48" s="110"/>
      <c r="E48" s="110"/>
      <c r="F48" s="110"/>
      <c r="G48" s="110"/>
      <c r="H48" s="110"/>
      <c r="I48" s="110"/>
      <c r="J48" s="110"/>
      <c r="K48" s="110"/>
      <c r="L48" s="110"/>
      <c r="M48" s="110"/>
      <c r="N48" s="110"/>
      <c r="O48" s="110"/>
      <c r="P48" s="110"/>
      <c r="Q48" s="110"/>
      <c r="R48" s="110"/>
      <c r="S48" s="110"/>
    </row>
    <row r="49" spans="1:19" x14ac:dyDescent="0.25">
      <c r="A49" s="110"/>
      <c r="B49" s="110"/>
      <c r="C49" s="110"/>
      <c r="D49" s="110"/>
      <c r="E49" s="110"/>
      <c r="F49" s="110"/>
      <c r="G49" s="110"/>
      <c r="H49" s="110"/>
      <c r="I49" s="110"/>
      <c r="J49" s="110"/>
      <c r="K49" s="110"/>
      <c r="L49" s="110"/>
      <c r="M49" s="110"/>
      <c r="N49" s="110"/>
      <c r="O49" s="110"/>
      <c r="P49" s="110"/>
      <c r="Q49" s="110"/>
      <c r="R49" s="110"/>
      <c r="S49" s="110"/>
    </row>
    <row r="50" spans="1:19" x14ac:dyDescent="0.25">
      <c r="A50" s="110"/>
      <c r="B50" s="110"/>
      <c r="C50" s="110"/>
      <c r="D50" s="110"/>
      <c r="E50" s="110"/>
      <c r="F50" s="110"/>
      <c r="G50" s="110"/>
      <c r="H50" s="110"/>
      <c r="I50" s="110"/>
      <c r="J50" s="110"/>
      <c r="K50" s="110"/>
      <c r="L50" s="110"/>
      <c r="M50" s="110"/>
      <c r="N50" s="110"/>
      <c r="O50" s="110"/>
      <c r="P50" s="110"/>
      <c r="Q50" s="110"/>
      <c r="R50" s="110"/>
      <c r="S50" s="110"/>
    </row>
  </sheetData>
  <mergeCells count="17">
    <mergeCell ref="O5:Q5"/>
    <mergeCell ref="O6:Q6"/>
    <mergeCell ref="C28:J28"/>
    <mergeCell ref="C1:J1"/>
    <mergeCell ref="C2:J2"/>
    <mergeCell ref="C4:J4"/>
    <mergeCell ref="K5:M5"/>
    <mergeCell ref="C12:J12"/>
    <mergeCell ref="O12:Q12"/>
    <mergeCell ref="K14:M14"/>
    <mergeCell ref="O16:Q16"/>
    <mergeCell ref="C21:J21"/>
    <mergeCell ref="C33:J33"/>
    <mergeCell ref="C39:J39"/>
    <mergeCell ref="C40:E40"/>
    <mergeCell ref="G40:J40"/>
    <mergeCell ref="C42:J42"/>
  </mergeCells>
  <hyperlinks>
    <hyperlink ref="C5" location="Activos!A1" display="📦 Inventario de Activos" xr:uid="{E92A6DB5-5891-4192-9E7B-86DA8EF8B8A7}"/>
    <hyperlink ref="D5" location="Config_Categorias!A1" display="🏷️ Clasificación de Activos" xr:uid="{7EA70951-5B65-47EA-9A86-D5A6D96A9C10}"/>
    <hyperlink ref="F5" location="Activos!A1" display="💰 Valoración de Activos" xr:uid="{85C45DEC-3782-4530-B51C-CB4F99B43BE2}"/>
    <hyperlink ref="G5" location="Matriz_Riesgos!A1" display="⚠️ Identificación de Riesgos" xr:uid="{822B90AD-B03C-4E4F-B367-9BB5B5897959}"/>
    <hyperlink ref="C6" location="Analisis_Riesgos!A1" display="📊 Análisis de Riesgos" xr:uid="{702D92AA-E28C-4B87-9D0D-76634F562D4F}"/>
    <hyperlink ref="D6" location="Matriz_Riesgos!A1" display="🎯 Evaluación de Riesgos" xr:uid="{CF937644-DFD0-4B0A-B34C-99A40A57A49F}"/>
    <hyperlink ref="F6" location="Plan_Tratamiento!A1" display="🛡️ Plan de Tratamiento" xr:uid="{74A5A7DA-D41B-4A4A-803E-6AAB5CD3F40B}"/>
    <hyperlink ref="G6" location="Plan_Tratamiento!A1" display="📈 Seguimiento Tratamiento" xr:uid="{64C9AD7A-92EF-4779-A5EB-F8E1F6634D73}"/>
    <hyperlink ref="C7" location="Controles_ISO27001!A1" display="✅ Controles Implementados" xr:uid="{27D18D3E-D5BC-4CE7-97E8-8A744F7F5DFE}"/>
    <hyperlink ref="D7" location="SoA!A1" display="📋 Declaración Aplicabilidad" xr:uid="{77F502E8-1793-4D9F-835F-49615DDC2886}"/>
    <hyperlink ref="F7" location="Politicas_Seguridad!A1" display="📜 Políticas de Seguridad" xr:uid="{F358C1CE-6CCD-495C-9BA7-D6B80F6901CC}"/>
    <hyperlink ref="G7" location="Procedimientos!A1" display="⚙️ Procedimientos Operativos" xr:uid="{4BDD7FDE-24E6-4B74-8C40-FB330F21A2A9}"/>
    <hyperlink ref="C8" location="Comite_Seguridad!A1" display="👥 Roles y Responsabilidades" xr:uid="{DF7D9186-8CB9-4768-899C-EA589BCFDBBA}"/>
    <hyperlink ref="D8" location="Metricas_KPI!A1" display="📊 Indicadores KPI" xr:uid="{7C7CA723-3D49-4BCA-A350-E07B867F53B0}"/>
    <hyperlink ref="F8" location="Auditorias!A1" display="🔍 Auditoría Interna" xr:uid="{74059BC1-8F30-4B91-874A-579915928979}"/>
    <hyperlink ref="G8" location="Revision_Direccion!A1" display="👔 Revisión Dirección" xr:uid="{C104DCFF-1D5C-487D-8FEF-11EA034BA389}"/>
    <hyperlink ref="C9" location="Gestion_Incidentes!A1" display="🚨 Incidentes de Seguridad" xr:uid="{581F57EC-3058-4305-BAC2-568A97209442}"/>
    <hyperlink ref="D9" location="Log_Acciones!A1" display="🔄 Gestión de Cambios" xr:uid="{779884EF-228B-44F6-A4C1-CFE620C340A7}"/>
    <hyperlink ref="F9" location="Plan_Formacion!A1" display="🎓 Capacitación" xr:uid="{1C182D2D-3E5A-4982-B8F7-90BC6728C504}"/>
    <hyperlink ref="G9" location="Controles_ISO27001!A1" display="⚖️ Cumplimiento Legal" xr:uid="{B53D5EAC-6CBA-422A-BFE2-86E5CA899786}"/>
    <hyperlink ref="C10" location="Plan_Tratamiento!A1" display="♻️ Mejora Continua" xr:uid="{9477AB0E-648E-45E9-A1A0-9F460278A339}"/>
    <hyperlink ref="D10" location="Dashboard!A1" display="📊 Dashboard Ejecutivo" xr:uid="{049C9FCC-653E-4C97-80AD-0E2975906293}"/>
    <hyperlink ref="F10" location="Instrucciones!A1" display="📖 Instrucciones" xr:uid="{D4EC2F5D-D625-4AF0-ACA3-465E7004B6B2}"/>
    <hyperlink ref="O16" location="MITRE_Ataques!A1" display="🔗 Ver Hojas MITRE" xr:uid="{D9A6C233-9DD0-411D-B62E-DE61AA14B749}"/>
    <hyperlink ref="I22" location="Dashboard!A1" display="#Dashboard!A1" xr:uid="{DD883F87-9344-410B-8BF8-F80D8F51F293}"/>
    <hyperlink ref="A32" location="Instrucciones!A1" display="▶ Botón:" xr:uid="{7F5E0AB4-1019-4C61-9A16-1490D5C489C1}"/>
    <hyperlink ref="C32" location="Control_Documentos!A1" display="#Control_Documentos!A1" xr:uid="{7C44191B-1D9B-44CC-B560-796B255973BE}"/>
    <hyperlink ref="E32" location="NDA_Proveedores!A1" display="Verifica integridad de fórmulas y enlaces entre hojas (mantenimiento trimestral)." xr:uid="{CF2623BD-8A5C-4D10-BB71-28CC073411E1}"/>
  </hyperlinks>
  <printOptions gridLines="1"/>
  <pageMargins left="0.5" right="0.5" top="0.5" bottom="0.5" header="0.29921259842519687" footer="0.29921259842519687"/>
  <pageSetup scale="46" fitToHeight="0" orientation="landscape"/>
  <headerFooter>
    <oddHeader>&amp;L&amp;"Segoe UI,Bold"&amp;14 Panel_Control&amp;R&amp;"Segoe UI"&amp;10 Fecha: &amp;D</oddHeader>
    <oddFooter>&amp;L&amp;"Segoe UI"&amp;9 SGSI - ISO 27001:2022&amp;R&amp;"Segoe UI"&amp;9 Página &amp;P de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1]!IngresarNuevoActivo">
                <anchor moveWithCells="1" sizeWithCells="1">
                  <from>
                    <xdr:col>8</xdr:col>
                    <xdr:colOff>19050</xdr:colOff>
                    <xdr:row>12</xdr:row>
                    <xdr:rowOff>19050</xdr:rowOff>
                  </from>
                  <to>
                    <xdr:col>8</xdr:col>
                    <xdr:colOff>1638300</xdr:colOff>
                    <xdr:row>12</xdr:row>
                    <xdr:rowOff>247650</xdr:rowOff>
                  </to>
                </anchor>
              </controlPr>
            </control>
          </mc:Choice>
        </mc:AlternateContent>
        <mc:AlternateContent xmlns:mc="http://schemas.openxmlformats.org/markup-compatibility/2006">
          <mc:Choice Requires="x14">
            <control shapeId="3074" r:id="rId4" name="Button 2">
              <controlPr defaultSize="0" print="0" autoFill="0" autoPict="0" macro="[1]!GenerarReporteActivos">
                <anchor moveWithCells="1" sizeWithCells="1">
                  <from>
                    <xdr:col>8</xdr:col>
                    <xdr:colOff>19050</xdr:colOff>
                    <xdr:row>13</xdr:row>
                    <xdr:rowOff>19050</xdr:rowOff>
                  </from>
                  <to>
                    <xdr:col>8</xdr:col>
                    <xdr:colOff>1638300</xdr:colOff>
                    <xdr:row>13</xdr:row>
                    <xdr:rowOff>247650</xdr:rowOff>
                  </to>
                </anchor>
              </controlPr>
            </control>
          </mc:Choice>
        </mc:AlternateContent>
        <mc:AlternateContent xmlns:mc="http://schemas.openxmlformats.org/markup-compatibility/2006">
          <mc:Choice Requires="x14">
            <control shapeId="3075" r:id="rId5" name="Button 3">
              <controlPr defaultSize="0" print="0" autoFill="0" autoPict="0" macro="[1]!ExportarActivosCSV">
                <anchor moveWithCells="1" sizeWithCells="1">
                  <from>
                    <xdr:col>8</xdr:col>
                    <xdr:colOff>19050</xdr:colOff>
                    <xdr:row>14</xdr:row>
                    <xdr:rowOff>19050</xdr:rowOff>
                  </from>
                  <to>
                    <xdr:col>8</xdr:col>
                    <xdr:colOff>1638300</xdr:colOff>
                    <xdr:row>14</xdr:row>
                    <xdr:rowOff>247650</xdr:rowOff>
                  </to>
                </anchor>
              </controlPr>
            </control>
          </mc:Choice>
        </mc:AlternateContent>
        <mc:AlternateContent xmlns:mc="http://schemas.openxmlformats.org/markup-compatibility/2006">
          <mc:Choice Requires="x14">
            <control shapeId="3076" r:id="rId6" name="Button 4">
              <controlPr defaultSize="0" print="0" autoFill="0" autoPict="0" macro="[1]!ActualizarPropietarios">
                <anchor moveWithCells="1" sizeWithCells="1">
                  <from>
                    <xdr:col>8</xdr:col>
                    <xdr:colOff>19050</xdr:colOff>
                    <xdr:row>15</xdr:row>
                    <xdr:rowOff>19050</xdr:rowOff>
                  </from>
                  <to>
                    <xdr:col>8</xdr:col>
                    <xdr:colOff>1638300</xdr:colOff>
                    <xdr:row>15</xdr:row>
                    <xdr:rowOff>247650</xdr:rowOff>
                  </to>
                </anchor>
              </controlPr>
            </control>
          </mc:Choice>
        </mc:AlternateContent>
        <mc:AlternateContent xmlns:mc="http://schemas.openxmlformats.org/markup-compatibility/2006">
          <mc:Choice Requires="x14">
            <control shapeId="3077" r:id="rId7" name="Button 5">
              <controlPr defaultSize="0" print="0" autoFill="0" autoPict="0" macro="[1]!CalcularValorActivo">
                <anchor moveWithCells="1" sizeWithCells="1">
                  <from>
                    <xdr:col>8</xdr:col>
                    <xdr:colOff>19050</xdr:colOff>
                    <xdr:row>16</xdr:row>
                    <xdr:rowOff>19050</xdr:rowOff>
                  </from>
                  <to>
                    <xdr:col>8</xdr:col>
                    <xdr:colOff>1638300</xdr:colOff>
                    <xdr:row>16</xdr:row>
                    <xdr:rowOff>247650</xdr:rowOff>
                  </to>
                </anchor>
              </controlPr>
            </control>
          </mc:Choice>
        </mc:AlternateContent>
        <mc:AlternateContent xmlns:mc="http://schemas.openxmlformats.org/markup-compatibility/2006">
          <mc:Choice Requires="x14">
            <control shapeId="3078" r:id="rId8" name="Button 6">
              <controlPr defaultSize="0" print="0" autoFill="0" autoPict="0" macro="[1]!ValidarActivosDuplicados">
                <anchor moveWithCells="1" sizeWithCells="1">
                  <from>
                    <xdr:col>8</xdr:col>
                    <xdr:colOff>19050</xdr:colOff>
                    <xdr:row>17</xdr:row>
                    <xdr:rowOff>19050</xdr:rowOff>
                  </from>
                  <to>
                    <xdr:col>8</xdr:col>
                    <xdr:colOff>1638300</xdr:colOff>
                    <xdr:row>17</xdr:row>
                    <xdr:rowOff>247650</xdr:rowOff>
                  </to>
                </anchor>
              </controlPr>
            </control>
          </mc:Choice>
        </mc:AlternateContent>
        <mc:AlternateContent xmlns:mc="http://schemas.openxmlformats.org/markup-compatibility/2006">
          <mc:Choice Requires="x14">
            <control shapeId="3079" r:id="rId9" name="Button 7">
              <controlPr defaultSize="0" print="0" autoFill="0" autoPict="0" macro="[1]!EliminarActivo">
                <anchor moveWithCells="1" sizeWithCells="1">
                  <from>
                    <xdr:col>8</xdr:col>
                    <xdr:colOff>19050</xdr:colOff>
                    <xdr:row>18</xdr:row>
                    <xdr:rowOff>19050</xdr:rowOff>
                  </from>
                  <to>
                    <xdr:col>8</xdr:col>
                    <xdr:colOff>1638300</xdr:colOff>
                    <xdr:row>18</xdr:row>
                    <xdr:rowOff>247650</xdr:rowOff>
                  </to>
                </anchor>
              </controlPr>
            </control>
          </mc:Choice>
        </mc:AlternateContent>
        <mc:AlternateContent xmlns:mc="http://schemas.openxmlformats.org/markup-compatibility/2006">
          <mc:Choice Requires="x14">
            <control shapeId="3080" r:id="rId10" name="Button 8">
              <controlPr defaultSize="0" print="0" autoFill="0" autoPict="0" macro="[1]!IngresarNuevoRiesgo">
                <anchor moveWithCells="1" sizeWithCells="1">
                  <from>
                    <xdr:col>8</xdr:col>
                    <xdr:colOff>19050</xdr:colOff>
                    <xdr:row>21</xdr:row>
                    <xdr:rowOff>19050</xdr:rowOff>
                  </from>
                  <to>
                    <xdr:col>8</xdr:col>
                    <xdr:colOff>1638300</xdr:colOff>
                    <xdr:row>21</xdr:row>
                    <xdr:rowOff>247650</xdr:rowOff>
                  </to>
                </anchor>
              </controlPr>
            </control>
          </mc:Choice>
        </mc:AlternateContent>
        <mc:AlternateContent xmlns:mc="http://schemas.openxmlformats.org/markup-compatibility/2006">
          <mc:Choice Requires="x14">
            <control shapeId="3081" r:id="rId11" name="Button 9">
              <controlPr defaultSize="0" print="0" autoFill="0" autoPict="0" macro="[1]!CalcularRiesgoInherente">
                <anchor moveWithCells="1" sizeWithCells="1">
                  <from>
                    <xdr:col>8</xdr:col>
                    <xdr:colOff>19050</xdr:colOff>
                    <xdr:row>22</xdr:row>
                    <xdr:rowOff>19050</xdr:rowOff>
                  </from>
                  <to>
                    <xdr:col>8</xdr:col>
                    <xdr:colOff>1638300</xdr:colOff>
                    <xdr:row>22</xdr:row>
                    <xdr:rowOff>247650</xdr:rowOff>
                  </to>
                </anchor>
              </controlPr>
            </control>
          </mc:Choice>
        </mc:AlternateContent>
        <mc:AlternateContent xmlns:mc="http://schemas.openxmlformats.org/markup-compatibility/2006">
          <mc:Choice Requires="x14">
            <control shapeId="3082" r:id="rId12" name="Button 10">
              <controlPr defaultSize="0" print="0" autoFill="0" autoPict="0" macro="[1]!GenerarMapaCalor">
                <anchor moveWithCells="1" sizeWithCells="1">
                  <from>
                    <xdr:col>8</xdr:col>
                    <xdr:colOff>19050</xdr:colOff>
                    <xdr:row>23</xdr:row>
                    <xdr:rowOff>19050</xdr:rowOff>
                  </from>
                  <to>
                    <xdr:col>8</xdr:col>
                    <xdr:colOff>1638300</xdr:colOff>
                    <xdr:row>23</xdr:row>
                    <xdr:rowOff>247650</xdr:rowOff>
                  </to>
                </anchor>
              </controlPr>
            </control>
          </mc:Choice>
        </mc:AlternateContent>
        <mc:AlternateContent xmlns:mc="http://schemas.openxmlformats.org/markup-compatibility/2006">
          <mc:Choice Requires="x14">
            <control shapeId="3083" r:id="rId13" name="Button 11">
              <controlPr defaultSize="0" print="0" autoFill="0" autoPict="0" macro="[1]!ActualizarRiesgoResidual">
                <anchor moveWithCells="1" sizeWithCells="1">
                  <from>
                    <xdr:col>8</xdr:col>
                    <xdr:colOff>19050</xdr:colOff>
                    <xdr:row>24</xdr:row>
                    <xdr:rowOff>19050</xdr:rowOff>
                  </from>
                  <to>
                    <xdr:col>8</xdr:col>
                    <xdr:colOff>1638300</xdr:colOff>
                    <xdr:row>24</xdr:row>
                    <xdr:rowOff>247650</xdr:rowOff>
                  </to>
                </anchor>
              </controlPr>
            </control>
          </mc:Choice>
        </mc:AlternateContent>
        <mc:AlternateContent xmlns:mc="http://schemas.openxmlformats.org/markup-compatibility/2006">
          <mc:Choice Requires="x14">
            <control shapeId="3084" r:id="rId14" name="Button 12">
              <controlPr defaultSize="0" print="0" autoFill="0" autoPict="0" macro="[1]!ColorearRiesgos">
                <anchor moveWithCells="1" sizeWithCells="1">
                  <from>
                    <xdr:col>8</xdr:col>
                    <xdr:colOff>19050</xdr:colOff>
                    <xdr:row>25</xdr:row>
                    <xdr:rowOff>19050</xdr:rowOff>
                  </from>
                  <to>
                    <xdr:col>8</xdr:col>
                    <xdr:colOff>1638300</xdr:colOff>
                    <xdr:row>25</xdr:row>
                    <xdr:rowOff>247650</xdr:rowOff>
                  </to>
                </anchor>
              </controlPr>
            </control>
          </mc:Choice>
        </mc:AlternateContent>
        <mc:AlternateContent xmlns:mc="http://schemas.openxmlformats.org/markup-compatibility/2006">
          <mc:Choice Requires="x14">
            <control shapeId="3085" r:id="rId15" name="Button 13">
              <controlPr defaultSize="0" print="0" autoFill="0" autoPict="0" macro="[1]!IngresarNuevoTratamiento">
                <anchor moveWithCells="1" sizeWithCells="1">
                  <from>
                    <xdr:col>8</xdr:col>
                    <xdr:colOff>19050</xdr:colOff>
                    <xdr:row>28</xdr:row>
                    <xdr:rowOff>19050</xdr:rowOff>
                  </from>
                  <to>
                    <xdr:col>8</xdr:col>
                    <xdr:colOff>1638300</xdr:colOff>
                    <xdr:row>28</xdr:row>
                    <xdr:rowOff>247650</xdr:rowOff>
                  </to>
                </anchor>
              </controlPr>
            </control>
          </mc:Choice>
        </mc:AlternateContent>
        <mc:AlternateContent xmlns:mc="http://schemas.openxmlformats.org/markup-compatibility/2006">
          <mc:Choice Requires="x14">
            <control shapeId="3086" r:id="rId16" name="Button 14">
              <controlPr defaultSize="0" print="0" autoFill="0" autoPict="0" macro="[1]!ActualizarEstadoTratamiento">
                <anchor moveWithCells="1" sizeWithCells="1">
                  <from>
                    <xdr:col>8</xdr:col>
                    <xdr:colOff>19050</xdr:colOff>
                    <xdr:row>29</xdr:row>
                    <xdr:rowOff>19050</xdr:rowOff>
                  </from>
                  <to>
                    <xdr:col>8</xdr:col>
                    <xdr:colOff>1638300</xdr:colOff>
                    <xdr:row>29</xdr:row>
                    <xdr:rowOff>247650</xdr:rowOff>
                  </to>
                </anchor>
              </controlPr>
            </control>
          </mc:Choice>
        </mc:AlternateContent>
        <mc:AlternateContent xmlns:mc="http://schemas.openxmlformats.org/markup-compatibility/2006">
          <mc:Choice Requires="x14">
            <control shapeId="3087" r:id="rId17" name="Button 15">
              <controlPr defaultSize="0" print="0" autoFill="0" autoPict="0" macro="[1]!GenerarInformeTratamiento">
                <anchor moveWithCells="1" sizeWithCells="1">
                  <from>
                    <xdr:col>8</xdr:col>
                    <xdr:colOff>19050</xdr:colOff>
                    <xdr:row>30</xdr:row>
                    <xdr:rowOff>19050</xdr:rowOff>
                  </from>
                  <to>
                    <xdr:col>8</xdr:col>
                    <xdr:colOff>1638300</xdr:colOff>
                    <xdr:row>30</xdr:row>
                    <xdr:rowOff>247650</xdr:rowOff>
                  </to>
                </anchor>
              </controlPr>
            </control>
          </mc:Choice>
        </mc:AlternateContent>
        <mc:AlternateContent xmlns:mc="http://schemas.openxmlformats.org/markup-compatibility/2006">
          <mc:Choice Requires="x14">
            <control shapeId="3088" r:id="rId18" name="Button 16">
              <controlPr defaultSize="0" print="0" autoFill="0" autoPict="0" macro="[1]!ActualizarDashboard">
                <anchor moveWithCells="1" sizeWithCells="1">
                  <from>
                    <xdr:col>8</xdr:col>
                    <xdr:colOff>19050</xdr:colOff>
                    <xdr:row>33</xdr:row>
                    <xdr:rowOff>19050</xdr:rowOff>
                  </from>
                  <to>
                    <xdr:col>8</xdr:col>
                    <xdr:colOff>1638300</xdr:colOff>
                    <xdr:row>33</xdr:row>
                    <xdr:rowOff>247650</xdr:rowOff>
                  </to>
                </anchor>
              </controlPr>
            </control>
          </mc:Choice>
        </mc:AlternateContent>
        <mc:AlternateContent xmlns:mc="http://schemas.openxmlformats.org/markup-compatibility/2006">
          <mc:Choice Requires="x14">
            <control shapeId="3089" r:id="rId19" name="Button 17">
              <controlPr defaultSize="0" print="0" autoFill="0" autoPict="0" macro="[1]!ExportarReporteCompleto">
                <anchor moveWithCells="1" sizeWithCells="1">
                  <from>
                    <xdr:col>8</xdr:col>
                    <xdr:colOff>19050</xdr:colOff>
                    <xdr:row>34</xdr:row>
                    <xdr:rowOff>19050</xdr:rowOff>
                  </from>
                  <to>
                    <xdr:col>8</xdr:col>
                    <xdr:colOff>1638300</xdr:colOff>
                    <xdr:row>34</xdr:row>
                    <xdr:rowOff>247650</xdr:rowOff>
                  </to>
                </anchor>
              </controlPr>
            </control>
          </mc:Choice>
        </mc:AlternateContent>
        <mc:AlternateContent xmlns:mc="http://schemas.openxmlformats.org/markup-compatibility/2006">
          <mc:Choice Requires="x14">
            <control shapeId="3090" r:id="rId20" name="Button 18">
              <controlPr defaultSize="0" print="0" autoFill="0" autoPict="0" macro="[1]!ExportarActivosPDF">
                <anchor moveWithCells="1" sizeWithCells="1">
                  <from>
                    <xdr:col>8</xdr:col>
                    <xdr:colOff>19050</xdr:colOff>
                    <xdr:row>35</xdr:row>
                    <xdr:rowOff>19050</xdr:rowOff>
                  </from>
                  <to>
                    <xdr:col>8</xdr:col>
                    <xdr:colOff>1638300</xdr:colOff>
                    <xdr:row>35</xdr:row>
                    <xdr:rowOff>247650</xdr:rowOff>
                  </to>
                </anchor>
              </controlPr>
            </control>
          </mc:Choice>
        </mc:AlternateContent>
        <mc:AlternateContent xmlns:mc="http://schemas.openxmlformats.org/markup-compatibility/2006">
          <mc:Choice Requires="x14">
            <control shapeId="3091" r:id="rId21" name="Button 19">
              <controlPr defaultSize="0" print="0" autoFill="0" autoPict="0" macro="[1]!ValidarCumplimientoISO">
                <anchor moveWithCells="1" sizeWithCells="1">
                  <from>
                    <xdr:col>8</xdr:col>
                    <xdr:colOff>19050</xdr:colOff>
                    <xdr:row>36</xdr:row>
                    <xdr:rowOff>19050</xdr:rowOff>
                  </from>
                  <to>
                    <xdr:col>8</xdr:col>
                    <xdr:colOff>1638300</xdr:colOff>
                    <xdr:row>36</xdr:row>
                    <xdr:rowOff>247650</xdr:rowOff>
                  </to>
                </anchor>
              </controlPr>
            </control>
          </mc:Choice>
        </mc:AlternateContent>
        <mc:AlternateContent xmlns:mc="http://schemas.openxmlformats.org/markup-compatibility/2006">
          <mc:Choice Requires="x14">
            <control shapeId="3092" r:id="rId22" name="Button 20">
              <controlPr defaultSize="0" print="0" autoFill="0" autoPict="0" macro="[1]!VerTecnicasMITRE">
                <anchor moveWithCells="1" sizeWithCells="1">
                  <from>
                    <xdr:col>14</xdr:col>
                    <xdr:colOff>19050</xdr:colOff>
                    <xdr:row>17</xdr:row>
                    <xdr:rowOff>19050</xdr:rowOff>
                  </from>
                  <to>
                    <xdr:col>14</xdr:col>
                    <xdr:colOff>1171575</xdr:colOff>
                    <xdr:row>17</xdr:row>
                    <xdr:rowOff>247650</xdr:rowOff>
                  </to>
                </anchor>
              </controlPr>
            </control>
          </mc:Choice>
        </mc:AlternateContent>
        <mc:AlternateContent xmlns:mc="http://schemas.openxmlformats.org/markup-compatibility/2006">
          <mc:Choice Requires="x14">
            <control shapeId="3093" r:id="rId23" name="Button 21">
              <controlPr defaultSize="0" print="0" autoFill="0" autoPict="0" macro="[1]!VerMitigacionesMITRE">
                <anchor moveWithCells="1" sizeWithCells="1">
                  <from>
                    <xdr:col>14</xdr:col>
                    <xdr:colOff>19050</xdr:colOff>
                    <xdr:row>18</xdr:row>
                    <xdr:rowOff>19050</xdr:rowOff>
                  </from>
                  <to>
                    <xdr:col>14</xdr:col>
                    <xdr:colOff>1171575</xdr:colOff>
                    <xdr:row>18</xdr:row>
                    <xdr:rowOff>247650</xdr:rowOff>
                  </to>
                </anchor>
              </controlPr>
            </control>
          </mc:Choice>
        </mc:AlternateContent>
        <mc:AlternateContent xmlns:mc="http://schemas.openxmlformats.org/markup-compatibility/2006">
          <mc:Choice Requires="x14">
            <control shapeId="3094" r:id="rId24" name="Button 22">
              <controlPr defaultSize="0" print="0" autoFill="0" autoPict="0" macro="[1]!VerAssetsMITRE">
                <anchor moveWithCells="1" sizeWithCells="1">
                  <from>
                    <xdr:col>14</xdr:col>
                    <xdr:colOff>19050</xdr:colOff>
                    <xdr:row>19</xdr:row>
                    <xdr:rowOff>19050</xdr:rowOff>
                  </from>
                  <to>
                    <xdr:col>14</xdr:col>
                    <xdr:colOff>1171575</xdr:colOff>
                    <xdr:row>19</xdr:row>
                    <xdr:rowOff>276225</xdr:rowOff>
                  </to>
                </anchor>
              </controlPr>
            </control>
          </mc:Choice>
        </mc:AlternateContent>
        <mc:AlternateContent xmlns:mc="http://schemas.openxmlformats.org/markup-compatibility/2006">
          <mc:Choice Requires="x14">
            <control shapeId="3095" r:id="rId25" name="Button 23">
              <controlPr defaultSize="0" print="0" autoFill="0" autoPict="0" macro="[1]!GenerarMapaMITRE">
                <anchor moveWithCells="1" sizeWithCells="1">
                  <from>
                    <xdr:col>14</xdr:col>
                    <xdr:colOff>19050</xdr:colOff>
                    <xdr:row>20</xdr:row>
                    <xdr:rowOff>19050</xdr:rowOff>
                  </from>
                  <to>
                    <xdr:col>14</xdr:col>
                    <xdr:colOff>1171575</xdr:colOff>
                    <xdr:row>20</xdr:row>
                    <xdr:rowOff>323850</xdr:rowOff>
                  </to>
                </anchor>
              </controlPr>
            </control>
          </mc:Choice>
        </mc:AlternateContent>
        <mc:AlternateContent xmlns:mc="http://schemas.openxmlformats.org/markup-compatibility/2006">
          <mc:Choice Requires="x14">
            <control shapeId="3096" r:id="rId26" name="Button 24">
              <controlPr defaultSize="0" print="0" autoFill="0" autoPict="0" macro="[1]!MostrarInfoSistema">
                <anchor moveWithCells="1" sizeWithCells="1">
                  <from>
                    <xdr:col>2</xdr:col>
                    <xdr:colOff>19050</xdr:colOff>
                    <xdr:row>39</xdr:row>
                    <xdr:rowOff>19050</xdr:rowOff>
                  </from>
                  <to>
                    <xdr:col>4</xdr:col>
                    <xdr:colOff>104775</xdr:colOff>
                    <xdr:row>39</xdr:row>
                    <xdr:rowOff>247650</xdr:rowOff>
                  </to>
                </anchor>
              </controlPr>
            </control>
          </mc:Choice>
        </mc:AlternateContent>
        <mc:AlternateContent xmlns:mc="http://schemas.openxmlformats.org/markup-compatibility/2006">
          <mc:Choice Requires="x14">
            <control shapeId="3097" r:id="rId27" name="Button 25">
              <controlPr defaultSize="0" print="0" autoFill="0" autoPict="0" macro="[1]!ValidarEstructuraExcel">
                <anchor moveWithCells="1" sizeWithCells="1">
                  <from>
                    <xdr:col>6</xdr:col>
                    <xdr:colOff>19050</xdr:colOff>
                    <xdr:row>39</xdr:row>
                    <xdr:rowOff>19050</xdr:rowOff>
                  </from>
                  <to>
                    <xdr:col>9</xdr:col>
                    <xdr:colOff>2305050</xdr:colOff>
                    <xdr:row>39</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3">
    <tabColor rgb="FF5B9BD5"/>
    <pageSetUpPr fitToPage="1"/>
  </sheetPr>
  <dimension ref="A1:H15"/>
  <sheetViews>
    <sheetView showGridLines="0" workbookViewId="0">
      <pane ySplit="1" topLeftCell="A2" activePane="bottomLeft" state="frozen"/>
      <selection pane="bottomLeft" sqref="A1:H1"/>
    </sheetView>
  </sheetViews>
  <sheetFormatPr baseColWidth="10" defaultColWidth="9.140625" defaultRowHeight="15" x14ac:dyDescent="0.25"/>
  <cols>
    <col min="1" max="4" width="30" customWidth="1"/>
    <col min="5" max="5" width="5" customWidth="1"/>
    <col min="6" max="8" width="15" customWidth="1"/>
  </cols>
  <sheetData>
    <row r="1" spans="1:8" ht="30" customHeight="1" x14ac:dyDescent="0.25">
      <c r="A1" s="186" t="s">
        <v>117</v>
      </c>
      <c r="B1" s="164"/>
      <c r="C1" s="164"/>
      <c r="D1" s="164"/>
      <c r="E1" s="164"/>
      <c r="F1" s="164"/>
      <c r="G1" s="164"/>
      <c r="H1" s="165"/>
    </row>
    <row r="3" spans="1:8" ht="15.75" customHeight="1" x14ac:dyDescent="0.25">
      <c r="A3" s="185" t="s">
        <v>118</v>
      </c>
      <c r="B3" s="139"/>
      <c r="C3" s="139"/>
      <c r="D3" s="139"/>
      <c r="E3" s="139"/>
      <c r="F3" s="139"/>
      <c r="G3" s="139"/>
      <c r="H3" s="139"/>
    </row>
    <row r="5" spans="1:8" x14ac:dyDescent="0.25">
      <c r="B5" s="55">
        <v>5</v>
      </c>
      <c r="D5" s="55" t="s">
        <v>119</v>
      </c>
      <c r="F5" s="55" t="s">
        <v>120</v>
      </c>
      <c r="H5" s="55" t="s">
        <v>121</v>
      </c>
    </row>
    <row r="6" spans="1:8" ht="35.1" customHeight="1" x14ac:dyDescent="0.25">
      <c r="B6" s="56">
        <v>50</v>
      </c>
      <c r="D6" s="57" t="s">
        <v>122</v>
      </c>
      <c r="F6" s="58" t="s">
        <v>122</v>
      </c>
      <c r="H6" s="59" t="s">
        <v>123</v>
      </c>
    </row>
    <row r="7" spans="1:8" x14ac:dyDescent="0.25">
      <c r="B7" s="60">
        <v>0</v>
      </c>
    </row>
    <row r="8" spans="1:8" x14ac:dyDescent="0.25">
      <c r="B8" s="61">
        <v>0</v>
      </c>
    </row>
    <row r="9" spans="1:8" ht="15.75" customHeight="1" x14ac:dyDescent="0.25">
      <c r="A9" s="185" t="s">
        <v>124</v>
      </c>
      <c r="B9" s="139"/>
      <c r="C9" s="139"/>
      <c r="D9" s="139"/>
      <c r="F9" s="185" t="s">
        <v>125</v>
      </c>
      <c r="G9" s="139"/>
      <c r="H9" s="139"/>
    </row>
    <row r="10" spans="1:8" x14ac:dyDescent="0.25">
      <c r="B10" s="61">
        <v>0</v>
      </c>
    </row>
    <row r="11" spans="1:8" x14ac:dyDescent="0.25">
      <c r="A11" s="62" t="s">
        <v>126</v>
      </c>
      <c r="B11" s="32">
        <v>45967</v>
      </c>
      <c r="C11" s="62" t="s">
        <v>127</v>
      </c>
      <c r="D11" s="62" t="s">
        <v>128</v>
      </c>
      <c r="F11" s="62" t="s">
        <v>128</v>
      </c>
      <c r="G11" s="62" t="s">
        <v>129</v>
      </c>
      <c r="H11" s="62" t="s">
        <v>130</v>
      </c>
    </row>
    <row r="12" spans="1:8" x14ac:dyDescent="0.25">
      <c r="A12" s="63" t="s">
        <v>131</v>
      </c>
      <c r="B12" s="1" t="s">
        <v>122</v>
      </c>
      <c r="C12" s="1" t="s">
        <v>123</v>
      </c>
      <c r="D12" s="1" t="s">
        <v>132</v>
      </c>
      <c r="F12" s="5" t="s">
        <v>133</v>
      </c>
      <c r="G12" s="1" t="s">
        <v>122</v>
      </c>
      <c r="H12" s="1" t="s">
        <v>123</v>
      </c>
    </row>
    <row r="13" spans="1:8" x14ac:dyDescent="0.25">
      <c r="A13" s="3" t="s">
        <v>134</v>
      </c>
      <c r="B13" s="1" t="s">
        <v>122</v>
      </c>
      <c r="C13" s="1" t="s">
        <v>123</v>
      </c>
      <c r="D13" s="1" t="s">
        <v>132</v>
      </c>
      <c r="F13" s="4" t="s">
        <v>135</v>
      </c>
      <c r="G13" s="1" t="s">
        <v>122</v>
      </c>
      <c r="H13" s="1" t="s">
        <v>123</v>
      </c>
    </row>
    <row r="14" spans="1:8" x14ac:dyDescent="0.25">
      <c r="A14" s="4" t="s">
        <v>136</v>
      </c>
      <c r="B14" s="1" t="s">
        <v>122</v>
      </c>
      <c r="C14" s="1" t="s">
        <v>123</v>
      </c>
      <c r="D14" s="1" t="s">
        <v>137</v>
      </c>
      <c r="F14" s="3" t="s">
        <v>138</v>
      </c>
      <c r="G14" s="1" t="s">
        <v>122</v>
      </c>
      <c r="H14" s="1" t="s">
        <v>123</v>
      </c>
    </row>
    <row r="15" spans="1:8" x14ac:dyDescent="0.25">
      <c r="A15" s="5" t="s">
        <v>139</v>
      </c>
      <c r="B15" s="1" t="s">
        <v>122</v>
      </c>
      <c r="C15" s="1" t="s">
        <v>123</v>
      </c>
      <c r="D15" s="1" t="s">
        <v>140</v>
      </c>
      <c r="F15" s="12" t="s">
        <v>141</v>
      </c>
      <c r="G15" s="1" t="s">
        <v>122</v>
      </c>
      <c r="H15" s="1" t="s">
        <v>123</v>
      </c>
    </row>
  </sheetData>
  <mergeCells count="4">
    <mergeCell ref="A3:H3"/>
    <mergeCell ref="A9:D9"/>
    <mergeCell ref="F9:H9"/>
    <mergeCell ref="A1:H1"/>
  </mergeCells>
  <printOptions gridLines="1"/>
  <pageMargins left="0.5" right="0.5" top="0.5" bottom="0.5" header="0.29921259842519687" footer="0.29921259842519687"/>
  <pageSetup scale="80" fitToHeight="0" orientation="portrait"/>
  <headerFooter>
    <oddHeader>&amp;L&amp;"Segoe UI,Bold"&amp;14 Dashboard&amp;R&amp;"Segoe UI"&amp;10 Fecha: &amp;D</oddHeader>
    <oddFooter>&amp;L&amp;"Segoe UI"&amp;9 SGSI - ISO 27001:2022&amp;R&amp;"Segoe UI"&amp;9 Página &amp;P de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1">
    <tabColor rgb="FF00B0F0"/>
  </sheetPr>
  <dimension ref="A1:F46"/>
  <sheetViews>
    <sheetView showGridLines="0" workbookViewId="0">
      <pane ySplit="1" topLeftCell="A2" activePane="bottomLeft" state="frozen"/>
      <selection pane="bottomLeft" activeCell="A11" sqref="A11:F15"/>
    </sheetView>
  </sheetViews>
  <sheetFormatPr baseColWidth="10" defaultColWidth="9.140625" defaultRowHeight="15" x14ac:dyDescent="0.25"/>
  <cols>
    <col min="1" max="1" width="50" customWidth="1"/>
    <col min="2" max="6" width="15" customWidth="1"/>
  </cols>
  <sheetData>
    <row r="1" spans="1:6" ht="30" customHeight="1" x14ac:dyDescent="0.25">
      <c r="A1" s="186" t="s">
        <v>142</v>
      </c>
      <c r="B1" s="164"/>
      <c r="C1" s="164"/>
      <c r="D1" s="164"/>
      <c r="E1" s="164"/>
      <c r="F1" s="165"/>
    </row>
    <row r="3" spans="1:6" ht="18.75" x14ac:dyDescent="0.25">
      <c r="A3" s="189" t="s">
        <v>143</v>
      </c>
      <c r="B3" s="139"/>
      <c r="C3" s="139"/>
      <c r="D3" s="139"/>
      <c r="E3" s="139"/>
      <c r="F3" s="139"/>
    </row>
    <row r="5" spans="1:6" ht="15.75" x14ac:dyDescent="0.25">
      <c r="A5" s="190" t="s">
        <v>144</v>
      </c>
      <c r="B5" s="139"/>
      <c r="C5" s="139"/>
      <c r="D5" s="139"/>
      <c r="E5" s="139"/>
      <c r="F5" s="139"/>
    </row>
    <row r="6" spans="1:6" x14ac:dyDescent="0.25">
      <c r="A6" s="187" t="s">
        <v>145</v>
      </c>
      <c r="B6" s="139"/>
      <c r="C6" s="139"/>
      <c r="D6" s="139"/>
      <c r="E6" s="139"/>
      <c r="F6" s="139"/>
    </row>
    <row r="7" spans="1:6" x14ac:dyDescent="0.25">
      <c r="A7" s="188" t="s">
        <v>146</v>
      </c>
      <c r="B7" s="139"/>
      <c r="C7" s="139"/>
      <c r="D7" s="139"/>
      <c r="E7" s="139"/>
      <c r="F7" s="139"/>
    </row>
    <row r="8" spans="1:6" x14ac:dyDescent="0.25">
      <c r="A8" s="188" t="s">
        <v>147</v>
      </c>
      <c r="B8" s="139"/>
      <c r="C8" s="139"/>
      <c r="D8" s="139"/>
      <c r="E8" s="139"/>
      <c r="F8" s="139"/>
    </row>
    <row r="9" spans="1:6" x14ac:dyDescent="0.25">
      <c r="A9" s="188" t="s">
        <v>148</v>
      </c>
      <c r="B9" s="139"/>
      <c r="C9" s="139"/>
      <c r="D9" s="139"/>
      <c r="E9" s="139"/>
      <c r="F9" s="139"/>
    </row>
    <row r="10" spans="1:6" x14ac:dyDescent="0.25">
      <c r="A10" s="188" t="s">
        <v>149</v>
      </c>
      <c r="B10" s="139"/>
      <c r="C10" s="139"/>
      <c r="D10" s="139"/>
      <c r="E10" s="139"/>
      <c r="F10" s="139"/>
    </row>
    <row r="11" spans="1:6" x14ac:dyDescent="0.25">
      <c r="A11" s="188" t="s">
        <v>150</v>
      </c>
      <c r="B11" s="139"/>
      <c r="C11" s="139"/>
      <c r="D11" s="139"/>
      <c r="E11" s="139"/>
      <c r="F11" s="139"/>
    </row>
    <row r="13" spans="1:6" ht="15.75" x14ac:dyDescent="0.25">
      <c r="A13" s="190" t="s">
        <v>151</v>
      </c>
      <c r="B13" s="139"/>
      <c r="C13" s="139"/>
      <c r="D13" s="139"/>
      <c r="E13" s="139"/>
      <c r="F13" s="139"/>
    </row>
    <row r="14" spans="1:6" x14ac:dyDescent="0.25">
      <c r="A14" s="188" t="s">
        <v>152</v>
      </c>
      <c r="B14" s="139"/>
      <c r="C14" s="139"/>
      <c r="D14" s="139"/>
      <c r="E14" s="139"/>
      <c r="F14" s="139"/>
    </row>
    <row r="15" spans="1:6" x14ac:dyDescent="0.25">
      <c r="A15" s="188" t="s">
        <v>153</v>
      </c>
      <c r="B15" s="139"/>
      <c r="C15" s="139"/>
      <c r="D15" s="139"/>
      <c r="E15" s="139"/>
      <c r="F15" s="139"/>
    </row>
    <row r="16" spans="1:6" x14ac:dyDescent="0.25">
      <c r="A16" s="188" t="s">
        <v>154</v>
      </c>
      <c r="B16" s="139"/>
      <c r="C16" s="139"/>
      <c r="D16" s="139"/>
      <c r="E16" s="139"/>
      <c r="F16" s="139"/>
    </row>
    <row r="17" spans="1:6" x14ac:dyDescent="0.25">
      <c r="A17" s="188" t="s">
        <v>155</v>
      </c>
      <c r="B17" s="139"/>
      <c r="C17" s="139"/>
      <c r="D17" s="139"/>
      <c r="E17" s="139"/>
      <c r="F17" s="139"/>
    </row>
    <row r="18" spans="1:6" x14ac:dyDescent="0.25">
      <c r="A18" s="188" t="s">
        <v>156</v>
      </c>
      <c r="B18" s="139"/>
      <c r="C18" s="139"/>
      <c r="D18" s="139"/>
      <c r="E18" s="139"/>
      <c r="F18" s="139"/>
    </row>
    <row r="20" spans="1:6" ht="15.75" x14ac:dyDescent="0.25">
      <c r="A20" s="190" t="s">
        <v>157</v>
      </c>
      <c r="B20" s="139"/>
      <c r="C20" s="139"/>
      <c r="D20" s="139"/>
      <c r="E20" s="139"/>
      <c r="F20" s="139"/>
    </row>
    <row r="21" spans="1:6" x14ac:dyDescent="0.25">
      <c r="A21" s="188" t="s">
        <v>158</v>
      </c>
      <c r="B21" s="139"/>
      <c r="C21" s="139"/>
      <c r="D21" s="139"/>
      <c r="E21" s="139"/>
      <c r="F21" s="139"/>
    </row>
    <row r="22" spans="1:6" x14ac:dyDescent="0.25">
      <c r="A22" s="188" t="s">
        <v>159</v>
      </c>
      <c r="B22" s="139"/>
      <c r="C22" s="139"/>
      <c r="D22" s="139"/>
      <c r="E22" s="139"/>
      <c r="F22" s="139"/>
    </row>
    <row r="23" spans="1:6" x14ac:dyDescent="0.25">
      <c r="A23" s="188" t="s">
        <v>160</v>
      </c>
      <c r="B23" s="139"/>
      <c r="C23" s="139"/>
      <c r="D23" s="139"/>
      <c r="E23" s="139"/>
      <c r="F23" s="139"/>
    </row>
    <row r="24" spans="1:6" x14ac:dyDescent="0.25">
      <c r="A24" s="188" t="s">
        <v>161</v>
      </c>
      <c r="B24" s="139"/>
      <c r="C24" s="139"/>
      <c r="D24" s="139"/>
      <c r="E24" s="139"/>
      <c r="F24" s="139"/>
    </row>
    <row r="25" spans="1:6" x14ac:dyDescent="0.25">
      <c r="A25" s="188" t="s">
        <v>162</v>
      </c>
      <c r="B25" s="139"/>
      <c r="C25" s="139"/>
      <c r="D25" s="139"/>
      <c r="E25" s="139"/>
      <c r="F25" s="139"/>
    </row>
    <row r="26" spans="1:6" x14ac:dyDescent="0.25">
      <c r="A26" s="188" t="s">
        <v>163</v>
      </c>
      <c r="B26" s="139"/>
      <c r="C26" s="139"/>
      <c r="D26" s="139"/>
      <c r="E26" s="139"/>
      <c r="F26" s="139"/>
    </row>
    <row r="27" spans="1:6" x14ac:dyDescent="0.25">
      <c r="A27" s="188" t="s">
        <v>164</v>
      </c>
      <c r="B27" s="139"/>
      <c r="C27" s="139"/>
      <c r="D27" s="139"/>
      <c r="E27" s="139"/>
      <c r="F27" s="139"/>
    </row>
    <row r="29" spans="1:6" ht="15.75" x14ac:dyDescent="0.25">
      <c r="A29" s="190" t="s">
        <v>165</v>
      </c>
      <c r="B29" s="139"/>
      <c r="C29" s="139"/>
      <c r="D29" s="139"/>
      <c r="E29" s="139"/>
      <c r="F29" s="139"/>
    </row>
    <row r="30" spans="1:6" x14ac:dyDescent="0.25">
      <c r="A30" s="188" t="s">
        <v>166</v>
      </c>
      <c r="B30" s="139"/>
      <c r="C30" s="139"/>
      <c r="D30" s="139"/>
      <c r="E30" s="139"/>
      <c r="F30" s="139"/>
    </row>
    <row r="31" spans="1:6" x14ac:dyDescent="0.25">
      <c r="A31" s="188" t="s">
        <v>167</v>
      </c>
      <c r="B31" s="139"/>
      <c r="C31" s="139"/>
      <c r="D31" s="139"/>
      <c r="E31" s="139"/>
      <c r="F31" s="139"/>
    </row>
    <row r="32" spans="1:6" x14ac:dyDescent="0.25">
      <c r="A32" s="188" t="s">
        <v>168</v>
      </c>
      <c r="B32" s="139"/>
      <c r="C32" s="139"/>
      <c r="D32" s="139"/>
      <c r="E32" s="139"/>
      <c r="F32" s="139"/>
    </row>
    <row r="34" spans="1:6" ht="15.75" x14ac:dyDescent="0.25">
      <c r="A34" s="190" t="s">
        <v>169</v>
      </c>
      <c r="B34" s="139"/>
      <c r="C34" s="139"/>
      <c r="D34" s="139"/>
      <c r="E34" s="139"/>
      <c r="F34" s="139"/>
    </row>
    <row r="35" spans="1:6" x14ac:dyDescent="0.25">
      <c r="A35" s="188" t="s">
        <v>170</v>
      </c>
      <c r="B35" s="139"/>
      <c r="C35" s="139"/>
      <c r="D35" s="139"/>
      <c r="E35" s="139"/>
      <c r="F35" s="139"/>
    </row>
    <row r="36" spans="1:6" x14ac:dyDescent="0.25">
      <c r="A36" s="188" t="s">
        <v>171</v>
      </c>
      <c r="B36" s="139"/>
      <c r="C36" s="139"/>
      <c r="D36" s="139"/>
      <c r="E36" s="139"/>
      <c r="F36" s="139"/>
    </row>
    <row r="37" spans="1:6" x14ac:dyDescent="0.25">
      <c r="A37" s="188" t="s">
        <v>172</v>
      </c>
      <c r="B37" s="139"/>
      <c r="C37" s="139"/>
      <c r="D37" s="139"/>
      <c r="E37" s="139"/>
      <c r="F37" s="139"/>
    </row>
    <row r="38" spans="1:6" x14ac:dyDescent="0.25">
      <c r="A38" s="191" t="s">
        <v>173</v>
      </c>
      <c r="B38" s="139"/>
      <c r="C38" s="139"/>
      <c r="D38" s="139"/>
      <c r="E38" s="139"/>
      <c r="F38" s="139"/>
    </row>
    <row r="39" spans="1:6" x14ac:dyDescent="0.25">
      <c r="A39" s="188" t="s">
        <v>174</v>
      </c>
      <c r="B39" s="139"/>
      <c r="C39" s="139"/>
      <c r="D39" s="139"/>
      <c r="E39" s="139"/>
      <c r="F39" s="139"/>
    </row>
    <row r="41" spans="1:6" x14ac:dyDescent="0.25">
      <c r="A41" s="192" t="s">
        <v>175</v>
      </c>
      <c r="B41" s="139"/>
      <c r="C41" s="139"/>
      <c r="D41" s="139"/>
      <c r="E41" s="139"/>
      <c r="F41" s="139"/>
    </row>
    <row r="42" spans="1:6" x14ac:dyDescent="0.25">
      <c r="A42" s="188" t="s">
        <v>176</v>
      </c>
      <c r="B42" s="139"/>
      <c r="C42" s="139"/>
      <c r="D42" s="139"/>
      <c r="E42" s="139"/>
      <c r="F42" s="139"/>
    </row>
    <row r="43" spans="1:6" x14ac:dyDescent="0.25">
      <c r="A43" s="188" t="s">
        <v>177</v>
      </c>
      <c r="B43" s="139"/>
      <c r="C43" s="139"/>
      <c r="D43" s="139"/>
      <c r="E43" s="139"/>
      <c r="F43" s="139"/>
    </row>
    <row r="44" spans="1:6" x14ac:dyDescent="0.25">
      <c r="A44" s="188" t="s">
        <v>178</v>
      </c>
      <c r="B44" s="139"/>
      <c r="C44" s="139"/>
      <c r="D44" s="139"/>
      <c r="E44" s="139"/>
      <c r="F44" s="139"/>
    </row>
    <row r="45" spans="1:6" x14ac:dyDescent="0.25">
      <c r="A45" s="191" t="s">
        <v>179</v>
      </c>
      <c r="B45" s="139"/>
      <c r="C45" s="139"/>
      <c r="D45" s="139"/>
      <c r="E45" s="139"/>
      <c r="F45" s="139"/>
    </row>
    <row r="46" spans="1:6" x14ac:dyDescent="0.25">
      <c r="A46" s="188" t="s">
        <v>180</v>
      </c>
      <c r="B46" s="139"/>
      <c r="C46" s="139"/>
      <c r="D46" s="139"/>
      <c r="E46" s="139"/>
      <c r="F46" s="139"/>
    </row>
  </sheetData>
  <mergeCells count="39">
    <mergeCell ref="A46:F46"/>
    <mergeCell ref="A37:F37"/>
    <mergeCell ref="A27:F27"/>
    <mergeCell ref="A18:F18"/>
    <mergeCell ref="A26:F26"/>
    <mergeCell ref="A43:F43"/>
    <mergeCell ref="A44:F44"/>
    <mergeCell ref="A45:F45"/>
    <mergeCell ref="A42:F42"/>
    <mergeCell ref="A35:F35"/>
    <mergeCell ref="A38:F38"/>
    <mergeCell ref="A41:F41"/>
    <mergeCell ref="A34:F34"/>
    <mergeCell ref="A39:F39"/>
    <mergeCell ref="A36:F36"/>
    <mergeCell ref="A21:F21"/>
    <mergeCell ref="A32:F32"/>
    <mergeCell ref="A8:F8"/>
    <mergeCell ref="A22:F22"/>
    <mergeCell ref="A17:F17"/>
    <mergeCell ref="A20:F20"/>
    <mergeCell ref="A29:F29"/>
    <mergeCell ref="A10:F10"/>
    <mergeCell ref="A13:F13"/>
    <mergeCell ref="A16:F16"/>
    <mergeCell ref="A31:F31"/>
    <mergeCell ref="A30:F30"/>
    <mergeCell ref="A15:F15"/>
    <mergeCell ref="A24:F24"/>
    <mergeCell ref="A1:F1"/>
    <mergeCell ref="A6:F6"/>
    <mergeCell ref="A7:F7"/>
    <mergeCell ref="A25:F25"/>
    <mergeCell ref="A9:F9"/>
    <mergeCell ref="A11:F11"/>
    <mergeCell ref="A3:F3"/>
    <mergeCell ref="A14:F14"/>
    <mergeCell ref="A5:F5"/>
    <mergeCell ref="A23:F23"/>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0">
    <tabColor rgb="FFFFC000"/>
    <pageSetUpPr fitToPage="1"/>
  </sheetPr>
  <dimension ref="A1:V8"/>
  <sheetViews>
    <sheetView showGridLines="0" workbookViewId="0">
      <pane ySplit="1" topLeftCell="A2" activePane="bottomLeft" state="frozen"/>
      <selection pane="bottomLeft" activeCell="Q10" sqref="Q9:Q10"/>
    </sheetView>
  </sheetViews>
  <sheetFormatPr baseColWidth="10" defaultColWidth="9.140625" defaultRowHeight="15" x14ac:dyDescent="0.25"/>
  <cols>
    <col min="1" max="1" width="38" bestFit="1" customWidth="1"/>
    <col min="2" max="2" width="12.85546875" bestFit="1" customWidth="1"/>
    <col min="3" max="3" width="16.7109375" bestFit="1" customWidth="1"/>
    <col min="4" max="4" width="9.5703125" bestFit="1" customWidth="1"/>
    <col min="5" max="5" width="11.7109375" bestFit="1" customWidth="1"/>
    <col min="6" max="6" width="13.42578125" bestFit="1" customWidth="1"/>
    <col min="7" max="7" width="13.140625" bestFit="1" customWidth="1"/>
    <col min="8" max="8" width="9.85546875" bestFit="1" customWidth="1"/>
    <col min="9" max="9" width="9.42578125" bestFit="1" customWidth="1"/>
    <col min="10" max="10" width="9.5703125" bestFit="1" customWidth="1"/>
    <col min="11" max="11" width="11.7109375" bestFit="1" customWidth="1"/>
    <col min="12" max="13" width="8" customWidth="1"/>
    <col min="14" max="14" width="7.7109375" bestFit="1" customWidth="1"/>
    <col min="15" max="15" width="9.140625" bestFit="1" customWidth="1"/>
    <col min="16" max="16" width="8.28515625" bestFit="1" customWidth="1"/>
    <col min="17" max="17" width="6.5703125" bestFit="1" customWidth="1"/>
    <col min="18" max="19" width="11.85546875" bestFit="1" customWidth="1"/>
    <col min="20" max="20" width="13.140625" bestFit="1" customWidth="1"/>
    <col min="21" max="21" width="15" bestFit="1" customWidth="1"/>
    <col min="22" max="22" width="32.140625" bestFit="1" customWidth="1"/>
  </cols>
  <sheetData>
    <row r="1" spans="1:22" ht="30" customHeight="1" x14ac:dyDescent="0.25">
      <c r="A1" s="186" t="s">
        <v>181</v>
      </c>
      <c r="B1" s="164"/>
      <c r="C1" s="164"/>
      <c r="D1" s="164"/>
      <c r="E1" s="164"/>
      <c r="F1" s="164"/>
      <c r="G1" s="164"/>
      <c r="H1" s="164"/>
      <c r="I1" s="164"/>
      <c r="J1" s="164"/>
      <c r="K1" s="164"/>
      <c r="L1" s="164"/>
      <c r="M1" s="164"/>
      <c r="N1" s="164"/>
      <c r="O1" s="164"/>
      <c r="P1" s="164"/>
      <c r="Q1" s="164"/>
      <c r="R1" s="164"/>
      <c r="S1" s="164"/>
      <c r="T1" s="165"/>
    </row>
    <row r="2" spans="1:22" ht="30" customHeight="1" x14ac:dyDescent="0.25">
      <c r="A2" s="64" t="s">
        <v>182</v>
      </c>
      <c r="B2" s="64" t="s">
        <v>183</v>
      </c>
      <c r="C2" s="64" t="s">
        <v>184</v>
      </c>
      <c r="D2" s="64" t="s">
        <v>185</v>
      </c>
      <c r="E2" s="64" t="s">
        <v>186</v>
      </c>
      <c r="F2" s="64" t="s">
        <v>187</v>
      </c>
      <c r="G2" s="64" t="s">
        <v>188</v>
      </c>
      <c r="H2" s="64" t="s">
        <v>189</v>
      </c>
      <c r="I2" s="64" t="s">
        <v>190</v>
      </c>
      <c r="J2" s="64" t="s">
        <v>191</v>
      </c>
      <c r="K2" s="64" t="s">
        <v>192</v>
      </c>
      <c r="L2" s="64" t="s">
        <v>193</v>
      </c>
      <c r="M2" s="64" t="s">
        <v>194</v>
      </c>
      <c r="N2" s="64" t="s">
        <v>195</v>
      </c>
      <c r="O2" s="64" t="s">
        <v>196</v>
      </c>
      <c r="P2" s="64" t="s">
        <v>197</v>
      </c>
      <c r="Q2" s="64" t="s">
        <v>128</v>
      </c>
      <c r="R2" s="64" t="s">
        <v>198</v>
      </c>
      <c r="S2" s="64" t="s">
        <v>199</v>
      </c>
      <c r="T2" s="64" t="s">
        <v>200</v>
      </c>
      <c r="U2" s="65" t="s">
        <v>201</v>
      </c>
      <c r="V2" s="66" t="s">
        <v>202</v>
      </c>
    </row>
    <row r="3" spans="1:22" x14ac:dyDescent="0.25">
      <c r="A3" s="28" t="s">
        <v>182</v>
      </c>
      <c r="B3" s="28" t="s">
        <v>203</v>
      </c>
      <c r="C3" s="28" t="s">
        <v>183</v>
      </c>
      <c r="D3" s="28" t="s">
        <v>204</v>
      </c>
      <c r="E3" s="28" t="s">
        <v>205</v>
      </c>
      <c r="F3" s="28" t="s">
        <v>206</v>
      </c>
      <c r="G3" s="28" t="s">
        <v>207</v>
      </c>
      <c r="H3" s="28" t="s">
        <v>128</v>
      </c>
      <c r="I3" s="28" t="s">
        <v>197</v>
      </c>
      <c r="J3" s="28" t="s">
        <v>208</v>
      </c>
      <c r="K3" s="28" t="s">
        <v>209</v>
      </c>
      <c r="L3" s="1" t="s">
        <v>210</v>
      </c>
      <c r="M3" s="1" t="s">
        <v>210</v>
      </c>
      <c r="N3" s="1" t="s">
        <v>210</v>
      </c>
      <c r="O3" s="1" t="s">
        <v>211</v>
      </c>
      <c r="P3" s="1" t="s">
        <v>212</v>
      </c>
      <c r="Q3" s="1" t="s">
        <v>213</v>
      </c>
      <c r="R3" s="1" t="s">
        <v>214</v>
      </c>
      <c r="S3" s="1" t="s">
        <v>215</v>
      </c>
      <c r="T3" s="1" t="s">
        <v>216</v>
      </c>
      <c r="U3" s="37"/>
      <c r="V3" s="67" t="str">
        <f>IF(
ISNUMBER(SEARCH("PLC",H3)),"→ A0003: PLC",
IF(ISNUMBER(SEARCH("HMI",H3)),"→ A0002: HMI",
IF(ISNUMBER(SEARCH("SCADA",H3)),"→ A0002: HMI",
IF(ISNUMBER(SEARCH("SERVIDOR",H3)),"→ A0007: Control Server",
IF(ISNUMBER(SEARCH("ROUTER",H3)),"→ A0014: Router",
IF(ISNUMBER(SEARCH("SWITCH",H3)),"→ A0014: Router",
IF(ISNUMBER(SEARCH("PC",H3)),"→ A0001: Workstation",
IF(ISNUMBER(SEARCH("WORKSTATION",H3)),"→ A0001: Workstation",
IF(ISNUMBER(SEARCH("RTU",H3)),"→ A0004: RTU",
IF(ISNUMBER(SEARCH("HISTORIAN",H3)),"→ A0006: Historian",
"⚠️ Revisar manual"))))))))))</f>
        <v>⚠️ Revisar manual</v>
      </c>
    </row>
    <row r="4" spans="1:22" x14ac:dyDescent="0.25">
      <c r="A4" s="61" t="s">
        <v>217</v>
      </c>
      <c r="B4" s="61" t="s">
        <v>218</v>
      </c>
      <c r="C4" s="61" t="s">
        <v>219</v>
      </c>
      <c r="D4" s="61" t="s">
        <v>208</v>
      </c>
      <c r="E4" s="61" t="s">
        <v>209</v>
      </c>
      <c r="F4" s="61" t="s">
        <v>220</v>
      </c>
      <c r="G4" s="61" t="s">
        <v>221</v>
      </c>
      <c r="H4" s="61" t="s">
        <v>213</v>
      </c>
      <c r="I4" s="61" t="s">
        <v>222</v>
      </c>
      <c r="J4" s="61" t="s">
        <v>208</v>
      </c>
      <c r="K4" s="61" t="s">
        <v>209</v>
      </c>
      <c r="U4" s="37"/>
      <c r="V4" s="67" t="str">
        <f>IF(
ISNUMBER(SEARCH("PLC",H4)),"→ A0003: PLC",
IF(ISNUMBER(SEARCH("HMI",H4)),"→ A0002: HMI",
IF(ISNUMBER(SEARCH("SCADA",H4)),"→ A0002: HMI",
IF(ISNUMBER(SEARCH("SERVIDOR",H4)),"→ A0007: Control Server",
IF(ISNUMBER(SEARCH("ROUTER",H4)),"→ A0014: Router",
IF(ISNUMBER(SEARCH("SWITCH",H4)),"→ A0014: Router",
IF(ISNUMBER(SEARCH("PC",H4)),"→ A0001: Workstation",
IF(ISNUMBER(SEARCH("WORKSTATION",H4)),"→ A0001: Workstation",
IF(ISNUMBER(SEARCH("RTU",H4)),"→ A0004: RTU",
IF(ISNUMBER(SEARCH("HISTORIAN",H4)),"→ A0006: Historian",
"⚠️ Revisar manual"))))))))))</f>
        <v>⚠️ Revisar manual</v>
      </c>
    </row>
    <row r="5" spans="1:22" x14ac:dyDescent="0.25">
      <c r="A5" s="61" t="s">
        <v>223</v>
      </c>
      <c r="B5" s="61" t="s">
        <v>224</v>
      </c>
      <c r="C5" s="61" t="s">
        <v>225</v>
      </c>
      <c r="D5" s="61" t="s">
        <v>226</v>
      </c>
      <c r="E5" s="61" t="s">
        <v>227</v>
      </c>
      <c r="F5" s="61" t="s">
        <v>209</v>
      </c>
      <c r="G5" s="61" t="s">
        <v>228</v>
      </c>
      <c r="H5" s="61" t="s">
        <v>213</v>
      </c>
      <c r="I5" s="61" t="s">
        <v>222</v>
      </c>
      <c r="J5" s="61" t="s">
        <v>226</v>
      </c>
      <c r="K5" s="61" t="s">
        <v>229</v>
      </c>
      <c r="U5" s="37"/>
      <c r="V5" s="67" t="str">
        <f>IF(
ISNUMBER(SEARCH("PLC",H5)),"→ A0003: PLC",
IF(ISNUMBER(SEARCH("HMI",H5)),"→ A0002: HMI",
IF(ISNUMBER(SEARCH("SCADA",H5)),"→ A0002: HMI",
IF(ISNUMBER(SEARCH("SERVIDOR",H5)),"→ A0007: Control Server",
IF(ISNUMBER(SEARCH("ROUTER",H5)),"→ A0014: Router",
IF(ISNUMBER(SEARCH("SWITCH",H5)),"→ A0014: Router",
IF(ISNUMBER(SEARCH("PC",H5)),"→ A0001: Workstation",
IF(ISNUMBER(SEARCH("WORKSTATION",H5)),"→ A0001: Workstation",
IF(ISNUMBER(SEARCH("RTU",H5)),"→ A0004: RTU",
IF(ISNUMBER(SEARCH("HISTORIAN",H5)),"→ A0006: Historian",
"⚠️ Revisar manual"))))))))))</f>
        <v>⚠️ Revisar manual</v>
      </c>
    </row>
    <row r="6" spans="1:22" x14ac:dyDescent="0.25">
      <c r="A6" s="61" t="s">
        <v>230</v>
      </c>
      <c r="B6" s="61" t="s">
        <v>231</v>
      </c>
      <c r="C6" s="61" t="s">
        <v>232</v>
      </c>
      <c r="D6" s="61" t="s">
        <v>233</v>
      </c>
      <c r="E6" s="61" t="s">
        <v>234</v>
      </c>
      <c r="F6" s="61" t="s">
        <v>235</v>
      </c>
      <c r="G6" s="61" t="s">
        <v>236</v>
      </c>
      <c r="H6" s="61" t="s">
        <v>213</v>
      </c>
      <c r="I6" s="61" t="s">
        <v>222</v>
      </c>
      <c r="J6" s="61" t="s">
        <v>233</v>
      </c>
      <c r="K6" s="61" t="s">
        <v>237</v>
      </c>
      <c r="U6" s="37"/>
      <c r="V6" s="67" t="str">
        <f>IF(
ISNUMBER(SEARCH("PLC",H6)),"→ A0003: PLC",
IF(ISNUMBER(SEARCH("HMI",H6)),"→ A0002: HMI",
IF(ISNUMBER(SEARCH("SCADA",H6)),"→ A0002: HMI",
IF(ISNUMBER(SEARCH("SERVIDOR",H6)),"→ A0007: Control Server",
IF(ISNUMBER(SEARCH("ROUTER",H6)),"→ A0014: Router",
IF(ISNUMBER(SEARCH("SWITCH",H6)),"→ A0014: Router",
IF(ISNUMBER(SEARCH("PC",H6)),"→ A0001: Workstation",
IF(ISNUMBER(SEARCH("WORKSTATION",H6)),"→ A0001: Workstation",
IF(ISNUMBER(SEARCH("RTU",H6)),"→ A0004: RTU",
IF(ISNUMBER(SEARCH("HISTORIAN",H6)),"→ A0006: Historian",
"⚠️ Revisar manual"))))))))))</f>
        <v>⚠️ Revisar manual</v>
      </c>
    </row>
    <row r="7" spans="1:22" x14ac:dyDescent="0.25">
      <c r="A7" s="68" t="s">
        <v>238</v>
      </c>
      <c r="B7" s="69" t="s">
        <v>239</v>
      </c>
      <c r="C7" s="69" t="s">
        <v>232</v>
      </c>
      <c r="D7" s="69" t="s">
        <v>240</v>
      </c>
      <c r="E7" s="69" t="s">
        <v>234</v>
      </c>
      <c r="F7" s="69" t="s">
        <v>235</v>
      </c>
      <c r="G7" s="69" t="s">
        <v>241</v>
      </c>
      <c r="H7" s="69" t="s">
        <v>213</v>
      </c>
      <c r="I7" s="69" t="s">
        <v>242</v>
      </c>
      <c r="J7" s="69" t="s">
        <v>240</v>
      </c>
      <c r="K7" s="70" t="s">
        <v>243</v>
      </c>
      <c r="L7" s="69" t="s">
        <v>210</v>
      </c>
      <c r="M7" s="69" t="s">
        <v>210</v>
      </c>
      <c r="N7" s="69" t="s">
        <v>210</v>
      </c>
      <c r="O7" s="69" t="s">
        <v>211</v>
      </c>
      <c r="P7" s="69" t="s">
        <v>212</v>
      </c>
      <c r="Q7" s="69" t="s">
        <v>213</v>
      </c>
      <c r="R7" s="31">
        <v>45967</v>
      </c>
      <c r="S7" s="31">
        <v>45967</v>
      </c>
      <c r="T7" s="69" t="s">
        <v>244</v>
      </c>
      <c r="U7" s="37"/>
      <c r="V7" s="67" t="str">
        <f>IF(
ISNUMBER(SEARCH("PLC",H7)),"→ A0003: PLC",
IF(ISNUMBER(SEARCH("HMI",H7)),"→ A0002: HMI",
IF(ISNUMBER(SEARCH("SCADA",H7)),"→ A0002: HMI",
IF(ISNUMBER(SEARCH("SERVIDOR",H7)),"→ A0007: Control Server",
IF(ISNUMBER(SEARCH("ROUTER",H7)),"→ A0014: Router",
IF(ISNUMBER(SEARCH("SWITCH",H7)),"→ A0014: Router",
IF(ISNUMBER(SEARCH("PC",H7)),"→ A0001: Workstation",
IF(ISNUMBER(SEARCH("WORKSTATION",H7)),"→ A0001: Workstation",
IF(ISNUMBER(SEARCH("RTU",H7)),"→ A0004: RTU",
IF(ISNUMBER(SEARCH("HISTORIAN",H7)),"→ A0006: Historian",
"⚠️ Revisar manual"))))))))))</f>
        <v>⚠️ Revisar manual</v>
      </c>
    </row>
    <row r="8" spans="1:22" x14ac:dyDescent="0.25">
      <c r="A8" s="50" t="s">
        <v>245</v>
      </c>
      <c r="B8" s="48"/>
      <c r="C8" s="48"/>
      <c r="D8" s="48"/>
      <c r="E8" s="48"/>
      <c r="F8" s="48"/>
      <c r="G8" s="48"/>
      <c r="H8" s="48"/>
      <c r="I8" s="48"/>
      <c r="J8" s="48"/>
      <c r="K8" s="48"/>
      <c r="L8" s="48"/>
      <c r="M8" s="48"/>
      <c r="N8" s="48"/>
      <c r="O8" s="48"/>
      <c r="P8" s="48"/>
      <c r="Q8" s="51" t="s">
        <v>213</v>
      </c>
      <c r="R8" s="49">
        <v>45993</v>
      </c>
      <c r="S8" s="49">
        <v>45993</v>
      </c>
      <c r="T8" s="71" t="s">
        <v>244</v>
      </c>
    </row>
  </sheetData>
  <mergeCells count="1">
    <mergeCell ref="A1:T1"/>
  </mergeCells>
  <dataValidations count="13">
    <dataValidation type="list" allowBlank="1" errorTitle="Categoría Inválida" error="Valor no válido" promptTitle="Categorías disponibles" prompt="Seleccione una categoría" sqref="D4:D7" xr:uid="{00000000-0002-0000-0400-000000000000}">
      <formula1>"📋 Define las categorías principales para clasificar los activos de información,ID,1,2,3,4,5,6,7"</formula1>
    </dataValidation>
    <dataValidation type="list" allowBlank="1" errorTitle="Subcategoría Inválida" error="Valor no válido" sqref="E4:E7" xr:uid="{00000000-0002-0000-0400-000001000000}">
      <formula1>"Servidor,PC,Laptop,Móvil,Red,ERP,CRM,Base de Datos,Aplicación,Sistema Operativo,Clientes,Financiera,RRHH,Comercial,Cloud,Hosting,Internet,Telefonía"</formula1>
    </dataValidation>
    <dataValidation type="list" allowBlank="1" errorTitle="Área Inválida" error="Valor no válido" sqref="F4:F7" xr:uid="{00000000-0002-0000-0400-000002000000}">
      <formula1>"🏢 Define las áreas funcionales de la organización,ID,1,2,3,4,5,6,7,8"</formula1>
    </dataValidation>
    <dataValidation type="list" allowBlank="1" errorTitle="Clase Inválida" error="Valor no válido" sqref="J4:J7" xr:uid="{00000000-0002-0000-0400-000003000000}">
      <formula1>"🔐 Define los niveles de clasificación según criticidad y sensibilidad,ID,1,2,3,4,5"</formula1>
    </dataValidation>
    <dataValidation type="list" allowBlank="1" sqref="K4:K7" xr:uid="{00000000-0002-0000-0400-000004000000}">
      <formula1>"Crítico,Alto,Medio,Bajo,Normal,Básico"</formula1>
    </dataValidation>
    <dataValidation type="list" allowBlank="1" promptTitle="Nivel de Confidencialidad" prompt="A=Alta, M=Media, B=Baja" sqref="L4:L7" xr:uid="{00000000-0002-0000-0400-000005000000}">
      <formula1>"A,M,B"</formula1>
    </dataValidation>
    <dataValidation type="list" allowBlank="1" promptTitle="Nivel de Integridad" prompt="A=Alta, M=Media, B=Baja" sqref="M4:M7" xr:uid="{00000000-0002-0000-0400-000006000000}">
      <formula1>"A,M,B"</formula1>
    </dataValidation>
    <dataValidation type="list" allowBlank="1" promptTitle="Nivel de Disponibilidad" prompt="A=Alta, M=Media, B=Baja" sqref="N4:N7" xr:uid="{00000000-0002-0000-0400-000007000000}">
      <formula1>"A,M,B"</formula1>
    </dataValidation>
    <dataValidation type="list" allowBlank="1" promptTitle="Valoración del Activo" sqref="O4:O7" xr:uid="{00000000-0002-0000-0400-000008000000}">
      <formula1>"Muy Alta,Alta,Media,Baja,Muy Baja"</formula1>
    </dataValidation>
    <dataValidation type="list" allowBlank="1" promptTitle="Criticidad del Activo" sqref="P4:P7" xr:uid="{00000000-0002-0000-0400-000009000000}">
      <formula1>"Crítica,Alta,Media,Baja"</formula1>
    </dataValidation>
    <dataValidation type="list" sqref="Q4:Q7" xr:uid="{00000000-0002-0000-0400-00000A000000}">
      <formula1>"Activo,Inactivo,En Mantenimiento,Obsoleto"</formula1>
    </dataValidation>
    <dataValidation type="list" allowBlank="1" prompt="Seleccione una subcategoría" sqref="E4:E7" xr:uid="{00000000-0002-0000-0400-00000B000000}">
      <formula1>"Servidor,Estación de Trabajo,Laptop,Móvil,Tablet,Switch,Router,Firewall,Access Point,ERP,CRM,ERP,Base de Datos,Aplicación Web,Sistema Operativo,Clientes,Financiera,RRHH,Comercial,Técnica"</formula1>
    </dataValidation>
    <dataValidation type="list" allowBlank="1" sqref="K4:K7" xr:uid="{00000000-0002-0000-0400-00000C000000}">
      <formula1>"Muy Alto,Alto,Medio,Bajo,Muy Bajo"</formula1>
    </dataValidation>
  </dataValidations>
  <printOptions horizontalCentered="1" gridLines="1"/>
  <pageMargins left="0.5" right="0.5" top="0.5" bottom="0.5" header="0.29921259842519687" footer="0.29921259842519687"/>
  <pageSetup paperSize="9" scale="52" fitToHeight="0" orientation="landscape"/>
  <headerFooter>
    <oddHeader>&amp;L&amp;"Segoe UI,Bold"&amp;14 Activos&amp;R&amp;"Segoe UI"&amp;10 Fecha: &amp;D</oddHeader>
    <oddFooter>&amp;L&amp;"Segoe UI"&amp;9 SGSI - ISO 27001:2022&amp;R&amp;"Segoe UI"&amp;9 Página &amp;P de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2">
    <tabColor rgb="FFE74C3C"/>
  </sheetPr>
  <dimension ref="A1:I503"/>
  <sheetViews>
    <sheetView showGridLines="0" workbookViewId="0">
      <pane ySplit="1" topLeftCell="A2" activePane="bottomLeft" state="frozen"/>
      <selection pane="bottomLeft" activeCell="H3" sqref="H3:I4"/>
    </sheetView>
  </sheetViews>
  <sheetFormatPr baseColWidth="10" defaultColWidth="9.140625" defaultRowHeight="15" x14ac:dyDescent="0.25"/>
  <cols>
    <col min="1" max="1" width="50" customWidth="1"/>
    <col min="2" max="2" width="20" customWidth="1"/>
    <col min="3" max="3" width="45" customWidth="1"/>
    <col min="4" max="4" width="12" customWidth="1"/>
    <col min="5" max="5" width="15" customWidth="1"/>
    <col min="6" max="6" width="12" customWidth="1"/>
    <col min="7" max="8" width="15" customWidth="1"/>
    <col min="9" max="9" width="20" customWidth="1"/>
  </cols>
  <sheetData>
    <row r="1" spans="1:9" ht="30" customHeight="1" x14ac:dyDescent="0.25">
      <c r="A1" s="186" t="s">
        <v>246</v>
      </c>
      <c r="B1" s="164"/>
      <c r="C1" s="164"/>
      <c r="D1" s="164"/>
      <c r="E1" s="164"/>
      <c r="F1" s="164"/>
      <c r="G1" s="165"/>
    </row>
    <row r="3" spans="1:9" x14ac:dyDescent="0.25">
      <c r="A3" s="196" t="s">
        <v>247</v>
      </c>
      <c r="B3" s="139"/>
      <c r="C3" s="139"/>
      <c r="D3" s="139"/>
      <c r="E3" s="139"/>
      <c r="F3" s="139"/>
      <c r="G3" s="139"/>
    </row>
    <row r="5" spans="1:9" ht="30" customHeight="1" x14ac:dyDescent="0.25">
      <c r="A5" s="72" t="s">
        <v>182</v>
      </c>
      <c r="B5" s="72" t="s">
        <v>250</v>
      </c>
      <c r="C5" s="72" t="s">
        <v>184</v>
      </c>
      <c r="D5" s="72" t="s">
        <v>205</v>
      </c>
      <c r="E5" s="72" t="s">
        <v>251</v>
      </c>
      <c r="F5" s="72" t="s">
        <v>126</v>
      </c>
      <c r="G5" s="72" t="s">
        <v>252</v>
      </c>
      <c r="H5" s="34" t="s">
        <v>248</v>
      </c>
      <c r="I5" s="65" t="s">
        <v>249</v>
      </c>
    </row>
    <row r="6" spans="1:9" ht="30" customHeight="1" x14ac:dyDescent="0.25">
      <c r="A6" s="1" t="s">
        <v>253</v>
      </c>
      <c r="B6" s="1" t="s">
        <v>254</v>
      </c>
      <c r="C6" s="73" t="s">
        <v>255</v>
      </c>
      <c r="D6" s="1" t="s">
        <v>256</v>
      </c>
      <c r="E6" s="1" t="s">
        <v>257</v>
      </c>
      <c r="F6" s="3" t="s">
        <v>134</v>
      </c>
      <c r="G6" s="1" t="s">
        <v>258</v>
      </c>
      <c r="I6" s="37"/>
    </row>
    <row r="7" spans="1:9" x14ac:dyDescent="0.25">
      <c r="A7" s="1" t="s">
        <v>259</v>
      </c>
      <c r="B7" s="1" t="s">
        <v>260</v>
      </c>
      <c r="C7" s="73" t="s">
        <v>261</v>
      </c>
      <c r="D7" s="1" t="s">
        <v>256</v>
      </c>
      <c r="E7" s="1" t="s">
        <v>257</v>
      </c>
      <c r="F7" s="3" t="s">
        <v>134</v>
      </c>
      <c r="G7" s="1" t="s">
        <v>262</v>
      </c>
      <c r="I7" s="37"/>
    </row>
    <row r="8" spans="1:9" x14ac:dyDescent="0.25">
      <c r="A8" s="1" t="s">
        <v>263</v>
      </c>
      <c r="B8" s="1" t="s">
        <v>264</v>
      </c>
      <c r="C8" s="73" t="s">
        <v>265</v>
      </c>
      <c r="D8" s="1" t="s">
        <v>256</v>
      </c>
      <c r="E8" s="1" t="s">
        <v>257</v>
      </c>
      <c r="F8" s="74" t="s">
        <v>136</v>
      </c>
      <c r="G8" s="1" t="s">
        <v>266</v>
      </c>
      <c r="I8" s="37"/>
    </row>
    <row r="9" spans="1:9" ht="30" customHeight="1" x14ac:dyDescent="0.25">
      <c r="A9" s="1" t="s">
        <v>267</v>
      </c>
      <c r="B9" s="1" t="s">
        <v>268</v>
      </c>
      <c r="C9" s="73" t="s">
        <v>269</v>
      </c>
      <c r="D9" s="1" t="s">
        <v>256</v>
      </c>
      <c r="E9" s="1" t="s">
        <v>270</v>
      </c>
      <c r="F9" s="12" t="s">
        <v>131</v>
      </c>
      <c r="G9" s="1" t="s">
        <v>271</v>
      </c>
      <c r="I9" s="37"/>
    </row>
    <row r="10" spans="1:9" x14ac:dyDescent="0.25">
      <c r="A10" s="1" t="s">
        <v>272</v>
      </c>
      <c r="B10" s="1" t="s">
        <v>273</v>
      </c>
      <c r="C10" s="73" t="s">
        <v>274</v>
      </c>
      <c r="D10" s="1" t="s">
        <v>275</v>
      </c>
      <c r="E10" s="1" t="s">
        <v>276</v>
      </c>
      <c r="F10" s="3" t="s">
        <v>134</v>
      </c>
      <c r="G10" s="1" t="s">
        <v>277</v>
      </c>
      <c r="I10" s="37"/>
    </row>
    <row r="11" spans="1:9" x14ac:dyDescent="0.25">
      <c r="A11" s="1" t="s">
        <v>278</v>
      </c>
      <c r="B11" s="1" t="s">
        <v>279</v>
      </c>
      <c r="C11" s="1" t="s">
        <v>280</v>
      </c>
      <c r="D11" s="1" t="s">
        <v>281</v>
      </c>
      <c r="E11" s="1" t="s">
        <v>282</v>
      </c>
      <c r="F11" s="74" t="s">
        <v>136</v>
      </c>
      <c r="G11" s="1" t="s">
        <v>283</v>
      </c>
      <c r="I11" s="37"/>
    </row>
    <row r="12" spans="1:9" x14ac:dyDescent="0.25">
      <c r="A12" s="1" t="s">
        <v>284</v>
      </c>
      <c r="B12" s="1" t="s">
        <v>285</v>
      </c>
      <c r="C12" s="1" t="s">
        <v>286</v>
      </c>
      <c r="D12" s="1" t="s">
        <v>281</v>
      </c>
      <c r="E12" s="1" t="s">
        <v>282</v>
      </c>
      <c r="F12" s="3" t="s">
        <v>134</v>
      </c>
      <c r="G12" s="1" t="s">
        <v>283</v>
      </c>
      <c r="I12" s="37"/>
    </row>
    <row r="13" spans="1:9" x14ac:dyDescent="0.25">
      <c r="A13" s="1" t="s">
        <v>287</v>
      </c>
      <c r="B13" s="1" t="s">
        <v>288</v>
      </c>
      <c r="C13" s="73" t="s">
        <v>289</v>
      </c>
      <c r="D13" s="1" t="s">
        <v>275</v>
      </c>
      <c r="E13" s="1" t="s">
        <v>276</v>
      </c>
      <c r="F13" s="74" t="s">
        <v>136</v>
      </c>
      <c r="G13" s="1" t="s">
        <v>283</v>
      </c>
      <c r="I13" s="37"/>
    </row>
    <row r="14" spans="1:9" x14ac:dyDescent="0.25">
      <c r="I14" s="37"/>
    </row>
    <row r="15" spans="1:9" x14ac:dyDescent="0.25">
      <c r="I15" s="37"/>
    </row>
    <row r="16" spans="1:9" x14ac:dyDescent="0.25">
      <c r="I16" s="37"/>
    </row>
    <row r="17" spans="9:9" x14ac:dyDescent="0.25">
      <c r="I17" s="37"/>
    </row>
    <row r="18" spans="9:9" x14ac:dyDescent="0.25">
      <c r="I18" s="37"/>
    </row>
    <row r="19" spans="9:9" x14ac:dyDescent="0.25">
      <c r="I19" s="37"/>
    </row>
    <row r="20" spans="9:9" x14ac:dyDescent="0.25">
      <c r="I20" s="37"/>
    </row>
    <row r="21" spans="9:9" x14ac:dyDescent="0.25">
      <c r="I21" s="37"/>
    </row>
    <row r="22" spans="9:9" x14ac:dyDescent="0.25">
      <c r="I22" s="37"/>
    </row>
    <row r="23" spans="9:9" x14ac:dyDescent="0.25">
      <c r="I23" s="37"/>
    </row>
    <row r="24" spans="9:9" x14ac:dyDescent="0.25">
      <c r="I24" s="37"/>
    </row>
    <row r="25" spans="9:9" x14ac:dyDescent="0.25">
      <c r="I25" s="37"/>
    </row>
    <row r="26" spans="9:9" x14ac:dyDescent="0.25">
      <c r="I26" s="37"/>
    </row>
    <row r="27" spans="9:9" x14ac:dyDescent="0.25">
      <c r="I27" s="37"/>
    </row>
    <row r="28" spans="9:9" x14ac:dyDescent="0.25">
      <c r="I28" s="37"/>
    </row>
    <row r="29" spans="9:9" x14ac:dyDescent="0.25">
      <c r="I29" s="37"/>
    </row>
    <row r="30" spans="9:9" x14ac:dyDescent="0.25">
      <c r="I30" s="37"/>
    </row>
    <row r="31" spans="9:9" x14ac:dyDescent="0.25">
      <c r="I31" s="37"/>
    </row>
    <row r="32" spans="9:9" x14ac:dyDescent="0.25">
      <c r="I32" s="37"/>
    </row>
    <row r="33" spans="9:9" x14ac:dyDescent="0.25">
      <c r="I33" s="37"/>
    </row>
    <row r="34" spans="9:9" x14ac:dyDescent="0.25">
      <c r="I34" s="37"/>
    </row>
    <row r="35" spans="9:9" x14ac:dyDescent="0.25">
      <c r="I35" s="37"/>
    </row>
    <row r="36" spans="9:9" x14ac:dyDescent="0.25">
      <c r="I36" s="37"/>
    </row>
    <row r="37" spans="9:9" x14ac:dyDescent="0.25">
      <c r="I37" s="37"/>
    </row>
    <row r="38" spans="9:9" x14ac:dyDescent="0.25">
      <c r="I38" s="37"/>
    </row>
    <row r="39" spans="9:9" x14ac:dyDescent="0.25">
      <c r="I39" s="37"/>
    </row>
    <row r="40" spans="9:9" x14ac:dyDescent="0.25">
      <c r="I40" s="37"/>
    </row>
    <row r="41" spans="9:9" x14ac:dyDescent="0.25">
      <c r="I41" s="37"/>
    </row>
    <row r="42" spans="9:9" x14ac:dyDescent="0.25">
      <c r="I42" s="37"/>
    </row>
    <row r="43" spans="9:9" x14ac:dyDescent="0.25">
      <c r="I43" s="37"/>
    </row>
    <row r="44" spans="9:9" x14ac:dyDescent="0.25">
      <c r="I44" s="37"/>
    </row>
    <row r="45" spans="9:9" x14ac:dyDescent="0.25">
      <c r="I45" s="37"/>
    </row>
    <row r="46" spans="9:9" x14ac:dyDescent="0.25">
      <c r="I46" s="37"/>
    </row>
    <row r="47" spans="9:9" x14ac:dyDescent="0.25">
      <c r="I47" s="37"/>
    </row>
    <row r="48" spans="9:9" x14ac:dyDescent="0.25">
      <c r="I48" s="37"/>
    </row>
    <row r="49" spans="1:9" x14ac:dyDescent="0.25">
      <c r="I49" s="37"/>
    </row>
    <row r="50" spans="1:9" x14ac:dyDescent="0.25">
      <c r="A50" s="197" t="s">
        <v>290</v>
      </c>
      <c r="B50" s="139"/>
      <c r="C50" s="139"/>
      <c r="I50" s="37"/>
    </row>
    <row r="51" spans="1:9" x14ac:dyDescent="0.25">
      <c r="I51" s="37"/>
    </row>
    <row r="52" spans="1:9" x14ac:dyDescent="0.25">
      <c r="A52" s="75" t="s">
        <v>256</v>
      </c>
      <c r="B52" s="193" t="s">
        <v>291</v>
      </c>
      <c r="C52" s="194"/>
      <c r="D52" s="195"/>
      <c r="I52" s="37"/>
    </row>
    <row r="53" spans="1:9" x14ac:dyDescent="0.25">
      <c r="A53" s="75" t="s">
        <v>275</v>
      </c>
      <c r="B53" s="193" t="s">
        <v>292</v>
      </c>
      <c r="C53" s="194"/>
      <c r="D53" s="195"/>
      <c r="I53" s="37"/>
    </row>
    <row r="54" spans="1:9" x14ac:dyDescent="0.25">
      <c r="A54" s="75" t="s">
        <v>281</v>
      </c>
      <c r="B54" s="193" t="s">
        <v>293</v>
      </c>
      <c r="C54" s="194"/>
      <c r="D54" s="195"/>
      <c r="I54" s="37"/>
    </row>
    <row r="55" spans="1:9" x14ac:dyDescent="0.25">
      <c r="I55" s="37"/>
    </row>
    <row r="56" spans="1:9" x14ac:dyDescent="0.25">
      <c r="I56" s="37"/>
    </row>
    <row r="57" spans="1:9" x14ac:dyDescent="0.25">
      <c r="I57" s="37"/>
    </row>
    <row r="58" spans="1:9" x14ac:dyDescent="0.25">
      <c r="I58" s="37"/>
    </row>
    <row r="59" spans="1:9" x14ac:dyDescent="0.25">
      <c r="I59" s="37"/>
    </row>
    <row r="60" spans="1:9" x14ac:dyDescent="0.25">
      <c r="I60" s="37"/>
    </row>
    <row r="61" spans="1:9" x14ac:dyDescent="0.25">
      <c r="I61" s="37"/>
    </row>
    <row r="62" spans="1:9" x14ac:dyDescent="0.25">
      <c r="I62" s="37"/>
    </row>
    <row r="63" spans="1:9" x14ac:dyDescent="0.25">
      <c r="I63" s="37"/>
    </row>
    <row r="64" spans="1:9" x14ac:dyDescent="0.25">
      <c r="I64" s="37"/>
    </row>
    <row r="65" spans="9:9" x14ac:dyDescent="0.25">
      <c r="I65" s="37"/>
    </row>
    <row r="66" spans="9:9" x14ac:dyDescent="0.25">
      <c r="I66" s="37"/>
    </row>
    <row r="67" spans="9:9" x14ac:dyDescent="0.25">
      <c r="I67" s="37"/>
    </row>
    <row r="68" spans="9:9" x14ac:dyDescent="0.25">
      <c r="I68" s="37"/>
    </row>
    <row r="69" spans="9:9" x14ac:dyDescent="0.25">
      <c r="I69" s="37"/>
    </row>
    <row r="70" spans="9:9" x14ac:dyDescent="0.25">
      <c r="I70" s="37"/>
    </row>
    <row r="71" spans="9:9" x14ac:dyDescent="0.25">
      <c r="I71" s="37"/>
    </row>
    <row r="72" spans="9:9" x14ac:dyDescent="0.25">
      <c r="I72" s="37"/>
    </row>
    <row r="73" spans="9:9" x14ac:dyDescent="0.25">
      <c r="I73" s="37"/>
    </row>
    <row r="74" spans="9:9" x14ac:dyDescent="0.25">
      <c r="I74" s="37"/>
    </row>
    <row r="75" spans="9:9" x14ac:dyDescent="0.25">
      <c r="I75" s="37"/>
    </row>
    <row r="76" spans="9:9" x14ac:dyDescent="0.25">
      <c r="I76" s="37"/>
    </row>
    <row r="77" spans="9:9" x14ac:dyDescent="0.25">
      <c r="I77" s="37"/>
    </row>
    <row r="78" spans="9:9" x14ac:dyDescent="0.25">
      <c r="I78" s="37"/>
    </row>
    <row r="79" spans="9:9" x14ac:dyDescent="0.25">
      <c r="I79" s="37"/>
    </row>
    <row r="80" spans="9:9" x14ac:dyDescent="0.25">
      <c r="I80" s="37"/>
    </row>
    <row r="81" spans="9:9" x14ac:dyDescent="0.25">
      <c r="I81" s="37"/>
    </row>
    <row r="82" spans="9:9" x14ac:dyDescent="0.25">
      <c r="I82" s="37"/>
    </row>
    <row r="83" spans="9:9" x14ac:dyDescent="0.25">
      <c r="I83" s="37"/>
    </row>
    <row r="84" spans="9:9" x14ac:dyDescent="0.25">
      <c r="I84" s="37"/>
    </row>
    <row r="85" spans="9:9" x14ac:dyDescent="0.25">
      <c r="I85" s="37"/>
    </row>
    <row r="86" spans="9:9" x14ac:dyDescent="0.25">
      <c r="I86" s="37"/>
    </row>
    <row r="87" spans="9:9" x14ac:dyDescent="0.25">
      <c r="I87" s="37"/>
    </row>
    <row r="88" spans="9:9" x14ac:dyDescent="0.25">
      <c r="I88" s="37"/>
    </row>
    <row r="89" spans="9:9" x14ac:dyDescent="0.25">
      <c r="I89" s="37"/>
    </row>
    <row r="90" spans="9:9" x14ac:dyDescent="0.25">
      <c r="I90" s="37"/>
    </row>
    <row r="91" spans="9:9" x14ac:dyDescent="0.25">
      <c r="I91" s="37"/>
    </row>
    <row r="92" spans="9:9" x14ac:dyDescent="0.25">
      <c r="I92" s="37"/>
    </row>
    <row r="93" spans="9:9" x14ac:dyDescent="0.25">
      <c r="I93" s="37"/>
    </row>
    <row r="94" spans="9:9" x14ac:dyDescent="0.25">
      <c r="I94" s="37"/>
    </row>
    <row r="95" spans="9:9" x14ac:dyDescent="0.25">
      <c r="I95" s="37"/>
    </row>
    <row r="96" spans="9:9" x14ac:dyDescent="0.25">
      <c r="I96" s="37"/>
    </row>
    <row r="97" spans="9:9" x14ac:dyDescent="0.25">
      <c r="I97" s="37"/>
    </row>
    <row r="98" spans="9:9" x14ac:dyDescent="0.25">
      <c r="I98" s="37"/>
    </row>
    <row r="99" spans="9:9" x14ac:dyDescent="0.25">
      <c r="I99" s="37"/>
    </row>
    <row r="100" spans="9:9" x14ac:dyDescent="0.25">
      <c r="I100" s="37"/>
    </row>
    <row r="101" spans="9:9" x14ac:dyDescent="0.25">
      <c r="I101" s="37"/>
    </row>
    <row r="102" spans="9:9" x14ac:dyDescent="0.25">
      <c r="I102" s="37"/>
    </row>
    <row r="103" spans="9:9" x14ac:dyDescent="0.25">
      <c r="I103" s="37"/>
    </row>
    <row r="104" spans="9:9" x14ac:dyDescent="0.25">
      <c r="I104" s="37"/>
    </row>
    <row r="105" spans="9:9" x14ac:dyDescent="0.25">
      <c r="I105" s="37"/>
    </row>
    <row r="106" spans="9:9" x14ac:dyDescent="0.25">
      <c r="I106" s="37"/>
    </row>
    <row r="107" spans="9:9" x14ac:dyDescent="0.25">
      <c r="I107" s="37"/>
    </row>
    <row r="108" spans="9:9" x14ac:dyDescent="0.25">
      <c r="I108" s="37"/>
    </row>
    <row r="109" spans="9:9" x14ac:dyDescent="0.25">
      <c r="I109" s="37"/>
    </row>
    <row r="110" spans="9:9" x14ac:dyDescent="0.25">
      <c r="I110" s="37"/>
    </row>
    <row r="111" spans="9:9" x14ac:dyDescent="0.25">
      <c r="I111" s="37"/>
    </row>
    <row r="112" spans="9:9" x14ac:dyDescent="0.25">
      <c r="I112" s="37"/>
    </row>
    <row r="113" spans="9:9" x14ac:dyDescent="0.25">
      <c r="I113" s="37"/>
    </row>
    <row r="114" spans="9:9" x14ac:dyDescent="0.25">
      <c r="I114" s="37"/>
    </row>
    <row r="115" spans="9:9" x14ac:dyDescent="0.25">
      <c r="I115" s="37"/>
    </row>
    <row r="116" spans="9:9" x14ac:dyDescent="0.25">
      <c r="I116" s="37"/>
    </row>
    <row r="117" spans="9:9" x14ac:dyDescent="0.25">
      <c r="I117" s="37"/>
    </row>
    <row r="118" spans="9:9" x14ac:dyDescent="0.25">
      <c r="I118" s="37"/>
    </row>
    <row r="119" spans="9:9" x14ac:dyDescent="0.25">
      <c r="I119" s="37"/>
    </row>
    <row r="120" spans="9:9" x14ac:dyDescent="0.25">
      <c r="I120" s="37"/>
    </row>
    <row r="121" spans="9:9" x14ac:dyDescent="0.25">
      <c r="I121" s="37"/>
    </row>
    <row r="122" spans="9:9" x14ac:dyDescent="0.25">
      <c r="I122" s="37"/>
    </row>
    <row r="123" spans="9:9" x14ac:dyDescent="0.25">
      <c r="I123" s="37"/>
    </row>
    <row r="124" spans="9:9" x14ac:dyDescent="0.25">
      <c r="I124" s="37"/>
    </row>
    <row r="125" spans="9:9" x14ac:dyDescent="0.25">
      <c r="I125" s="37"/>
    </row>
    <row r="126" spans="9:9" x14ac:dyDescent="0.25">
      <c r="I126" s="37"/>
    </row>
    <row r="127" spans="9:9" x14ac:dyDescent="0.25">
      <c r="I127" s="37"/>
    </row>
    <row r="128" spans="9:9" x14ac:dyDescent="0.25">
      <c r="I128" s="37"/>
    </row>
    <row r="129" spans="9:9" x14ac:dyDescent="0.25">
      <c r="I129" s="37"/>
    </row>
    <row r="130" spans="9:9" x14ac:dyDescent="0.25">
      <c r="I130" s="37"/>
    </row>
    <row r="131" spans="9:9" x14ac:dyDescent="0.25">
      <c r="I131" s="37"/>
    </row>
    <row r="132" spans="9:9" x14ac:dyDescent="0.25">
      <c r="I132" s="37"/>
    </row>
    <row r="133" spans="9:9" x14ac:dyDescent="0.25">
      <c r="I133" s="37"/>
    </row>
    <row r="134" spans="9:9" x14ac:dyDescent="0.25">
      <c r="I134" s="37"/>
    </row>
    <row r="135" spans="9:9" x14ac:dyDescent="0.25">
      <c r="I135" s="37"/>
    </row>
    <row r="136" spans="9:9" x14ac:dyDescent="0.25">
      <c r="I136" s="37"/>
    </row>
    <row r="137" spans="9:9" x14ac:dyDescent="0.25">
      <c r="I137" s="37"/>
    </row>
    <row r="138" spans="9:9" x14ac:dyDescent="0.25">
      <c r="I138" s="37"/>
    </row>
    <row r="139" spans="9:9" x14ac:dyDescent="0.25">
      <c r="I139" s="37"/>
    </row>
    <row r="140" spans="9:9" x14ac:dyDescent="0.25">
      <c r="I140" s="37"/>
    </row>
    <row r="141" spans="9:9" x14ac:dyDescent="0.25">
      <c r="I141" s="37"/>
    </row>
    <row r="142" spans="9:9" x14ac:dyDescent="0.25">
      <c r="I142" s="37"/>
    </row>
    <row r="143" spans="9:9" x14ac:dyDescent="0.25">
      <c r="I143" s="37"/>
    </row>
    <row r="144" spans="9:9" x14ac:dyDescent="0.25">
      <c r="I144" s="37"/>
    </row>
    <row r="145" spans="9:9" x14ac:dyDescent="0.25">
      <c r="I145" s="37"/>
    </row>
    <row r="146" spans="9:9" x14ac:dyDescent="0.25">
      <c r="I146" s="37"/>
    </row>
    <row r="147" spans="9:9" x14ac:dyDescent="0.25">
      <c r="I147" s="37"/>
    </row>
    <row r="148" spans="9:9" x14ac:dyDescent="0.25">
      <c r="I148" s="37"/>
    </row>
    <row r="149" spans="9:9" x14ac:dyDescent="0.25">
      <c r="I149" s="37"/>
    </row>
    <row r="150" spans="9:9" x14ac:dyDescent="0.25">
      <c r="I150" s="37"/>
    </row>
    <row r="151" spans="9:9" x14ac:dyDescent="0.25">
      <c r="I151" s="37"/>
    </row>
    <row r="152" spans="9:9" x14ac:dyDescent="0.25">
      <c r="I152" s="37"/>
    </row>
    <row r="153" spans="9:9" x14ac:dyDescent="0.25">
      <c r="I153" s="37"/>
    </row>
    <row r="154" spans="9:9" x14ac:dyDescent="0.25">
      <c r="I154" s="37"/>
    </row>
    <row r="155" spans="9:9" x14ac:dyDescent="0.25">
      <c r="I155" s="37"/>
    </row>
    <row r="156" spans="9:9" x14ac:dyDescent="0.25">
      <c r="I156" s="37"/>
    </row>
    <row r="157" spans="9:9" x14ac:dyDescent="0.25">
      <c r="I157" s="37"/>
    </row>
    <row r="158" spans="9:9" x14ac:dyDescent="0.25">
      <c r="I158" s="37"/>
    </row>
    <row r="159" spans="9:9" x14ac:dyDescent="0.25">
      <c r="I159" s="37"/>
    </row>
    <row r="160" spans="9:9" x14ac:dyDescent="0.25">
      <c r="I160" s="37"/>
    </row>
    <row r="161" spans="9:9" x14ac:dyDescent="0.25">
      <c r="I161" s="37"/>
    </row>
    <row r="162" spans="9:9" x14ac:dyDescent="0.25">
      <c r="I162" s="37"/>
    </row>
    <row r="163" spans="9:9" x14ac:dyDescent="0.25">
      <c r="I163" s="37"/>
    </row>
    <row r="164" spans="9:9" x14ac:dyDescent="0.25">
      <c r="I164" s="37"/>
    </row>
    <row r="165" spans="9:9" x14ac:dyDescent="0.25">
      <c r="I165" s="37"/>
    </row>
    <row r="166" spans="9:9" x14ac:dyDescent="0.25">
      <c r="I166" s="37"/>
    </row>
    <row r="167" spans="9:9" x14ac:dyDescent="0.25">
      <c r="I167" s="37"/>
    </row>
    <row r="168" spans="9:9" x14ac:dyDescent="0.25">
      <c r="I168" s="37"/>
    </row>
    <row r="169" spans="9:9" x14ac:dyDescent="0.25">
      <c r="I169" s="37"/>
    </row>
    <row r="170" spans="9:9" x14ac:dyDescent="0.25">
      <c r="I170" s="37"/>
    </row>
    <row r="171" spans="9:9" x14ac:dyDescent="0.25">
      <c r="I171" s="37"/>
    </row>
    <row r="172" spans="9:9" x14ac:dyDescent="0.25">
      <c r="I172" s="37"/>
    </row>
    <row r="173" spans="9:9" x14ac:dyDescent="0.25">
      <c r="I173" s="37"/>
    </row>
    <row r="174" spans="9:9" x14ac:dyDescent="0.25">
      <c r="I174" s="37"/>
    </row>
    <row r="175" spans="9:9" x14ac:dyDescent="0.25">
      <c r="I175" s="37"/>
    </row>
    <row r="176" spans="9:9" x14ac:dyDescent="0.25">
      <c r="I176" s="37"/>
    </row>
    <row r="177" spans="9:9" x14ac:dyDescent="0.25">
      <c r="I177" s="37"/>
    </row>
    <row r="178" spans="9:9" x14ac:dyDescent="0.25">
      <c r="I178" s="37"/>
    </row>
    <row r="179" spans="9:9" x14ac:dyDescent="0.25">
      <c r="I179" s="37"/>
    </row>
    <row r="180" spans="9:9" x14ac:dyDescent="0.25">
      <c r="I180" s="37"/>
    </row>
    <row r="181" spans="9:9" x14ac:dyDescent="0.25">
      <c r="I181" s="37"/>
    </row>
    <row r="182" spans="9:9" x14ac:dyDescent="0.25">
      <c r="I182" s="37"/>
    </row>
    <row r="183" spans="9:9" x14ac:dyDescent="0.25">
      <c r="I183" s="37"/>
    </row>
    <row r="184" spans="9:9" x14ac:dyDescent="0.25">
      <c r="I184" s="37"/>
    </row>
    <row r="185" spans="9:9" x14ac:dyDescent="0.25">
      <c r="I185" s="37"/>
    </row>
    <row r="186" spans="9:9" x14ac:dyDescent="0.25">
      <c r="I186" s="37"/>
    </row>
    <row r="187" spans="9:9" x14ac:dyDescent="0.25">
      <c r="I187" s="37"/>
    </row>
    <row r="188" spans="9:9" x14ac:dyDescent="0.25">
      <c r="I188" s="37"/>
    </row>
    <row r="189" spans="9:9" x14ac:dyDescent="0.25">
      <c r="I189" s="37"/>
    </row>
    <row r="190" spans="9:9" x14ac:dyDescent="0.25">
      <c r="I190" s="37"/>
    </row>
    <row r="191" spans="9:9" x14ac:dyDescent="0.25">
      <c r="I191" s="37"/>
    </row>
    <row r="192" spans="9:9" x14ac:dyDescent="0.25">
      <c r="I192" s="37"/>
    </row>
    <row r="193" spans="9:9" x14ac:dyDescent="0.25">
      <c r="I193" s="37"/>
    </row>
    <row r="194" spans="9:9" x14ac:dyDescent="0.25">
      <c r="I194" s="37"/>
    </row>
    <row r="195" spans="9:9" x14ac:dyDescent="0.25">
      <c r="I195" s="37"/>
    </row>
    <row r="196" spans="9:9" x14ac:dyDescent="0.25">
      <c r="I196" s="37"/>
    </row>
    <row r="197" spans="9:9" x14ac:dyDescent="0.25">
      <c r="I197" s="37"/>
    </row>
    <row r="198" spans="9:9" x14ac:dyDescent="0.25">
      <c r="I198" s="37"/>
    </row>
    <row r="199" spans="9:9" x14ac:dyDescent="0.25">
      <c r="I199" s="37"/>
    </row>
    <row r="200" spans="9:9" x14ac:dyDescent="0.25">
      <c r="I200" s="37"/>
    </row>
    <row r="201" spans="9:9" x14ac:dyDescent="0.25">
      <c r="I201" s="37"/>
    </row>
    <row r="202" spans="9:9" x14ac:dyDescent="0.25">
      <c r="I202" s="37"/>
    </row>
    <row r="203" spans="9:9" x14ac:dyDescent="0.25">
      <c r="I203" s="37"/>
    </row>
    <row r="204" spans="9:9" x14ac:dyDescent="0.25">
      <c r="I204" s="37"/>
    </row>
    <row r="205" spans="9:9" x14ac:dyDescent="0.25">
      <c r="I205" s="37"/>
    </row>
    <row r="206" spans="9:9" x14ac:dyDescent="0.25">
      <c r="I206" s="37"/>
    </row>
    <row r="207" spans="9:9" x14ac:dyDescent="0.25">
      <c r="I207" s="37"/>
    </row>
    <row r="208" spans="9:9" x14ac:dyDescent="0.25">
      <c r="I208" s="37"/>
    </row>
    <row r="209" spans="9:9" x14ac:dyDescent="0.25">
      <c r="I209" s="37"/>
    </row>
    <row r="210" spans="9:9" x14ac:dyDescent="0.25">
      <c r="I210" s="37"/>
    </row>
    <row r="211" spans="9:9" x14ac:dyDescent="0.25">
      <c r="I211" s="37"/>
    </row>
    <row r="212" spans="9:9" x14ac:dyDescent="0.25">
      <c r="I212" s="37"/>
    </row>
    <row r="213" spans="9:9" x14ac:dyDescent="0.25">
      <c r="I213" s="37"/>
    </row>
    <row r="214" spans="9:9" x14ac:dyDescent="0.25">
      <c r="I214" s="37"/>
    </row>
    <row r="215" spans="9:9" x14ac:dyDescent="0.25">
      <c r="I215" s="37"/>
    </row>
    <row r="216" spans="9:9" x14ac:dyDescent="0.25">
      <c r="I216" s="37"/>
    </row>
    <row r="217" spans="9:9" x14ac:dyDescent="0.25">
      <c r="I217" s="37"/>
    </row>
    <row r="218" spans="9:9" x14ac:dyDescent="0.25">
      <c r="I218" s="37"/>
    </row>
    <row r="219" spans="9:9" x14ac:dyDescent="0.25">
      <c r="I219" s="37"/>
    </row>
    <row r="220" spans="9:9" x14ac:dyDescent="0.25">
      <c r="I220" s="37"/>
    </row>
    <row r="221" spans="9:9" x14ac:dyDescent="0.25">
      <c r="I221" s="37"/>
    </row>
    <row r="222" spans="9:9" x14ac:dyDescent="0.25">
      <c r="I222" s="37"/>
    </row>
    <row r="223" spans="9:9" x14ac:dyDescent="0.25">
      <c r="I223" s="37"/>
    </row>
    <row r="224" spans="9:9" x14ac:dyDescent="0.25">
      <c r="I224" s="37"/>
    </row>
    <row r="225" spans="9:9" x14ac:dyDescent="0.25">
      <c r="I225" s="37"/>
    </row>
    <row r="226" spans="9:9" x14ac:dyDescent="0.25">
      <c r="I226" s="37"/>
    </row>
    <row r="227" spans="9:9" x14ac:dyDescent="0.25">
      <c r="I227" s="37"/>
    </row>
    <row r="228" spans="9:9" x14ac:dyDescent="0.25">
      <c r="I228" s="37"/>
    </row>
    <row r="229" spans="9:9" x14ac:dyDescent="0.25">
      <c r="I229" s="37"/>
    </row>
    <row r="230" spans="9:9" x14ac:dyDescent="0.25">
      <c r="I230" s="37"/>
    </row>
    <row r="231" spans="9:9" x14ac:dyDescent="0.25">
      <c r="I231" s="37"/>
    </row>
    <row r="232" spans="9:9" x14ac:dyDescent="0.25">
      <c r="I232" s="37"/>
    </row>
    <row r="233" spans="9:9" x14ac:dyDescent="0.25">
      <c r="I233" s="37"/>
    </row>
    <row r="234" spans="9:9" x14ac:dyDescent="0.25">
      <c r="I234" s="37"/>
    </row>
    <row r="235" spans="9:9" x14ac:dyDescent="0.25">
      <c r="I235" s="37"/>
    </row>
    <row r="236" spans="9:9" x14ac:dyDescent="0.25">
      <c r="I236" s="37"/>
    </row>
    <row r="237" spans="9:9" x14ac:dyDescent="0.25">
      <c r="I237" s="37"/>
    </row>
    <row r="238" spans="9:9" x14ac:dyDescent="0.25">
      <c r="I238" s="37"/>
    </row>
    <row r="239" spans="9:9" x14ac:dyDescent="0.25">
      <c r="I239" s="37"/>
    </row>
    <row r="240" spans="9:9" x14ac:dyDescent="0.25">
      <c r="I240" s="37"/>
    </row>
    <row r="241" spans="9:9" x14ac:dyDescent="0.25">
      <c r="I241" s="37"/>
    </row>
    <row r="242" spans="9:9" x14ac:dyDescent="0.25">
      <c r="I242" s="37"/>
    </row>
    <row r="243" spans="9:9" x14ac:dyDescent="0.25">
      <c r="I243" s="37"/>
    </row>
    <row r="244" spans="9:9" x14ac:dyDescent="0.25">
      <c r="I244" s="37"/>
    </row>
    <row r="245" spans="9:9" x14ac:dyDescent="0.25">
      <c r="I245" s="37"/>
    </row>
    <row r="246" spans="9:9" x14ac:dyDescent="0.25">
      <c r="I246" s="37"/>
    </row>
    <row r="247" spans="9:9" x14ac:dyDescent="0.25">
      <c r="I247" s="37"/>
    </row>
    <row r="248" spans="9:9" x14ac:dyDescent="0.25">
      <c r="I248" s="37"/>
    </row>
    <row r="249" spans="9:9" x14ac:dyDescent="0.25">
      <c r="I249" s="37"/>
    </row>
    <row r="250" spans="9:9" x14ac:dyDescent="0.25">
      <c r="I250" s="37"/>
    </row>
    <row r="251" spans="9:9" x14ac:dyDescent="0.25">
      <c r="I251" s="37"/>
    </row>
    <row r="252" spans="9:9" x14ac:dyDescent="0.25">
      <c r="I252" s="37"/>
    </row>
    <row r="253" spans="9:9" x14ac:dyDescent="0.25">
      <c r="I253" s="37"/>
    </row>
    <row r="254" spans="9:9" x14ac:dyDescent="0.25">
      <c r="I254" s="37"/>
    </row>
    <row r="255" spans="9:9" x14ac:dyDescent="0.25">
      <c r="I255" s="37"/>
    </row>
    <row r="256" spans="9:9" x14ac:dyDescent="0.25">
      <c r="I256" s="37"/>
    </row>
    <row r="257" spans="9:9" x14ac:dyDescent="0.25">
      <c r="I257" s="37"/>
    </row>
    <row r="258" spans="9:9" x14ac:dyDescent="0.25">
      <c r="I258" s="37"/>
    </row>
    <row r="259" spans="9:9" x14ac:dyDescent="0.25">
      <c r="I259" s="37"/>
    </row>
    <row r="260" spans="9:9" x14ac:dyDescent="0.25">
      <c r="I260" s="37"/>
    </row>
    <row r="261" spans="9:9" x14ac:dyDescent="0.25">
      <c r="I261" s="37"/>
    </row>
    <row r="262" spans="9:9" x14ac:dyDescent="0.25">
      <c r="I262" s="37"/>
    </row>
    <row r="263" spans="9:9" x14ac:dyDescent="0.25">
      <c r="I263" s="37"/>
    </row>
    <row r="264" spans="9:9" x14ac:dyDescent="0.25">
      <c r="I264" s="37"/>
    </row>
    <row r="265" spans="9:9" x14ac:dyDescent="0.25">
      <c r="I265" s="37"/>
    </row>
    <row r="266" spans="9:9" x14ac:dyDescent="0.25">
      <c r="I266" s="37"/>
    </row>
    <row r="267" spans="9:9" x14ac:dyDescent="0.25">
      <c r="I267" s="37"/>
    </row>
    <row r="268" spans="9:9" x14ac:dyDescent="0.25">
      <c r="I268" s="37"/>
    </row>
    <row r="269" spans="9:9" x14ac:dyDescent="0.25">
      <c r="I269" s="37"/>
    </row>
    <row r="270" spans="9:9" x14ac:dyDescent="0.25">
      <c r="I270" s="37"/>
    </row>
    <row r="271" spans="9:9" x14ac:dyDescent="0.25">
      <c r="I271" s="37"/>
    </row>
    <row r="272" spans="9:9" x14ac:dyDescent="0.25">
      <c r="I272" s="37"/>
    </row>
    <row r="273" spans="9:9" x14ac:dyDescent="0.25">
      <c r="I273" s="37"/>
    </row>
    <row r="274" spans="9:9" x14ac:dyDescent="0.25">
      <c r="I274" s="37"/>
    </row>
    <row r="275" spans="9:9" x14ac:dyDescent="0.25">
      <c r="I275" s="37"/>
    </row>
    <row r="276" spans="9:9" x14ac:dyDescent="0.25">
      <c r="I276" s="37"/>
    </row>
    <row r="277" spans="9:9" x14ac:dyDescent="0.25">
      <c r="I277" s="37"/>
    </row>
    <row r="278" spans="9:9" x14ac:dyDescent="0.25">
      <c r="I278" s="37"/>
    </row>
    <row r="279" spans="9:9" x14ac:dyDescent="0.25">
      <c r="I279" s="37"/>
    </row>
    <row r="280" spans="9:9" x14ac:dyDescent="0.25">
      <c r="I280" s="37"/>
    </row>
    <row r="281" spans="9:9" x14ac:dyDescent="0.25">
      <c r="I281" s="37"/>
    </row>
    <row r="282" spans="9:9" x14ac:dyDescent="0.25">
      <c r="I282" s="37"/>
    </row>
    <row r="283" spans="9:9" x14ac:dyDescent="0.25">
      <c r="I283" s="37"/>
    </row>
    <row r="284" spans="9:9" x14ac:dyDescent="0.25">
      <c r="I284" s="37"/>
    </row>
    <row r="285" spans="9:9" x14ac:dyDescent="0.25">
      <c r="I285" s="37"/>
    </row>
    <row r="286" spans="9:9" x14ac:dyDescent="0.25">
      <c r="I286" s="37"/>
    </row>
    <row r="287" spans="9:9" x14ac:dyDescent="0.25">
      <c r="I287" s="37"/>
    </row>
    <row r="288" spans="9:9" x14ac:dyDescent="0.25">
      <c r="I288" s="37"/>
    </row>
    <row r="289" spans="9:9" x14ac:dyDescent="0.25">
      <c r="I289" s="37"/>
    </row>
    <row r="290" spans="9:9" x14ac:dyDescent="0.25">
      <c r="I290" s="37"/>
    </row>
    <row r="291" spans="9:9" x14ac:dyDescent="0.25">
      <c r="I291" s="37"/>
    </row>
    <row r="292" spans="9:9" x14ac:dyDescent="0.25">
      <c r="I292" s="37"/>
    </row>
    <row r="293" spans="9:9" x14ac:dyDescent="0.25">
      <c r="I293" s="37"/>
    </row>
    <row r="294" spans="9:9" x14ac:dyDescent="0.25">
      <c r="I294" s="37"/>
    </row>
    <row r="295" spans="9:9" x14ac:dyDescent="0.25">
      <c r="I295" s="37"/>
    </row>
    <row r="296" spans="9:9" x14ac:dyDescent="0.25">
      <c r="I296" s="37"/>
    </row>
    <row r="297" spans="9:9" x14ac:dyDescent="0.25">
      <c r="I297" s="37"/>
    </row>
    <row r="298" spans="9:9" x14ac:dyDescent="0.25">
      <c r="I298" s="37"/>
    </row>
    <row r="299" spans="9:9" x14ac:dyDescent="0.25">
      <c r="I299" s="37"/>
    </row>
    <row r="300" spans="9:9" x14ac:dyDescent="0.25">
      <c r="I300" s="37"/>
    </row>
    <row r="301" spans="9:9" x14ac:dyDescent="0.25">
      <c r="I301" s="37"/>
    </row>
    <row r="302" spans="9:9" x14ac:dyDescent="0.25">
      <c r="I302" s="37"/>
    </row>
    <row r="303" spans="9:9" x14ac:dyDescent="0.25">
      <c r="I303" s="37"/>
    </row>
    <row r="304" spans="9:9" x14ac:dyDescent="0.25">
      <c r="I304" s="37"/>
    </row>
    <row r="305" spans="9:9" x14ac:dyDescent="0.25">
      <c r="I305" s="37"/>
    </row>
    <row r="306" spans="9:9" x14ac:dyDescent="0.25">
      <c r="I306" s="37"/>
    </row>
    <row r="307" spans="9:9" x14ac:dyDescent="0.25">
      <c r="I307" s="37"/>
    </row>
    <row r="308" spans="9:9" x14ac:dyDescent="0.25">
      <c r="I308" s="37"/>
    </row>
    <row r="309" spans="9:9" x14ac:dyDescent="0.25">
      <c r="I309" s="37"/>
    </row>
    <row r="310" spans="9:9" x14ac:dyDescent="0.25">
      <c r="I310" s="37"/>
    </row>
    <row r="311" spans="9:9" x14ac:dyDescent="0.25">
      <c r="I311" s="37"/>
    </row>
    <row r="312" spans="9:9" x14ac:dyDescent="0.25">
      <c r="I312" s="37"/>
    </row>
    <row r="313" spans="9:9" x14ac:dyDescent="0.25">
      <c r="I313" s="37"/>
    </row>
    <row r="314" spans="9:9" x14ac:dyDescent="0.25">
      <c r="I314" s="37"/>
    </row>
    <row r="315" spans="9:9" x14ac:dyDescent="0.25">
      <c r="I315" s="37"/>
    </row>
    <row r="316" spans="9:9" x14ac:dyDescent="0.25">
      <c r="I316" s="37"/>
    </row>
    <row r="317" spans="9:9" x14ac:dyDescent="0.25">
      <c r="I317" s="37"/>
    </row>
    <row r="318" spans="9:9" x14ac:dyDescent="0.25">
      <c r="I318" s="37"/>
    </row>
    <row r="319" spans="9:9" x14ac:dyDescent="0.25">
      <c r="I319" s="37"/>
    </row>
    <row r="320" spans="9:9" x14ac:dyDescent="0.25">
      <c r="I320" s="37"/>
    </row>
    <row r="321" spans="9:9" x14ac:dyDescent="0.25">
      <c r="I321" s="37"/>
    </row>
    <row r="322" spans="9:9" x14ac:dyDescent="0.25">
      <c r="I322" s="37"/>
    </row>
    <row r="323" spans="9:9" x14ac:dyDescent="0.25">
      <c r="I323" s="37"/>
    </row>
    <row r="324" spans="9:9" x14ac:dyDescent="0.25">
      <c r="I324" s="37"/>
    </row>
    <row r="325" spans="9:9" x14ac:dyDescent="0.25">
      <c r="I325" s="37"/>
    </row>
    <row r="326" spans="9:9" x14ac:dyDescent="0.25">
      <c r="I326" s="37"/>
    </row>
    <row r="327" spans="9:9" x14ac:dyDescent="0.25">
      <c r="I327" s="37"/>
    </row>
    <row r="328" spans="9:9" x14ac:dyDescent="0.25">
      <c r="I328" s="37"/>
    </row>
    <row r="329" spans="9:9" x14ac:dyDescent="0.25">
      <c r="I329" s="37"/>
    </row>
    <row r="330" spans="9:9" x14ac:dyDescent="0.25">
      <c r="I330" s="37"/>
    </row>
    <row r="331" spans="9:9" x14ac:dyDescent="0.25">
      <c r="I331" s="37"/>
    </row>
    <row r="332" spans="9:9" x14ac:dyDescent="0.25">
      <c r="I332" s="37"/>
    </row>
    <row r="333" spans="9:9" x14ac:dyDescent="0.25">
      <c r="I333" s="37"/>
    </row>
    <row r="334" spans="9:9" x14ac:dyDescent="0.25">
      <c r="I334" s="37"/>
    </row>
    <row r="335" spans="9:9" x14ac:dyDescent="0.25">
      <c r="I335" s="37"/>
    </row>
    <row r="336" spans="9:9" x14ac:dyDescent="0.25">
      <c r="I336" s="37"/>
    </row>
    <row r="337" spans="9:9" x14ac:dyDescent="0.25">
      <c r="I337" s="37"/>
    </row>
    <row r="338" spans="9:9" x14ac:dyDescent="0.25">
      <c r="I338" s="37"/>
    </row>
    <row r="339" spans="9:9" x14ac:dyDescent="0.25">
      <c r="I339" s="37"/>
    </row>
    <row r="340" spans="9:9" x14ac:dyDescent="0.25">
      <c r="I340" s="37"/>
    </row>
    <row r="341" spans="9:9" x14ac:dyDescent="0.25">
      <c r="I341" s="37"/>
    </row>
    <row r="342" spans="9:9" x14ac:dyDescent="0.25">
      <c r="I342" s="37"/>
    </row>
    <row r="343" spans="9:9" x14ac:dyDescent="0.25">
      <c r="I343" s="37"/>
    </row>
    <row r="344" spans="9:9" x14ac:dyDescent="0.25">
      <c r="I344" s="37"/>
    </row>
    <row r="345" spans="9:9" x14ac:dyDescent="0.25">
      <c r="I345" s="37"/>
    </row>
    <row r="346" spans="9:9" x14ac:dyDescent="0.25">
      <c r="I346" s="37"/>
    </row>
    <row r="347" spans="9:9" x14ac:dyDescent="0.25">
      <c r="I347" s="37"/>
    </row>
    <row r="348" spans="9:9" x14ac:dyDescent="0.25">
      <c r="I348" s="37"/>
    </row>
    <row r="349" spans="9:9" x14ac:dyDescent="0.25">
      <c r="I349" s="37"/>
    </row>
    <row r="350" spans="9:9" x14ac:dyDescent="0.25">
      <c r="I350" s="37"/>
    </row>
    <row r="351" spans="9:9" x14ac:dyDescent="0.25">
      <c r="I351" s="37"/>
    </row>
    <row r="352" spans="9:9" x14ac:dyDescent="0.25">
      <c r="I352" s="37"/>
    </row>
    <row r="353" spans="9:9" x14ac:dyDescent="0.25">
      <c r="I353" s="37"/>
    </row>
    <row r="354" spans="9:9" x14ac:dyDescent="0.25">
      <c r="I354" s="37"/>
    </row>
    <row r="355" spans="9:9" x14ac:dyDescent="0.25">
      <c r="I355" s="37"/>
    </row>
    <row r="356" spans="9:9" x14ac:dyDescent="0.25">
      <c r="I356" s="37"/>
    </row>
    <row r="357" spans="9:9" x14ac:dyDescent="0.25">
      <c r="I357" s="37"/>
    </row>
    <row r="358" spans="9:9" x14ac:dyDescent="0.25">
      <c r="I358" s="37"/>
    </row>
    <row r="359" spans="9:9" x14ac:dyDescent="0.25">
      <c r="I359" s="37"/>
    </row>
    <row r="360" spans="9:9" x14ac:dyDescent="0.25">
      <c r="I360" s="37"/>
    </row>
    <row r="361" spans="9:9" x14ac:dyDescent="0.25">
      <c r="I361" s="37"/>
    </row>
    <row r="362" spans="9:9" x14ac:dyDescent="0.25">
      <c r="I362" s="37"/>
    </row>
    <row r="363" spans="9:9" x14ac:dyDescent="0.25">
      <c r="I363" s="37"/>
    </row>
    <row r="364" spans="9:9" x14ac:dyDescent="0.25">
      <c r="I364" s="37"/>
    </row>
    <row r="365" spans="9:9" x14ac:dyDescent="0.25">
      <c r="I365" s="37"/>
    </row>
    <row r="366" spans="9:9" x14ac:dyDescent="0.25">
      <c r="I366" s="37"/>
    </row>
    <row r="367" spans="9:9" x14ac:dyDescent="0.25">
      <c r="I367" s="37"/>
    </row>
    <row r="368" spans="9:9" x14ac:dyDescent="0.25">
      <c r="I368" s="37"/>
    </row>
    <row r="369" spans="9:9" x14ac:dyDescent="0.25">
      <c r="I369" s="37"/>
    </row>
    <row r="370" spans="9:9" x14ac:dyDescent="0.25">
      <c r="I370" s="37"/>
    </row>
    <row r="371" spans="9:9" x14ac:dyDescent="0.25">
      <c r="I371" s="37"/>
    </row>
    <row r="372" spans="9:9" x14ac:dyDescent="0.25">
      <c r="I372" s="37"/>
    </row>
    <row r="373" spans="9:9" x14ac:dyDescent="0.25">
      <c r="I373" s="37"/>
    </row>
    <row r="374" spans="9:9" x14ac:dyDescent="0.25">
      <c r="I374" s="37"/>
    </row>
    <row r="375" spans="9:9" x14ac:dyDescent="0.25">
      <c r="I375" s="37"/>
    </row>
    <row r="376" spans="9:9" x14ac:dyDescent="0.25">
      <c r="I376" s="37"/>
    </row>
    <row r="377" spans="9:9" x14ac:dyDescent="0.25">
      <c r="I377" s="37"/>
    </row>
    <row r="378" spans="9:9" x14ac:dyDescent="0.25">
      <c r="I378" s="37"/>
    </row>
    <row r="379" spans="9:9" x14ac:dyDescent="0.25">
      <c r="I379" s="37"/>
    </row>
    <row r="380" spans="9:9" x14ac:dyDescent="0.25">
      <c r="I380" s="37"/>
    </row>
    <row r="381" spans="9:9" x14ac:dyDescent="0.25">
      <c r="I381" s="37"/>
    </row>
    <row r="382" spans="9:9" x14ac:dyDescent="0.25">
      <c r="I382" s="37"/>
    </row>
    <row r="383" spans="9:9" x14ac:dyDescent="0.25">
      <c r="I383" s="37"/>
    </row>
    <row r="384" spans="9:9" x14ac:dyDescent="0.25">
      <c r="I384" s="37"/>
    </row>
    <row r="385" spans="9:9" x14ac:dyDescent="0.25">
      <c r="I385" s="37"/>
    </row>
    <row r="386" spans="9:9" x14ac:dyDescent="0.25">
      <c r="I386" s="37"/>
    </row>
    <row r="387" spans="9:9" x14ac:dyDescent="0.25">
      <c r="I387" s="37"/>
    </row>
    <row r="388" spans="9:9" x14ac:dyDescent="0.25">
      <c r="I388" s="37"/>
    </row>
    <row r="389" spans="9:9" x14ac:dyDescent="0.25">
      <c r="I389" s="37"/>
    </row>
    <row r="390" spans="9:9" x14ac:dyDescent="0.25">
      <c r="I390" s="37"/>
    </row>
    <row r="391" spans="9:9" x14ac:dyDescent="0.25">
      <c r="I391" s="37"/>
    </row>
    <row r="392" spans="9:9" x14ac:dyDescent="0.25">
      <c r="I392" s="37"/>
    </row>
    <row r="393" spans="9:9" x14ac:dyDescent="0.25">
      <c r="I393" s="37"/>
    </row>
    <row r="394" spans="9:9" x14ac:dyDescent="0.25">
      <c r="I394" s="37"/>
    </row>
    <row r="395" spans="9:9" x14ac:dyDescent="0.25">
      <c r="I395" s="37"/>
    </row>
    <row r="396" spans="9:9" x14ac:dyDescent="0.25">
      <c r="I396" s="37"/>
    </row>
    <row r="397" spans="9:9" x14ac:dyDescent="0.25">
      <c r="I397" s="37"/>
    </row>
    <row r="398" spans="9:9" x14ac:dyDescent="0.25">
      <c r="I398" s="37"/>
    </row>
    <row r="399" spans="9:9" x14ac:dyDescent="0.25">
      <c r="I399" s="37"/>
    </row>
    <row r="400" spans="9:9" x14ac:dyDescent="0.25">
      <c r="I400" s="37"/>
    </row>
    <row r="401" spans="9:9" x14ac:dyDescent="0.25">
      <c r="I401" s="37"/>
    </row>
    <row r="402" spans="9:9" x14ac:dyDescent="0.25">
      <c r="I402" s="37"/>
    </row>
    <row r="403" spans="9:9" x14ac:dyDescent="0.25">
      <c r="I403" s="37"/>
    </row>
    <row r="404" spans="9:9" x14ac:dyDescent="0.25">
      <c r="I404" s="37"/>
    </row>
    <row r="405" spans="9:9" x14ac:dyDescent="0.25">
      <c r="I405" s="37"/>
    </row>
    <row r="406" spans="9:9" x14ac:dyDescent="0.25">
      <c r="I406" s="37"/>
    </row>
    <row r="407" spans="9:9" x14ac:dyDescent="0.25">
      <c r="I407" s="37"/>
    </row>
    <row r="408" spans="9:9" x14ac:dyDescent="0.25">
      <c r="I408" s="37"/>
    </row>
    <row r="409" spans="9:9" x14ac:dyDescent="0.25">
      <c r="I409" s="37"/>
    </row>
    <row r="410" spans="9:9" x14ac:dyDescent="0.25">
      <c r="I410" s="37"/>
    </row>
    <row r="411" spans="9:9" x14ac:dyDescent="0.25">
      <c r="I411" s="37"/>
    </row>
    <row r="412" spans="9:9" x14ac:dyDescent="0.25">
      <c r="I412" s="37"/>
    </row>
    <row r="413" spans="9:9" x14ac:dyDescent="0.25">
      <c r="I413" s="37"/>
    </row>
    <row r="414" spans="9:9" x14ac:dyDescent="0.25">
      <c r="I414" s="37"/>
    </row>
    <row r="415" spans="9:9" x14ac:dyDescent="0.25">
      <c r="I415" s="37"/>
    </row>
    <row r="416" spans="9:9" x14ac:dyDescent="0.25">
      <c r="I416" s="37"/>
    </row>
    <row r="417" spans="9:9" x14ac:dyDescent="0.25">
      <c r="I417" s="37"/>
    </row>
    <row r="418" spans="9:9" x14ac:dyDescent="0.25">
      <c r="I418" s="37"/>
    </row>
    <row r="419" spans="9:9" x14ac:dyDescent="0.25">
      <c r="I419" s="37"/>
    </row>
    <row r="420" spans="9:9" x14ac:dyDescent="0.25">
      <c r="I420" s="37"/>
    </row>
    <row r="421" spans="9:9" x14ac:dyDescent="0.25">
      <c r="I421" s="37"/>
    </row>
    <row r="422" spans="9:9" x14ac:dyDescent="0.25">
      <c r="I422" s="37"/>
    </row>
    <row r="423" spans="9:9" x14ac:dyDescent="0.25">
      <c r="I423" s="37"/>
    </row>
    <row r="424" spans="9:9" x14ac:dyDescent="0.25">
      <c r="I424" s="37"/>
    </row>
    <row r="425" spans="9:9" x14ac:dyDescent="0.25">
      <c r="I425" s="37"/>
    </row>
    <row r="426" spans="9:9" x14ac:dyDescent="0.25">
      <c r="I426" s="37"/>
    </row>
    <row r="427" spans="9:9" x14ac:dyDescent="0.25">
      <c r="I427" s="37"/>
    </row>
    <row r="428" spans="9:9" x14ac:dyDescent="0.25">
      <c r="I428" s="37"/>
    </row>
    <row r="429" spans="9:9" x14ac:dyDescent="0.25">
      <c r="I429" s="37"/>
    </row>
    <row r="430" spans="9:9" x14ac:dyDescent="0.25">
      <c r="I430" s="37"/>
    </row>
    <row r="431" spans="9:9" x14ac:dyDescent="0.25">
      <c r="I431" s="37"/>
    </row>
    <row r="432" spans="9:9" x14ac:dyDescent="0.25">
      <c r="I432" s="37"/>
    </row>
    <row r="433" spans="9:9" x14ac:dyDescent="0.25">
      <c r="I433" s="37"/>
    </row>
    <row r="434" spans="9:9" x14ac:dyDescent="0.25">
      <c r="I434" s="37"/>
    </row>
    <row r="435" spans="9:9" x14ac:dyDescent="0.25">
      <c r="I435" s="37"/>
    </row>
    <row r="436" spans="9:9" x14ac:dyDescent="0.25">
      <c r="I436" s="37"/>
    </row>
    <row r="437" spans="9:9" x14ac:dyDescent="0.25">
      <c r="I437" s="37"/>
    </row>
    <row r="438" spans="9:9" x14ac:dyDescent="0.25">
      <c r="I438" s="37"/>
    </row>
    <row r="439" spans="9:9" x14ac:dyDescent="0.25">
      <c r="I439" s="37"/>
    </row>
    <row r="440" spans="9:9" x14ac:dyDescent="0.25">
      <c r="I440" s="37"/>
    </row>
    <row r="441" spans="9:9" x14ac:dyDescent="0.25">
      <c r="I441" s="37"/>
    </row>
    <row r="442" spans="9:9" x14ac:dyDescent="0.25">
      <c r="I442" s="37"/>
    </row>
    <row r="443" spans="9:9" x14ac:dyDescent="0.25">
      <c r="I443" s="37"/>
    </row>
    <row r="444" spans="9:9" x14ac:dyDescent="0.25">
      <c r="I444" s="37"/>
    </row>
    <row r="445" spans="9:9" x14ac:dyDescent="0.25">
      <c r="I445" s="37"/>
    </row>
    <row r="446" spans="9:9" x14ac:dyDescent="0.25">
      <c r="I446" s="37"/>
    </row>
    <row r="447" spans="9:9" x14ac:dyDescent="0.25">
      <c r="I447" s="37"/>
    </row>
    <row r="448" spans="9:9" x14ac:dyDescent="0.25">
      <c r="I448" s="37"/>
    </row>
    <row r="449" spans="9:9" x14ac:dyDescent="0.25">
      <c r="I449" s="37"/>
    </row>
    <row r="450" spans="9:9" x14ac:dyDescent="0.25">
      <c r="I450" s="37"/>
    </row>
    <row r="451" spans="9:9" x14ac:dyDescent="0.25">
      <c r="I451" s="37"/>
    </row>
    <row r="452" spans="9:9" x14ac:dyDescent="0.25">
      <c r="I452" s="37"/>
    </row>
    <row r="453" spans="9:9" x14ac:dyDescent="0.25">
      <c r="I453" s="37"/>
    </row>
    <row r="454" spans="9:9" x14ac:dyDescent="0.25">
      <c r="I454" s="37"/>
    </row>
    <row r="455" spans="9:9" x14ac:dyDescent="0.25">
      <c r="I455" s="37"/>
    </row>
    <row r="456" spans="9:9" x14ac:dyDescent="0.25">
      <c r="I456" s="37"/>
    </row>
    <row r="457" spans="9:9" x14ac:dyDescent="0.25">
      <c r="I457" s="37"/>
    </row>
    <row r="458" spans="9:9" x14ac:dyDescent="0.25">
      <c r="I458" s="37"/>
    </row>
    <row r="459" spans="9:9" x14ac:dyDescent="0.25">
      <c r="I459" s="37"/>
    </row>
    <row r="460" spans="9:9" x14ac:dyDescent="0.25">
      <c r="I460" s="37"/>
    </row>
    <row r="461" spans="9:9" x14ac:dyDescent="0.25">
      <c r="I461" s="37"/>
    </row>
    <row r="462" spans="9:9" x14ac:dyDescent="0.25">
      <c r="I462" s="37"/>
    </row>
    <row r="463" spans="9:9" x14ac:dyDescent="0.25">
      <c r="I463" s="37"/>
    </row>
    <row r="464" spans="9:9" x14ac:dyDescent="0.25">
      <c r="I464" s="37"/>
    </row>
    <row r="465" spans="9:9" x14ac:dyDescent="0.25">
      <c r="I465" s="37"/>
    </row>
    <row r="466" spans="9:9" x14ac:dyDescent="0.25">
      <c r="I466" s="37"/>
    </row>
    <row r="467" spans="9:9" x14ac:dyDescent="0.25">
      <c r="I467" s="37"/>
    </row>
    <row r="468" spans="9:9" x14ac:dyDescent="0.25">
      <c r="I468" s="37"/>
    </row>
    <row r="469" spans="9:9" x14ac:dyDescent="0.25">
      <c r="I469" s="37"/>
    </row>
    <row r="470" spans="9:9" x14ac:dyDescent="0.25">
      <c r="I470" s="37"/>
    </row>
    <row r="471" spans="9:9" x14ac:dyDescent="0.25">
      <c r="I471" s="37"/>
    </row>
    <row r="472" spans="9:9" x14ac:dyDescent="0.25">
      <c r="I472" s="37"/>
    </row>
    <row r="473" spans="9:9" x14ac:dyDescent="0.25">
      <c r="I473" s="37"/>
    </row>
    <row r="474" spans="9:9" x14ac:dyDescent="0.25">
      <c r="I474" s="37"/>
    </row>
    <row r="475" spans="9:9" x14ac:dyDescent="0.25">
      <c r="I475" s="37"/>
    </row>
    <row r="476" spans="9:9" x14ac:dyDescent="0.25">
      <c r="I476" s="37"/>
    </row>
    <row r="477" spans="9:9" x14ac:dyDescent="0.25">
      <c r="I477" s="37"/>
    </row>
    <row r="478" spans="9:9" x14ac:dyDescent="0.25">
      <c r="I478" s="37"/>
    </row>
    <row r="479" spans="9:9" x14ac:dyDescent="0.25">
      <c r="I479" s="37"/>
    </row>
    <row r="480" spans="9:9" x14ac:dyDescent="0.25">
      <c r="I480" s="37"/>
    </row>
    <row r="481" spans="9:9" x14ac:dyDescent="0.25">
      <c r="I481" s="37"/>
    </row>
    <row r="482" spans="9:9" x14ac:dyDescent="0.25">
      <c r="I482" s="37"/>
    </row>
    <row r="483" spans="9:9" x14ac:dyDescent="0.25">
      <c r="I483" s="37"/>
    </row>
    <row r="484" spans="9:9" x14ac:dyDescent="0.25">
      <c r="I484" s="37"/>
    </row>
    <row r="485" spans="9:9" x14ac:dyDescent="0.25">
      <c r="I485" s="37"/>
    </row>
    <row r="486" spans="9:9" x14ac:dyDescent="0.25">
      <c r="I486" s="37"/>
    </row>
    <row r="487" spans="9:9" x14ac:dyDescent="0.25">
      <c r="I487" s="37"/>
    </row>
    <row r="488" spans="9:9" x14ac:dyDescent="0.25">
      <c r="I488" s="37"/>
    </row>
    <row r="489" spans="9:9" x14ac:dyDescent="0.25">
      <c r="I489" s="37"/>
    </row>
    <row r="490" spans="9:9" x14ac:dyDescent="0.25">
      <c r="I490" s="37"/>
    </row>
    <row r="491" spans="9:9" x14ac:dyDescent="0.25">
      <c r="I491" s="37"/>
    </row>
    <row r="492" spans="9:9" x14ac:dyDescent="0.25">
      <c r="I492" s="37"/>
    </row>
    <row r="493" spans="9:9" x14ac:dyDescent="0.25">
      <c r="I493" s="37"/>
    </row>
    <row r="494" spans="9:9" x14ac:dyDescent="0.25">
      <c r="I494" s="37"/>
    </row>
    <row r="495" spans="9:9" x14ac:dyDescent="0.25">
      <c r="I495" s="37"/>
    </row>
    <row r="496" spans="9:9" x14ac:dyDescent="0.25">
      <c r="I496" s="37"/>
    </row>
    <row r="497" spans="9:9" x14ac:dyDescent="0.25">
      <c r="I497" s="37"/>
    </row>
    <row r="498" spans="9:9" x14ac:dyDescent="0.25">
      <c r="I498" s="37"/>
    </row>
    <row r="499" spans="9:9" x14ac:dyDescent="0.25">
      <c r="I499" s="37"/>
    </row>
    <row r="500" spans="9:9" x14ac:dyDescent="0.25">
      <c r="I500" s="37"/>
    </row>
    <row r="501" spans="9:9" x14ac:dyDescent="0.25">
      <c r="I501" s="37"/>
    </row>
    <row r="502" spans="9:9" x14ac:dyDescent="0.25">
      <c r="I502" s="37"/>
    </row>
    <row r="503" spans="9:9" x14ac:dyDescent="0.25">
      <c r="I503" s="37"/>
    </row>
  </sheetData>
  <mergeCells count="6">
    <mergeCell ref="B54:D54"/>
    <mergeCell ref="A1:G1"/>
    <mergeCell ref="A3:G3"/>
    <mergeCell ref="B52:D52"/>
    <mergeCell ref="B53:D53"/>
    <mergeCell ref="A50:C50"/>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3">
    <tabColor rgb="FFFD6A02"/>
  </sheetPr>
  <dimension ref="A1:L5"/>
  <sheetViews>
    <sheetView showGridLines="0" workbookViewId="0">
      <pane ySplit="1" topLeftCell="A2" activePane="bottomLeft" state="frozen"/>
      <selection pane="bottomLeft" sqref="A1:L1"/>
    </sheetView>
  </sheetViews>
  <sheetFormatPr baseColWidth="10" defaultColWidth="9.140625" defaultRowHeight="15" x14ac:dyDescent="0.25"/>
  <cols>
    <col min="1" max="1" width="32" customWidth="1"/>
    <col min="2" max="2" width="20" customWidth="1"/>
    <col min="3" max="3" width="35" customWidth="1"/>
    <col min="4" max="4" width="18" customWidth="1"/>
    <col min="5" max="5" width="15" customWidth="1"/>
    <col min="6" max="10" width="12" customWidth="1"/>
    <col min="11" max="11" width="15" customWidth="1"/>
    <col min="12" max="12" width="30" customWidth="1"/>
  </cols>
  <sheetData>
    <row r="1" spans="1:12" ht="30" customHeight="1" x14ac:dyDescent="0.25">
      <c r="A1" s="186" t="s">
        <v>294</v>
      </c>
      <c r="B1" s="164"/>
      <c r="C1" s="164"/>
      <c r="D1" s="164"/>
      <c r="E1" s="164"/>
      <c r="F1" s="164"/>
      <c r="G1" s="164"/>
      <c r="H1" s="164"/>
      <c r="I1" s="164"/>
      <c r="J1" s="164"/>
      <c r="K1" s="164"/>
      <c r="L1" s="165"/>
    </row>
    <row r="3" spans="1:12" ht="30" customHeight="1" x14ac:dyDescent="0.25">
      <c r="A3" s="76" t="s">
        <v>295</v>
      </c>
      <c r="B3" s="76" t="s">
        <v>183</v>
      </c>
      <c r="C3" s="76" t="s">
        <v>184</v>
      </c>
      <c r="D3" s="76" t="s">
        <v>296</v>
      </c>
      <c r="E3" s="76" t="s">
        <v>205</v>
      </c>
      <c r="F3" s="76" t="s">
        <v>297</v>
      </c>
      <c r="G3" s="76" t="s">
        <v>298</v>
      </c>
      <c r="H3" s="76" t="s">
        <v>128</v>
      </c>
      <c r="I3" s="76" t="s">
        <v>299</v>
      </c>
      <c r="J3" s="76" t="s">
        <v>300</v>
      </c>
      <c r="K3" s="76" t="s">
        <v>207</v>
      </c>
      <c r="L3" s="76" t="s">
        <v>301</v>
      </c>
    </row>
    <row r="4" spans="1:12" ht="30" customHeight="1" x14ac:dyDescent="0.25">
      <c r="A4" s="1" t="s">
        <v>302</v>
      </c>
      <c r="B4" s="1" t="s">
        <v>303</v>
      </c>
      <c r="C4" s="73" t="s">
        <v>304</v>
      </c>
      <c r="D4" s="1" t="s">
        <v>305</v>
      </c>
      <c r="E4" s="1" t="s">
        <v>256</v>
      </c>
      <c r="F4" s="12" t="s">
        <v>212</v>
      </c>
      <c r="G4" s="1" t="s">
        <v>306</v>
      </c>
      <c r="H4" s="1" t="s">
        <v>138</v>
      </c>
      <c r="I4" s="1" t="s">
        <v>307</v>
      </c>
      <c r="J4" s="23"/>
      <c r="K4" s="1" t="s">
        <v>308</v>
      </c>
      <c r="L4" s="1" t="s">
        <v>309</v>
      </c>
    </row>
    <row r="5" spans="1:12" x14ac:dyDescent="0.25">
      <c r="A5" s="1" t="s">
        <v>310</v>
      </c>
      <c r="B5" s="1" t="s">
        <v>311</v>
      </c>
      <c r="C5" s="73" t="s">
        <v>312</v>
      </c>
      <c r="D5" s="1" t="s">
        <v>313</v>
      </c>
      <c r="E5" s="1" t="s">
        <v>314</v>
      </c>
      <c r="F5" s="3" t="s">
        <v>211</v>
      </c>
      <c r="G5" s="1" t="s">
        <v>315</v>
      </c>
      <c r="H5" s="1" t="s">
        <v>316</v>
      </c>
      <c r="I5" s="1" t="s">
        <v>317</v>
      </c>
      <c r="J5" s="23"/>
      <c r="K5" s="1" t="s">
        <v>318</v>
      </c>
      <c r="L5" s="1" t="s">
        <v>319</v>
      </c>
    </row>
  </sheetData>
  <mergeCells count="1">
    <mergeCell ref="A1:L1"/>
  </mergeCells>
  <dataValidations count="2">
    <dataValidation type="list" sqref="F4:F1000" xr:uid="{00000000-0002-0000-0600-000000000000}">
      <formula1>"Crítica,Alta,Media,Baja"</formula1>
    </dataValidation>
    <dataValidation type="list" sqref="H4:H1000" xr:uid="{00000000-0002-0000-0600-000001000000}">
      <formula1>"Abierto,En Proceso,Completado,Cerrado,Cancelado"</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4">
    <tabColor rgb="FFFF6600"/>
    <pageSetUpPr fitToPage="1"/>
  </sheetPr>
  <dimension ref="A1:AE5"/>
  <sheetViews>
    <sheetView showGridLines="0" workbookViewId="0">
      <pane ySplit="2" topLeftCell="A3" activePane="bottomLeft" state="frozen"/>
      <selection pane="bottomLeft" activeCell="U10" sqref="U10"/>
    </sheetView>
  </sheetViews>
  <sheetFormatPr baseColWidth="10" defaultColWidth="9.140625" defaultRowHeight="15" x14ac:dyDescent="0.25"/>
  <cols>
    <col min="1" max="1" width="15" customWidth="1"/>
    <col min="2" max="2" width="25" customWidth="1"/>
    <col min="3" max="3" width="35" customWidth="1"/>
    <col min="4" max="6" width="20" customWidth="1"/>
    <col min="7" max="7" width="15" customWidth="1"/>
    <col min="8" max="8" width="10" customWidth="1"/>
    <col min="9" max="11" width="8" customWidth="1"/>
    <col min="12" max="12" width="10" customWidth="1"/>
    <col min="13" max="14" width="12" customWidth="1"/>
    <col min="15" max="15" width="25" customWidth="1"/>
    <col min="16" max="18" width="10" customWidth="1"/>
    <col min="19" max="20" width="12" customWidth="1"/>
    <col min="21" max="22" width="15" customWidth="1"/>
    <col min="23" max="23" width="12" customWidth="1"/>
    <col min="24" max="24" width="20" customWidth="1"/>
    <col min="25" max="31" width="15" customWidth="1"/>
    <col min="32" max="32" width="16" customWidth="1"/>
    <col min="33" max="34" width="15" customWidth="1"/>
    <col min="35" max="35" width="14" customWidth="1"/>
  </cols>
  <sheetData>
    <row r="1" spans="1:31" s="239" customFormat="1" ht="16.5" x14ac:dyDescent="0.3">
      <c r="A1" s="240" t="s">
        <v>320</v>
      </c>
      <c r="B1" s="241"/>
      <c r="C1" s="241"/>
      <c r="D1" s="241"/>
      <c r="E1" s="241"/>
      <c r="F1" s="242"/>
      <c r="G1" s="242"/>
      <c r="H1" s="242"/>
      <c r="I1" s="242"/>
      <c r="J1" s="242"/>
      <c r="K1" s="242"/>
      <c r="L1" s="242"/>
      <c r="M1" s="242"/>
      <c r="N1" s="242"/>
      <c r="O1" s="242"/>
      <c r="P1" s="242"/>
      <c r="Q1" s="242"/>
      <c r="R1" s="242"/>
      <c r="S1" s="242"/>
      <c r="T1" s="242"/>
      <c r="U1" s="242"/>
      <c r="V1" s="242"/>
      <c r="W1" s="243"/>
    </row>
    <row r="2" spans="1:31" ht="39.950000000000003" customHeight="1" x14ac:dyDescent="0.25">
      <c r="A2" s="77" t="s">
        <v>182</v>
      </c>
      <c r="B2" s="77" t="s">
        <v>326</v>
      </c>
      <c r="C2" s="77" t="s">
        <v>250</v>
      </c>
      <c r="D2" s="77" t="s">
        <v>327</v>
      </c>
      <c r="E2" s="77" t="s">
        <v>328</v>
      </c>
      <c r="F2" s="77" t="s">
        <v>329</v>
      </c>
      <c r="G2" s="77" t="s">
        <v>126</v>
      </c>
      <c r="H2" s="77" t="s">
        <v>128</v>
      </c>
      <c r="I2" s="78" t="s">
        <v>330</v>
      </c>
      <c r="J2" s="78" t="s">
        <v>331</v>
      </c>
      <c r="K2" s="78" t="s">
        <v>332</v>
      </c>
      <c r="L2" s="78" t="s">
        <v>333</v>
      </c>
      <c r="M2" s="78" t="s">
        <v>334</v>
      </c>
      <c r="N2" s="78" t="s">
        <v>335</v>
      </c>
      <c r="O2" s="78" t="s">
        <v>336</v>
      </c>
      <c r="P2" s="78" t="s">
        <v>337</v>
      </c>
      <c r="Q2" s="78" t="s">
        <v>338</v>
      </c>
      <c r="R2" s="78" t="s">
        <v>339</v>
      </c>
      <c r="S2" s="78" t="s">
        <v>340</v>
      </c>
      <c r="T2" s="78" t="s">
        <v>341</v>
      </c>
      <c r="U2" s="78" t="s">
        <v>342</v>
      </c>
      <c r="V2" s="78" t="s">
        <v>189</v>
      </c>
      <c r="W2" s="78" t="s">
        <v>128</v>
      </c>
      <c r="X2" s="34" t="s">
        <v>249</v>
      </c>
      <c r="Y2" s="35" t="s">
        <v>248</v>
      </c>
      <c r="Z2" s="54" t="s">
        <v>249</v>
      </c>
      <c r="AA2" s="54" t="s">
        <v>321</v>
      </c>
      <c r="AB2" s="54" t="s">
        <v>322</v>
      </c>
      <c r="AC2" s="186" t="s">
        <v>323</v>
      </c>
      <c r="AD2" s="186" t="s">
        <v>324</v>
      </c>
      <c r="AE2" s="186" t="s">
        <v>325</v>
      </c>
    </row>
    <row r="3" spans="1:31" ht="30" customHeight="1" x14ac:dyDescent="0.25">
      <c r="A3" s="1" t="s">
        <v>343</v>
      </c>
      <c r="B3" s="1" t="s">
        <v>217</v>
      </c>
      <c r="C3" s="1" t="s">
        <v>344</v>
      </c>
      <c r="D3" s="1" t="s">
        <v>345</v>
      </c>
      <c r="E3" s="1" t="s">
        <v>346</v>
      </c>
      <c r="F3" s="1" t="s">
        <v>347</v>
      </c>
      <c r="G3" s="1" t="s">
        <v>348</v>
      </c>
      <c r="H3" s="1" t="s">
        <v>349</v>
      </c>
      <c r="I3" s="1" t="s">
        <v>350</v>
      </c>
      <c r="J3" s="1" t="s">
        <v>350</v>
      </c>
      <c r="K3" s="1" t="s">
        <v>350</v>
      </c>
      <c r="L3" s="1" t="s">
        <v>350</v>
      </c>
      <c r="M3" s="1" t="s">
        <v>351</v>
      </c>
      <c r="N3" s="3" t="s">
        <v>134</v>
      </c>
      <c r="O3" s="1" t="s">
        <v>352</v>
      </c>
      <c r="P3" s="1" t="s">
        <v>353</v>
      </c>
      <c r="Q3" s="1" t="s">
        <v>354</v>
      </c>
      <c r="R3" s="1" t="s">
        <v>354</v>
      </c>
      <c r="S3" s="1" t="s">
        <v>355</v>
      </c>
      <c r="T3" s="74" t="s">
        <v>136</v>
      </c>
      <c r="U3" s="1" t="s">
        <v>356</v>
      </c>
      <c r="V3" s="1" t="s">
        <v>357</v>
      </c>
      <c r="W3" s="1" t="s">
        <v>213</v>
      </c>
      <c r="Z3" s="37"/>
      <c r="AA3" s="67" t="str">
        <f>IF(
OR(ISNUMBER(SEARCH("MITM",A3)),ISNUMBER(SEARCH("INTERCEP",A3))),"→ T0830: MITM",
IF(OR(ISNUMBER(SEARCH("MODIFICAR",A3)),ISNUMBER(SEARCH("PROGRAMA",A3))),"→ T0889: Modify Program",
IF(ISNUMBER(SEARCH("FIRMWARE",A3)),"→ T0839: Module Firmware",
IF(ISNUMBER(SEARCH("ALARMA",A3)),"→ T0878: Alarm Suppression",
IF(OR(ISNUMBER(SEARCH("CREDENCIAL",A3)),ISNUMBER(SEARCH("PASSWORD",A3))),"→ T0891: Hardcoded Credentials",
IF(OR(ISNUMBER(SEARCH("PHISHING",A3)),ISNUMBER(SEARCH("CORREO",A3))),"→ T0865: Spearphishing",
IF(OR(ISNUMBER(SEARCH("DISPONIBILIDAD",A3)),ISNUMBER(SEARCH("CAÍDO",A3))),"→ T0826: Loss Availability",
IF(OR(ISNUMBER(SEARCH("CONTROL",A3)),ISNUMBER(SEARCH("DENEGACIÓN",A3))),"→ T0813: Denial of Control",
IF(OR(ISNUMBER(SEARCH("ACCESO REMOTO",A3)),ISNUMBER(SEARCH("VPN",A3))),"→ T0822: Remote Services",
IF(ISNUMBER(SEARCH("EXPLOIT",A3)),"→ T0819: Exploit Public App",
"⚠️ Analizar manualmente"))))))))))</f>
        <v>⚠️ Analizar manualmente</v>
      </c>
      <c r="AC3" s="139"/>
      <c r="AD3" s="139"/>
      <c r="AE3" s="139"/>
    </row>
    <row r="4" spans="1:31" ht="24" x14ac:dyDescent="0.25">
      <c r="A4" s="61" t="s">
        <v>358</v>
      </c>
      <c r="B4" s="61" t="s">
        <v>223</v>
      </c>
      <c r="C4" s="61" t="s">
        <v>359</v>
      </c>
      <c r="D4" s="61" t="s">
        <v>360</v>
      </c>
      <c r="E4" s="61" t="s">
        <v>361</v>
      </c>
      <c r="F4" s="61" t="s">
        <v>347</v>
      </c>
      <c r="G4" s="61" t="s">
        <v>347</v>
      </c>
      <c r="H4" s="61" t="s">
        <v>349</v>
      </c>
      <c r="Z4" s="37"/>
      <c r="AA4" s="67" t="str">
        <f>IF(
OR(ISNUMBER(SEARCH("MITM",A4)),ISNUMBER(SEARCH("INTERCEP",A4))),"→ T0830: MITM",
IF(OR(ISNUMBER(SEARCH("MODIFICAR",A4)),ISNUMBER(SEARCH("PROGRAMA",A4))),"→ T0889: Modify Program",
IF(ISNUMBER(SEARCH("FIRMWARE",A4)),"→ T0839: Module Firmware",
IF(ISNUMBER(SEARCH("ALARMA",A4)),"→ T0878: Alarm Suppression",
IF(OR(ISNUMBER(SEARCH("CREDENCIAL",A4)),ISNUMBER(SEARCH("PASSWORD",A4))),"→ T0891: Hardcoded Credentials",
IF(OR(ISNUMBER(SEARCH("PHISHING",A4)),ISNUMBER(SEARCH("CORREO",A4))),"→ T0865: Spearphishing",
IF(OR(ISNUMBER(SEARCH("DISPONIBILIDAD",A4)),ISNUMBER(SEARCH("CAÍDO",A4))),"→ T0826: Loss Availability",
IF(OR(ISNUMBER(SEARCH("CONTROL",A4)),ISNUMBER(SEARCH("DENEGACIÓN",A4))),"→ T0813: Denial of Control",
IF(OR(ISNUMBER(SEARCH("ACCESO REMOTO",A4)),ISNUMBER(SEARCH("VPN",A4))),"→ T0822: Remote Services",
IF(ISNUMBER(SEARCH("EXPLOIT",A4)),"→ T0819: Exploit Public App",
"⚠️ Analizar manualmente"))))))))))</f>
        <v>⚠️ Analizar manualmente</v>
      </c>
      <c r="AC4" s="139"/>
      <c r="AD4" s="139"/>
      <c r="AE4" s="139"/>
    </row>
    <row r="5" spans="1:31" ht="24" x14ac:dyDescent="0.25">
      <c r="A5" s="61" t="s">
        <v>362</v>
      </c>
      <c r="B5" s="61" t="s">
        <v>230</v>
      </c>
      <c r="C5" s="61" t="s">
        <v>363</v>
      </c>
      <c r="D5" s="61" t="s">
        <v>364</v>
      </c>
      <c r="E5" s="61" t="s">
        <v>346</v>
      </c>
      <c r="F5" s="61" t="s">
        <v>347</v>
      </c>
      <c r="G5" s="61" t="s">
        <v>348</v>
      </c>
      <c r="H5" s="61" t="s">
        <v>365</v>
      </c>
      <c r="Z5" s="37"/>
      <c r="AA5" s="67" t="str">
        <f>IF(
OR(ISNUMBER(SEARCH("MITM",A5)),ISNUMBER(SEARCH("INTERCEP",A5))),"→ T0830: MITM",
IF(OR(ISNUMBER(SEARCH("MODIFICAR",A5)),ISNUMBER(SEARCH("PROGRAMA",A5))),"→ T0889: Modify Program",
IF(ISNUMBER(SEARCH("FIRMWARE",A5)),"→ T0839: Module Firmware",
IF(ISNUMBER(SEARCH("ALARMA",A5)),"→ T0878: Alarm Suppression",
IF(OR(ISNUMBER(SEARCH("CREDENCIAL",A5)),ISNUMBER(SEARCH("PASSWORD",A5))),"→ T0891: Hardcoded Credentials",
IF(OR(ISNUMBER(SEARCH("PHISHING",A5)),ISNUMBER(SEARCH("CORREO",A5))),"→ T0865: Spearphishing",
IF(OR(ISNUMBER(SEARCH("DISPONIBILIDAD",A5)),ISNUMBER(SEARCH("CAÍDO",A5))),"→ T0826: Loss Availability",
IF(OR(ISNUMBER(SEARCH("CONTROL",A5)),ISNUMBER(SEARCH("DENEGACIÓN",A5))),"→ T0813: Denial of Control",
IF(OR(ISNUMBER(SEARCH("ACCESO REMOTO",A5)),ISNUMBER(SEARCH("VPN",A5))),"→ T0822: Remote Services",
IF(ISNUMBER(SEARCH("EXPLOIT",A5)),"→ T0819: Exploit Public App",
"⚠️ Analizar manualmente"))))))))))</f>
        <v>⚠️ Analizar manualmente</v>
      </c>
      <c r="AC5" s="139"/>
      <c r="AD5" s="139"/>
      <c r="AE5" s="139"/>
    </row>
  </sheetData>
  <mergeCells count="5">
    <mergeCell ref="A1:W1"/>
    <mergeCell ref="AC5:AE5"/>
    <mergeCell ref="AC4:AE4"/>
    <mergeCell ref="AC2:AE2"/>
    <mergeCell ref="AC3:AE3"/>
  </mergeCells>
  <dataValidations count="6">
    <dataValidation type="list" sqref="N13:N384 Q13:Q384 T13:T384 T3:T12 Q3:Q12 N3:N12 E3:E12 E13:E384" xr:uid="{00000000-0002-0000-0700-000000000000}">
      <formula1>"Muy Alta,Alta,Media,Baja,Muy Baja"</formula1>
    </dataValidation>
    <dataValidation type="list" sqref="I13:K384 R13:R384 R3:R12 I3:K12 F3:F12 F13:F384" xr:uid="{00000000-0002-0000-0700-000001000000}">
      <formula1>"Muy Alto,Alto,Medio,Bajo,Muy Bajo"</formula1>
    </dataValidation>
    <dataValidation type="list" sqref="M13:M384 S13:S384 S3:S12 M3:M12 G3:G12 G13:G384" xr:uid="{00000000-0002-0000-0700-000002000000}">
      <formula1>"Crítico,Alto,Medio,Bajo"</formula1>
    </dataValidation>
    <dataValidation type="list" sqref="W13:W384 W3:W12 H3:H12 H13:H384" xr:uid="{00000000-0002-0000-0700-000003000000}">
      <formula1>"Abierto,En Proceso,Completado,Cerrado,Cancelado"</formula1>
    </dataValidation>
    <dataValidation type="whole" allowBlank="1" showInputMessage="1" showErrorMessage="1" errorTitle="Valor no válido" error="Ingrese un valor entre 1 y 5 para el Tuning del auditor." promptTitle="Tuning Auditor (1-5)" prompt="1=Muy Atenuante, 2=Atenuante, 3=Neutro, 4=Agravante, 5=Muy Agravante." sqref="AF2:AF5" xr:uid="{00000000-0002-0000-0700-000004000000}">
      <formula1>1</formula1>
      <formula2>5</formula2>
    </dataValidation>
    <dataValidation type="whole" allowBlank="1" showInputMessage="1" showErrorMessage="1" errorTitle="Valor no valido" error="Ingrese un valor entre 1 y 5 para el Tuning del auditor." promptTitle="Tuning Auditor (1-5)" prompt="1=Muy Atenuante, 2=Atenuante, 3=Neutro, 4=Agravante, 5=Muy Agravante." sqref="B2:B5" xr:uid="{9BF0FA2B-D765-4B5D-B82B-F593F39371D1}">
      <formula1>1</formula1>
      <formula2>5</formula2>
    </dataValidation>
  </dataValidations>
  <printOptions gridLines="1"/>
  <pageMargins left="0.5" right="0.5" top="0.5" bottom="0.5" header="0.29921259842519687" footer="0.29921259842519687"/>
  <pageSetup scale="27" fitToHeight="0" orientation="landscape"/>
  <headerFooter>
    <oddHeader>&amp;L&amp;"Segoe UI,Bold"&amp;14 Matriz_Riesgos&amp;R&amp;"Segoe UI"&amp;10 Fecha: &amp;D</oddHeader>
    <oddFooter>&amp;L&amp;"Segoe UI"&amp;9 SGSI - ISO 27001:2022&amp;R&amp;"Segoe UI"&amp;9 Página &amp;P de &amp;N</oddFooter>
  </headerFooter>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30">
    <tabColor rgb="FF2E75B5"/>
  </sheetPr>
  <dimension ref="A1:I501"/>
  <sheetViews>
    <sheetView showGridLines="0" workbookViewId="0">
      <pane ySplit="1" topLeftCell="A2" activePane="bottomLeft" state="frozen"/>
      <selection pane="bottomLeft" activeCell="M19" sqref="M19"/>
    </sheetView>
  </sheetViews>
  <sheetFormatPr baseColWidth="10" defaultColWidth="9.140625" defaultRowHeight="15" x14ac:dyDescent="0.25"/>
  <cols>
    <col min="1" max="1" width="50" customWidth="1"/>
    <col min="2" max="2" width="25" customWidth="1"/>
    <col min="3" max="3" width="40" customWidth="1"/>
    <col min="4" max="4" width="18" customWidth="1"/>
    <col min="5" max="5" width="12" customWidth="1"/>
    <col min="6" max="6" width="10" customWidth="1"/>
    <col min="7" max="7" width="15" customWidth="1"/>
    <col min="8" max="8" width="20" customWidth="1"/>
    <col min="9" max="9" width="18" customWidth="1"/>
  </cols>
  <sheetData>
    <row r="1" spans="1:9" ht="30" customHeight="1" x14ac:dyDescent="0.25">
      <c r="A1" s="186" t="s">
        <v>366</v>
      </c>
      <c r="B1" s="164"/>
      <c r="C1" s="164"/>
      <c r="D1" s="164"/>
      <c r="E1" s="164"/>
      <c r="F1" s="164"/>
      <c r="G1" s="164"/>
      <c r="H1" s="165"/>
    </row>
    <row r="3" spans="1:9" x14ac:dyDescent="0.25">
      <c r="A3" s="199" t="s">
        <v>368</v>
      </c>
      <c r="B3" s="139"/>
      <c r="C3" s="139"/>
      <c r="D3" s="139"/>
      <c r="E3" s="139"/>
      <c r="F3" s="139"/>
      <c r="G3" s="139"/>
      <c r="H3" s="139"/>
    </row>
    <row r="5" spans="1:9" ht="30" customHeight="1" x14ac:dyDescent="0.25">
      <c r="A5" s="79" t="s">
        <v>369</v>
      </c>
      <c r="B5" s="79" t="s">
        <v>183</v>
      </c>
      <c r="C5" s="79" t="s">
        <v>184</v>
      </c>
      <c r="D5" s="79" t="s">
        <v>185</v>
      </c>
      <c r="E5" s="79" t="s">
        <v>133</v>
      </c>
      <c r="F5" s="79" t="s">
        <v>126</v>
      </c>
      <c r="G5" s="79" t="s">
        <v>207</v>
      </c>
      <c r="H5" s="79" t="s">
        <v>370</v>
      </c>
      <c r="I5" s="54" t="s">
        <v>367</v>
      </c>
    </row>
    <row r="6" spans="1:9" ht="30" customHeight="1" x14ac:dyDescent="0.25">
      <c r="A6" s="1" t="s">
        <v>371</v>
      </c>
      <c r="B6" s="1" t="s">
        <v>372</v>
      </c>
      <c r="C6" s="73" t="s">
        <v>373</v>
      </c>
      <c r="D6" s="1" t="s">
        <v>374</v>
      </c>
      <c r="E6" s="5" t="s">
        <v>375</v>
      </c>
      <c r="F6" s="1" t="s">
        <v>134</v>
      </c>
      <c r="G6" s="1" t="s">
        <v>357</v>
      </c>
      <c r="H6" s="1" t="s">
        <v>376</v>
      </c>
      <c r="I6" s="37"/>
    </row>
    <row r="7" spans="1:9" x14ac:dyDescent="0.25">
      <c r="A7" s="1" t="s">
        <v>377</v>
      </c>
      <c r="B7" s="1" t="s">
        <v>378</v>
      </c>
      <c r="C7" s="73" t="s">
        <v>379</v>
      </c>
      <c r="D7" s="1" t="s">
        <v>374</v>
      </c>
      <c r="E7" s="5" t="s">
        <v>375</v>
      </c>
      <c r="F7" s="1" t="s">
        <v>134</v>
      </c>
      <c r="G7" s="1" t="s">
        <v>380</v>
      </c>
      <c r="H7" s="1" t="s">
        <v>381</v>
      </c>
      <c r="I7" s="37"/>
    </row>
    <row r="8" spans="1:9" x14ac:dyDescent="0.25">
      <c r="A8" s="1" t="s">
        <v>382</v>
      </c>
      <c r="B8" s="1" t="s">
        <v>383</v>
      </c>
      <c r="C8" s="73" t="s">
        <v>384</v>
      </c>
      <c r="D8" s="1" t="s">
        <v>374</v>
      </c>
      <c r="E8" s="74" t="s">
        <v>385</v>
      </c>
      <c r="F8" s="1" t="s">
        <v>136</v>
      </c>
      <c r="G8" s="1" t="s">
        <v>357</v>
      </c>
      <c r="H8" s="1" t="s">
        <v>386</v>
      </c>
      <c r="I8" s="37"/>
    </row>
    <row r="9" spans="1:9" x14ac:dyDescent="0.25">
      <c r="A9" s="1" t="s">
        <v>387</v>
      </c>
      <c r="B9" s="1" t="s">
        <v>388</v>
      </c>
      <c r="C9" s="1" t="s">
        <v>389</v>
      </c>
      <c r="D9" s="1" t="s">
        <v>374</v>
      </c>
      <c r="E9" s="63" t="s">
        <v>390</v>
      </c>
      <c r="F9" s="1" t="s">
        <v>139</v>
      </c>
      <c r="G9" s="1" t="s">
        <v>391</v>
      </c>
      <c r="H9" s="1" t="s">
        <v>283</v>
      </c>
      <c r="I9" s="37"/>
    </row>
    <row r="10" spans="1:9" x14ac:dyDescent="0.25">
      <c r="A10" s="1" t="s">
        <v>392</v>
      </c>
      <c r="B10" s="1" t="s">
        <v>393</v>
      </c>
      <c r="C10" s="73" t="s">
        <v>394</v>
      </c>
      <c r="D10" s="1" t="s">
        <v>374</v>
      </c>
      <c r="E10" s="5" t="s">
        <v>375</v>
      </c>
      <c r="F10" s="1" t="s">
        <v>134</v>
      </c>
      <c r="G10" s="1" t="s">
        <v>357</v>
      </c>
      <c r="H10" s="1" t="s">
        <v>395</v>
      </c>
      <c r="I10" s="37"/>
    </row>
    <row r="11" spans="1:9" x14ac:dyDescent="0.25">
      <c r="I11" s="37"/>
    </row>
    <row r="12" spans="1:9" x14ac:dyDescent="0.25">
      <c r="I12" s="37"/>
    </row>
    <row r="13" spans="1:9" x14ac:dyDescent="0.25">
      <c r="I13" s="37"/>
    </row>
    <row r="14" spans="1:9" x14ac:dyDescent="0.25">
      <c r="I14" s="37"/>
    </row>
    <row r="15" spans="1:9" x14ac:dyDescent="0.25">
      <c r="I15" s="37"/>
    </row>
    <row r="16" spans="1:9" x14ac:dyDescent="0.25">
      <c r="I16" s="37"/>
    </row>
    <row r="17" spans="9:9" x14ac:dyDescent="0.25">
      <c r="I17" s="37"/>
    </row>
    <row r="18" spans="9:9" x14ac:dyDescent="0.25">
      <c r="I18" s="37"/>
    </row>
    <row r="19" spans="9:9" x14ac:dyDescent="0.25">
      <c r="I19" s="37"/>
    </row>
    <row r="20" spans="9:9" x14ac:dyDescent="0.25">
      <c r="I20" s="37"/>
    </row>
    <row r="21" spans="9:9" x14ac:dyDescent="0.25">
      <c r="I21" s="37"/>
    </row>
    <row r="22" spans="9:9" x14ac:dyDescent="0.25">
      <c r="I22" s="37"/>
    </row>
    <row r="23" spans="9:9" x14ac:dyDescent="0.25">
      <c r="I23" s="37"/>
    </row>
    <row r="24" spans="9:9" x14ac:dyDescent="0.25">
      <c r="I24" s="37"/>
    </row>
    <row r="25" spans="9:9" x14ac:dyDescent="0.25">
      <c r="I25" s="37"/>
    </row>
    <row r="26" spans="9:9" x14ac:dyDescent="0.25">
      <c r="I26" s="37"/>
    </row>
    <row r="27" spans="9:9" x14ac:dyDescent="0.25">
      <c r="I27" s="37"/>
    </row>
    <row r="28" spans="9:9" x14ac:dyDescent="0.25">
      <c r="I28" s="37"/>
    </row>
    <row r="29" spans="9:9" x14ac:dyDescent="0.25">
      <c r="I29" s="37"/>
    </row>
    <row r="30" spans="9:9" x14ac:dyDescent="0.25">
      <c r="I30" s="37"/>
    </row>
    <row r="31" spans="9:9" x14ac:dyDescent="0.25">
      <c r="I31" s="37"/>
    </row>
    <row r="32" spans="9:9" x14ac:dyDescent="0.25">
      <c r="I32" s="37"/>
    </row>
    <row r="33" spans="9:9" x14ac:dyDescent="0.25">
      <c r="I33" s="37"/>
    </row>
    <row r="34" spans="9:9" x14ac:dyDescent="0.25">
      <c r="I34" s="37"/>
    </row>
    <row r="35" spans="9:9" x14ac:dyDescent="0.25">
      <c r="I35" s="37"/>
    </row>
    <row r="36" spans="9:9" x14ac:dyDescent="0.25">
      <c r="I36" s="37"/>
    </row>
    <row r="37" spans="9:9" x14ac:dyDescent="0.25">
      <c r="I37" s="37"/>
    </row>
    <row r="38" spans="9:9" x14ac:dyDescent="0.25">
      <c r="I38" s="37"/>
    </row>
    <row r="39" spans="9:9" x14ac:dyDescent="0.25">
      <c r="I39" s="37"/>
    </row>
    <row r="40" spans="9:9" x14ac:dyDescent="0.25">
      <c r="I40" s="37"/>
    </row>
    <row r="41" spans="9:9" x14ac:dyDescent="0.25">
      <c r="I41" s="37"/>
    </row>
    <row r="42" spans="9:9" x14ac:dyDescent="0.25">
      <c r="I42" s="37"/>
    </row>
    <row r="43" spans="9:9" x14ac:dyDescent="0.25">
      <c r="I43" s="37"/>
    </row>
    <row r="44" spans="9:9" x14ac:dyDescent="0.25">
      <c r="I44" s="37"/>
    </row>
    <row r="45" spans="9:9" x14ac:dyDescent="0.25">
      <c r="I45" s="37"/>
    </row>
    <row r="46" spans="9:9" x14ac:dyDescent="0.25">
      <c r="I46" s="37"/>
    </row>
    <row r="47" spans="9:9" x14ac:dyDescent="0.25">
      <c r="I47" s="37"/>
    </row>
    <row r="48" spans="9:9" x14ac:dyDescent="0.25">
      <c r="I48" s="37"/>
    </row>
    <row r="49" spans="1:9" x14ac:dyDescent="0.25">
      <c r="I49" s="37"/>
    </row>
    <row r="50" spans="1:9" x14ac:dyDescent="0.25">
      <c r="A50" s="198" t="s">
        <v>396</v>
      </c>
      <c r="B50" s="139"/>
      <c r="C50" s="139"/>
      <c r="D50" s="139"/>
      <c r="E50" s="139"/>
      <c r="F50" s="139"/>
      <c r="G50" s="139"/>
      <c r="H50" s="139"/>
      <c r="I50" s="37"/>
    </row>
    <row r="51" spans="1:9" x14ac:dyDescent="0.25">
      <c r="A51" s="200" t="s">
        <v>397</v>
      </c>
      <c r="B51" s="139"/>
      <c r="C51" s="139"/>
      <c r="D51" s="139"/>
      <c r="E51" s="139"/>
      <c r="F51" s="139"/>
      <c r="G51" s="139"/>
      <c r="H51" s="139"/>
      <c r="I51" s="37"/>
    </row>
    <row r="52" spans="1:9" x14ac:dyDescent="0.25">
      <c r="I52" s="37"/>
    </row>
    <row r="53" spans="1:9" x14ac:dyDescent="0.25">
      <c r="I53" s="37"/>
    </row>
    <row r="54" spans="1:9" x14ac:dyDescent="0.25">
      <c r="I54" s="37"/>
    </row>
    <row r="55" spans="1:9" x14ac:dyDescent="0.25">
      <c r="I55" s="37"/>
    </row>
    <row r="56" spans="1:9" x14ac:dyDescent="0.25">
      <c r="I56" s="37"/>
    </row>
    <row r="57" spans="1:9" x14ac:dyDescent="0.25">
      <c r="I57" s="37"/>
    </row>
    <row r="58" spans="1:9" x14ac:dyDescent="0.25">
      <c r="I58" s="37"/>
    </row>
    <row r="59" spans="1:9" x14ac:dyDescent="0.25">
      <c r="I59" s="37"/>
    </row>
    <row r="60" spans="1:9" x14ac:dyDescent="0.25">
      <c r="I60" s="37"/>
    </row>
    <row r="61" spans="1:9" x14ac:dyDescent="0.25">
      <c r="I61" s="37"/>
    </row>
    <row r="62" spans="1:9" x14ac:dyDescent="0.25">
      <c r="I62" s="37"/>
    </row>
    <row r="63" spans="1:9" x14ac:dyDescent="0.25">
      <c r="I63" s="37"/>
    </row>
    <row r="64" spans="1:9" x14ac:dyDescent="0.25">
      <c r="I64" s="37"/>
    </row>
    <row r="65" spans="9:9" x14ac:dyDescent="0.25">
      <c r="I65" s="37"/>
    </row>
    <row r="66" spans="9:9" x14ac:dyDescent="0.25">
      <c r="I66" s="37"/>
    </row>
    <row r="67" spans="9:9" x14ac:dyDescent="0.25">
      <c r="I67" s="37"/>
    </row>
    <row r="68" spans="9:9" x14ac:dyDescent="0.25">
      <c r="I68" s="37"/>
    </row>
    <row r="69" spans="9:9" x14ac:dyDescent="0.25">
      <c r="I69" s="37"/>
    </row>
    <row r="70" spans="9:9" x14ac:dyDescent="0.25">
      <c r="I70" s="37"/>
    </row>
    <row r="71" spans="9:9" x14ac:dyDescent="0.25">
      <c r="I71" s="37"/>
    </row>
    <row r="72" spans="9:9" x14ac:dyDescent="0.25">
      <c r="I72" s="37"/>
    </row>
    <row r="73" spans="9:9" x14ac:dyDescent="0.25">
      <c r="I73" s="37"/>
    </row>
    <row r="74" spans="9:9" x14ac:dyDescent="0.25">
      <c r="I74" s="37"/>
    </row>
    <row r="75" spans="9:9" x14ac:dyDescent="0.25">
      <c r="I75" s="37"/>
    </row>
    <row r="76" spans="9:9" x14ac:dyDescent="0.25">
      <c r="I76" s="37"/>
    </row>
    <row r="77" spans="9:9" x14ac:dyDescent="0.25">
      <c r="I77" s="37"/>
    </row>
    <row r="78" spans="9:9" x14ac:dyDescent="0.25">
      <c r="I78" s="37"/>
    </row>
    <row r="79" spans="9:9" x14ac:dyDescent="0.25">
      <c r="I79" s="37"/>
    </row>
    <row r="80" spans="9:9" x14ac:dyDescent="0.25">
      <c r="I80" s="37"/>
    </row>
    <row r="81" spans="9:9" x14ac:dyDescent="0.25">
      <c r="I81" s="37"/>
    </row>
    <row r="82" spans="9:9" x14ac:dyDescent="0.25">
      <c r="I82" s="37"/>
    </row>
    <row r="83" spans="9:9" x14ac:dyDescent="0.25">
      <c r="I83" s="37"/>
    </row>
    <row r="84" spans="9:9" x14ac:dyDescent="0.25">
      <c r="I84" s="37"/>
    </row>
    <row r="85" spans="9:9" x14ac:dyDescent="0.25">
      <c r="I85" s="37"/>
    </row>
    <row r="86" spans="9:9" x14ac:dyDescent="0.25">
      <c r="I86" s="37"/>
    </row>
    <row r="87" spans="9:9" x14ac:dyDescent="0.25">
      <c r="I87" s="37"/>
    </row>
    <row r="88" spans="9:9" x14ac:dyDescent="0.25">
      <c r="I88" s="37"/>
    </row>
    <row r="89" spans="9:9" x14ac:dyDescent="0.25">
      <c r="I89" s="37"/>
    </row>
    <row r="90" spans="9:9" x14ac:dyDescent="0.25">
      <c r="I90" s="37"/>
    </row>
    <row r="91" spans="9:9" x14ac:dyDescent="0.25">
      <c r="I91" s="37"/>
    </row>
    <row r="92" spans="9:9" x14ac:dyDescent="0.25">
      <c r="I92" s="37"/>
    </row>
    <row r="93" spans="9:9" x14ac:dyDescent="0.25">
      <c r="I93" s="37"/>
    </row>
    <row r="94" spans="9:9" x14ac:dyDescent="0.25">
      <c r="I94" s="37"/>
    </row>
    <row r="95" spans="9:9" x14ac:dyDescent="0.25">
      <c r="I95" s="37"/>
    </row>
    <row r="96" spans="9:9" x14ac:dyDescent="0.25">
      <c r="I96" s="37"/>
    </row>
    <row r="97" spans="9:9" x14ac:dyDescent="0.25">
      <c r="I97" s="37"/>
    </row>
    <row r="98" spans="9:9" x14ac:dyDescent="0.25">
      <c r="I98" s="37"/>
    </row>
    <row r="99" spans="9:9" x14ac:dyDescent="0.25">
      <c r="I99" s="37"/>
    </row>
    <row r="100" spans="9:9" x14ac:dyDescent="0.25">
      <c r="I100" s="37"/>
    </row>
    <row r="101" spans="9:9" x14ac:dyDescent="0.25">
      <c r="I101" s="37"/>
    </row>
    <row r="102" spans="9:9" x14ac:dyDescent="0.25">
      <c r="I102" s="37"/>
    </row>
    <row r="103" spans="9:9" x14ac:dyDescent="0.25">
      <c r="I103" s="37"/>
    </row>
    <row r="104" spans="9:9" x14ac:dyDescent="0.25">
      <c r="I104" s="37"/>
    </row>
    <row r="105" spans="9:9" x14ac:dyDescent="0.25">
      <c r="I105" s="37"/>
    </row>
    <row r="106" spans="9:9" x14ac:dyDescent="0.25">
      <c r="I106" s="37"/>
    </row>
    <row r="107" spans="9:9" x14ac:dyDescent="0.25">
      <c r="I107" s="37"/>
    </row>
    <row r="108" spans="9:9" x14ac:dyDescent="0.25">
      <c r="I108" s="37"/>
    </row>
    <row r="109" spans="9:9" x14ac:dyDescent="0.25">
      <c r="I109" s="37"/>
    </row>
    <row r="110" spans="9:9" x14ac:dyDescent="0.25">
      <c r="I110" s="37"/>
    </row>
    <row r="111" spans="9:9" x14ac:dyDescent="0.25">
      <c r="I111" s="37"/>
    </row>
    <row r="112" spans="9:9" x14ac:dyDescent="0.25">
      <c r="I112" s="37"/>
    </row>
    <row r="113" spans="9:9" x14ac:dyDescent="0.25">
      <c r="I113" s="37"/>
    </row>
    <row r="114" spans="9:9" x14ac:dyDescent="0.25">
      <c r="I114" s="37"/>
    </row>
    <row r="115" spans="9:9" x14ac:dyDescent="0.25">
      <c r="I115" s="37"/>
    </row>
    <row r="116" spans="9:9" x14ac:dyDescent="0.25">
      <c r="I116" s="37"/>
    </row>
    <row r="117" spans="9:9" x14ac:dyDescent="0.25">
      <c r="I117" s="37"/>
    </row>
    <row r="118" spans="9:9" x14ac:dyDescent="0.25">
      <c r="I118" s="37"/>
    </row>
    <row r="119" spans="9:9" x14ac:dyDescent="0.25">
      <c r="I119" s="37"/>
    </row>
    <row r="120" spans="9:9" x14ac:dyDescent="0.25">
      <c r="I120" s="37"/>
    </row>
    <row r="121" spans="9:9" x14ac:dyDescent="0.25">
      <c r="I121" s="37"/>
    </row>
    <row r="122" spans="9:9" x14ac:dyDescent="0.25">
      <c r="I122" s="37"/>
    </row>
    <row r="123" spans="9:9" x14ac:dyDescent="0.25">
      <c r="I123" s="37"/>
    </row>
    <row r="124" spans="9:9" x14ac:dyDescent="0.25">
      <c r="I124" s="37"/>
    </row>
    <row r="125" spans="9:9" x14ac:dyDescent="0.25">
      <c r="I125" s="37"/>
    </row>
    <row r="126" spans="9:9" x14ac:dyDescent="0.25">
      <c r="I126" s="37"/>
    </row>
    <row r="127" spans="9:9" x14ac:dyDescent="0.25">
      <c r="I127" s="37"/>
    </row>
    <row r="128" spans="9:9" x14ac:dyDescent="0.25">
      <c r="I128" s="37"/>
    </row>
    <row r="129" spans="9:9" x14ac:dyDescent="0.25">
      <c r="I129" s="37"/>
    </row>
    <row r="130" spans="9:9" x14ac:dyDescent="0.25">
      <c r="I130" s="37"/>
    </row>
    <row r="131" spans="9:9" x14ac:dyDescent="0.25">
      <c r="I131" s="37"/>
    </row>
    <row r="132" spans="9:9" x14ac:dyDescent="0.25">
      <c r="I132" s="37"/>
    </row>
    <row r="133" spans="9:9" x14ac:dyDescent="0.25">
      <c r="I133" s="37"/>
    </row>
    <row r="134" spans="9:9" x14ac:dyDescent="0.25">
      <c r="I134" s="37"/>
    </row>
    <row r="135" spans="9:9" x14ac:dyDescent="0.25">
      <c r="I135" s="37"/>
    </row>
    <row r="136" spans="9:9" x14ac:dyDescent="0.25">
      <c r="I136" s="37"/>
    </row>
    <row r="137" spans="9:9" x14ac:dyDescent="0.25">
      <c r="I137" s="37"/>
    </row>
    <row r="138" spans="9:9" x14ac:dyDescent="0.25">
      <c r="I138" s="37"/>
    </row>
    <row r="139" spans="9:9" x14ac:dyDescent="0.25">
      <c r="I139" s="37"/>
    </row>
    <row r="140" spans="9:9" x14ac:dyDescent="0.25">
      <c r="I140" s="37"/>
    </row>
    <row r="141" spans="9:9" x14ac:dyDescent="0.25">
      <c r="I141" s="37"/>
    </row>
    <row r="142" spans="9:9" x14ac:dyDescent="0.25">
      <c r="I142" s="37"/>
    </row>
    <row r="143" spans="9:9" x14ac:dyDescent="0.25">
      <c r="I143" s="37"/>
    </row>
    <row r="144" spans="9:9" x14ac:dyDescent="0.25">
      <c r="I144" s="37"/>
    </row>
    <row r="145" spans="9:9" x14ac:dyDescent="0.25">
      <c r="I145" s="37"/>
    </row>
    <row r="146" spans="9:9" x14ac:dyDescent="0.25">
      <c r="I146" s="37"/>
    </row>
    <row r="147" spans="9:9" x14ac:dyDescent="0.25">
      <c r="I147" s="37"/>
    </row>
    <row r="148" spans="9:9" x14ac:dyDescent="0.25">
      <c r="I148" s="37"/>
    </row>
    <row r="149" spans="9:9" x14ac:dyDescent="0.25">
      <c r="I149" s="37"/>
    </row>
    <row r="150" spans="9:9" x14ac:dyDescent="0.25">
      <c r="I150" s="37"/>
    </row>
    <row r="151" spans="9:9" x14ac:dyDescent="0.25">
      <c r="I151" s="37"/>
    </row>
    <row r="152" spans="9:9" x14ac:dyDescent="0.25">
      <c r="I152" s="37"/>
    </row>
    <row r="153" spans="9:9" x14ac:dyDescent="0.25">
      <c r="I153" s="37"/>
    </row>
    <row r="154" spans="9:9" x14ac:dyDescent="0.25">
      <c r="I154" s="37"/>
    </row>
    <row r="155" spans="9:9" x14ac:dyDescent="0.25">
      <c r="I155" s="37"/>
    </row>
    <row r="156" spans="9:9" x14ac:dyDescent="0.25">
      <c r="I156" s="37"/>
    </row>
    <row r="157" spans="9:9" x14ac:dyDescent="0.25">
      <c r="I157" s="37"/>
    </row>
    <row r="158" spans="9:9" x14ac:dyDescent="0.25">
      <c r="I158" s="37"/>
    </row>
    <row r="159" spans="9:9" x14ac:dyDescent="0.25">
      <c r="I159" s="37"/>
    </row>
    <row r="160" spans="9:9" x14ac:dyDescent="0.25">
      <c r="I160" s="37"/>
    </row>
    <row r="161" spans="9:9" x14ac:dyDescent="0.25">
      <c r="I161" s="37"/>
    </row>
    <row r="162" spans="9:9" x14ac:dyDescent="0.25">
      <c r="I162" s="37"/>
    </row>
    <row r="163" spans="9:9" x14ac:dyDescent="0.25">
      <c r="I163" s="37"/>
    </row>
    <row r="164" spans="9:9" x14ac:dyDescent="0.25">
      <c r="I164" s="37"/>
    </row>
    <row r="165" spans="9:9" x14ac:dyDescent="0.25">
      <c r="I165" s="37"/>
    </row>
    <row r="166" spans="9:9" x14ac:dyDescent="0.25">
      <c r="I166" s="37"/>
    </row>
    <row r="167" spans="9:9" x14ac:dyDescent="0.25">
      <c r="I167" s="37"/>
    </row>
    <row r="168" spans="9:9" x14ac:dyDescent="0.25">
      <c r="I168" s="37"/>
    </row>
    <row r="169" spans="9:9" x14ac:dyDescent="0.25">
      <c r="I169" s="37"/>
    </row>
    <row r="170" spans="9:9" x14ac:dyDescent="0.25">
      <c r="I170" s="37"/>
    </row>
    <row r="171" spans="9:9" x14ac:dyDescent="0.25">
      <c r="I171" s="37"/>
    </row>
    <row r="172" spans="9:9" x14ac:dyDescent="0.25">
      <c r="I172" s="37"/>
    </row>
    <row r="173" spans="9:9" x14ac:dyDescent="0.25">
      <c r="I173" s="37"/>
    </row>
    <row r="174" spans="9:9" x14ac:dyDescent="0.25">
      <c r="I174" s="37"/>
    </row>
    <row r="175" spans="9:9" x14ac:dyDescent="0.25">
      <c r="I175" s="37"/>
    </row>
    <row r="176" spans="9:9" x14ac:dyDescent="0.25">
      <c r="I176" s="37"/>
    </row>
    <row r="177" spans="9:9" x14ac:dyDescent="0.25">
      <c r="I177" s="37"/>
    </row>
    <row r="178" spans="9:9" x14ac:dyDescent="0.25">
      <c r="I178" s="37"/>
    </row>
    <row r="179" spans="9:9" x14ac:dyDescent="0.25">
      <c r="I179" s="37"/>
    </row>
    <row r="180" spans="9:9" x14ac:dyDescent="0.25">
      <c r="I180" s="37"/>
    </row>
    <row r="181" spans="9:9" x14ac:dyDescent="0.25">
      <c r="I181" s="37"/>
    </row>
    <row r="182" spans="9:9" x14ac:dyDescent="0.25">
      <c r="I182" s="37"/>
    </row>
    <row r="183" spans="9:9" x14ac:dyDescent="0.25">
      <c r="I183" s="37"/>
    </row>
    <row r="184" spans="9:9" x14ac:dyDescent="0.25">
      <c r="I184" s="37"/>
    </row>
    <row r="185" spans="9:9" x14ac:dyDescent="0.25">
      <c r="I185" s="37"/>
    </row>
    <row r="186" spans="9:9" x14ac:dyDescent="0.25">
      <c r="I186" s="37"/>
    </row>
    <row r="187" spans="9:9" x14ac:dyDescent="0.25">
      <c r="I187" s="37"/>
    </row>
    <row r="188" spans="9:9" x14ac:dyDescent="0.25">
      <c r="I188" s="37"/>
    </row>
    <row r="189" spans="9:9" x14ac:dyDescent="0.25">
      <c r="I189" s="37"/>
    </row>
    <row r="190" spans="9:9" x14ac:dyDescent="0.25">
      <c r="I190" s="37"/>
    </row>
    <row r="191" spans="9:9" x14ac:dyDescent="0.25">
      <c r="I191" s="37"/>
    </row>
    <row r="192" spans="9:9" x14ac:dyDescent="0.25">
      <c r="I192" s="37"/>
    </row>
    <row r="193" spans="9:9" x14ac:dyDescent="0.25">
      <c r="I193" s="37"/>
    </row>
    <row r="194" spans="9:9" x14ac:dyDescent="0.25">
      <c r="I194" s="37"/>
    </row>
    <row r="195" spans="9:9" x14ac:dyDescent="0.25">
      <c r="I195" s="37"/>
    </row>
    <row r="196" spans="9:9" x14ac:dyDescent="0.25">
      <c r="I196" s="37"/>
    </row>
    <row r="197" spans="9:9" x14ac:dyDescent="0.25">
      <c r="I197" s="37"/>
    </row>
    <row r="198" spans="9:9" x14ac:dyDescent="0.25">
      <c r="I198" s="37"/>
    </row>
    <row r="199" spans="9:9" x14ac:dyDescent="0.25">
      <c r="I199" s="37"/>
    </row>
    <row r="200" spans="9:9" x14ac:dyDescent="0.25">
      <c r="I200" s="37"/>
    </row>
    <row r="201" spans="9:9" x14ac:dyDescent="0.25">
      <c r="I201" s="37"/>
    </row>
    <row r="202" spans="9:9" x14ac:dyDescent="0.25">
      <c r="I202" s="37"/>
    </row>
    <row r="203" spans="9:9" x14ac:dyDescent="0.25">
      <c r="I203" s="37"/>
    </row>
    <row r="204" spans="9:9" x14ac:dyDescent="0.25">
      <c r="I204" s="37"/>
    </row>
    <row r="205" spans="9:9" x14ac:dyDescent="0.25">
      <c r="I205" s="37"/>
    </row>
    <row r="206" spans="9:9" x14ac:dyDescent="0.25">
      <c r="I206" s="37"/>
    </row>
    <row r="207" spans="9:9" x14ac:dyDescent="0.25">
      <c r="I207" s="37"/>
    </row>
    <row r="208" spans="9:9" x14ac:dyDescent="0.25">
      <c r="I208" s="37"/>
    </row>
    <row r="209" spans="9:9" x14ac:dyDescent="0.25">
      <c r="I209" s="37"/>
    </row>
    <row r="210" spans="9:9" x14ac:dyDescent="0.25">
      <c r="I210" s="37"/>
    </row>
    <row r="211" spans="9:9" x14ac:dyDescent="0.25">
      <c r="I211" s="37"/>
    </row>
    <row r="212" spans="9:9" x14ac:dyDescent="0.25">
      <c r="I212" s="37"/>
    </row>
    <row r="213" spans="9:9" x14ac:dyDescent="0.25">
      <c r="I213" s="37"/>
    </row>
    <row r="214" spans="9:9" x14ac:dyDescent="0.25">
      <c r="I214" s="37"/>
    </row>
    <row r="215" spans="9:9" x14ac:dyDescent="0.25">
      <c r="I215" s="37"/>
    </row>
    <row r="216" spans="9:9" x14ac:dyDescent="0.25">
      <c r="I216" s="37"/>
    </row>
    <row r="217" spans="9:9" x14ac:dyDescent="0.25">
      <c r="I217" s="37"/>
    </row>
    <row r="218" spans="9:9" x14ac:dyDescent="0.25">
      <c r="I218" s="37"/>
    </row>
    <row r="219" spans="9:9" x14ac:dyDescent="0.25">
      <c r="I219" s="37"/>
    </row>
    <row r="220" spans="9:9" x14ac:dyDescent="0.25">
      <c r="I220" s="37"/>
    </row>
    <row r="221" spans="9:9" x14ac:dyDescent="0.25">
      <c r="I221" s="37"/>
    </row>
    <row r="222" spans="9:9" x14ac:dyDescent="0.25">
      <c r="I222" s="37"/>
    </row>
    <row r="223" spans="9:9" x14ac:dyDescent="0.25">
      <c r="I223" s="37"/>
    </row>
    <row r="224" spans="9:9" x14ac:dyDescent="0.25">
      <c r="I224" s="37"/>
    </row>
    <row r="225" spans="9:9" x14ac:dyDescent="0.25">
      <c r="I225" s="37"/>
    </row>
    <row r="226" spans="9:9" x14ac:dyDescent="0.25">
      <c r="I226" s="37"/>
    </row>
    <row r="227" spans="9:9" x14ac:dyDescent="0.25">
      <c r="I227" s="37"/>
    </row>
    <row r="228" spans="9:9" x14ac:dyDescent="0.25">
      <c r="I228" s="37"/>
    </row>
    <row r="229" spans="9:9" x14ac:dyDescent="0.25">
      <c r="I229" s="37"/>
    </row>
    <row r="230" spans="9:9" x14ac:dyDescent="0.25">
      <c r="I230" s="37"/>
    </row>
    <row r="231" spans="9:9" x14ac:dyDescent="0.25">
      <c r="I231" s="37"/>
    </row>
    <row r="232" spans="9:9" x14ac:dyDescent="0.25">
      <c r="I232" s="37"/>
    </row>
    <row r="233" spans="9:9" x14ac:dyDescent="0.25">
      <c r="I233" s="37"/>
    </row>
    <row r="234" spans="9:9" x14ac:dyDescent="0.25">
      <c r="I234" s="37"/>
    </row>
    <row r="235" spans="9:9" x14ac:dyDescent="0.25">
      <c r="I235" s="37"/>
    </row>
    <row r="236" spans="9:9" x14ac:dyDescent="0.25">
      <c r="I236" s="37"/>
    </row>
    <row r="237" spans="9:9" x14ac:dyDescent="0.25">
      <c r="I237" s="37"/>
    </row>
    <row r="238" spans="9:9" x14ac:dyDescent="0.25">
      <c r="I238" s="37"/>
    </row>
    <row r="239" spans="9:9" x14ac:dyDescent="0.25">
      <c r="I239" s="37"/>
    </row>
    <row r="240" spans="9:9" x14ac:dyDescent="0.25">
      <c r="I240" s="37"/>
    </row>
    <row r="241" spans="9:9" x14ac:dyDescent="0.25">
      <c r="I241" s="37"/>
    </row>
    <row r="242" spans="9:9" x14ac:dyDescent="0.25">
      <c r="I242" s="37"/>
    </row>
    <row r="243" spans="9:9" x14ac:dyDescent="0.25">
      <c r="I243" s="37"/>
    </row>
    <row r="244" spans="9:9" x14ac:dyDescent="0.25">
      <c r="I244" s="37"/>
    </row>
    <row r="245" spans="9:9" x14ac:dyDescent="0.25">
      <c r="I245" s="37"/>
    </row>
    <row r="246" spans="9:9" x14ac:dyDescent="0.25">
      <c r="I246" s="37"/>
    </row>
    <row r="247" spans="9:9" x14ac:dyDescent="0.25">
      <c r="I247" s="37"/>
    </row>
    <row r="248" spans="9:9" x14ac:dyDescent="0.25">
      <c r="I248" s="37"/>
    </row>
    <row r="249" spans="9:9" x14ac:dyDescent="0.25">
      <c r="I249" s="37"/>
    </row>
    <row r="250" spans="9:9" x14ac:dyDescent="0.25">
      <c r="I250" s="37"/>
    </row>
    <row r="251" spans="9:9" x14ac:dyDescent="0.25">
      <c r="I251" s="37"/>
    </row>
    <row r="252" spans="9:9" x14ac:dyDescent="0.25">
      <c r="I252" s="37"/>
    </row>
    <row r="253" spans="9:9" x14ac:dyDescent="0.25">
      <c r="I253" s="37"/>
    </row>
    <row r="254" spans="9:9" x14ac:dyDescent="0.25">
      <c r="I254" s="37"/>
    </row>
    <row r="255" spans="9:9" x14ac:dyDescent="0.25">
      <c r="I255" s="37"/>
    </row>
    <row r="256" spans="9:9" x14ac:dyDescent="0.25">
      <c r="I256" s="37"/>
    </row>
    <row r="257" spans="9:9" x14ac:dyDescent="0.25">
      <c r="I257" s="37"/>
    </row>
    <row r="258" spans="9:9" x14ac:dyDescent="0.25">
      <c r="I258" s="37"/>
    </row>
    <row r="259" spans="9:9" x14ac:dyDescent="0.25">
      <c r="I259" s="37"/>
    </row>
    <row r="260" spans="9:9" x14ac:dyDescent="0.25">
      <c r="I260" s="37"/>
    </row>
    <row r="261" spans="9:9" x14ac:dyDescent="0.25">
      <c r="I261" s="37"/>
    </row>
    <row r="262" spans="9:9" x14ac:dyDescent="0.25">
      <c r="I262" s="37"/>
    </row>
    <row r="263" spans="9:9" x14ac:dyDescent="0.25">
      <c r="I263" s="37"/>
    </row>
    <row r="264" spans="9:9" x14ac:dyDescent="0.25">
      <c r="I264" s="37"/>
    </row>
    <row r="265" spans="9:9" x14ac:dyDescent="0.25">
      <c r="I265" s="37"/>
    </row>
    <row r="266" spans="9:9" x14ac:dyDescent="0.25">
      <c r="I266" s="37"/>
    </row>
    <row r="267" spans="9:9" x14ac:dyDescent="0.25">
      <c r="I267" s="37"/>
    </row>
    <row r="268" spans="9:9" x14ac:dyDescent="0.25">
      <c r="I268" s="37"/>
    </row>
    <row r="269" spans="9:9" x14ac:dyDescent="0.25">
      <c r="I269" s="37"/>
    </row>
    <row r="270" spans="9:9" x14ac:dyDescent="0.25">
      <c r="I270" s="37"/>
    </row>
    <row r="271" spans="9:9" x14ac:dyDescent="0.25">
      <c r="I271" s="37"/>
    </row>
    <row r="272" spans="9:9" x14ac:dyDescent="0.25">
      <c r="I272" s="37"/>
    </row>
    <row r="273" spans="9:9" x14ac:dyDescent="0.25">
      <c r="I273" s="37"/>
    </row>
    <row r="274" spans="9:9" x14ac:dyDescent="0.25">
      <c r="I274" s="37"/>
    </row>
    <row r="275" spans="9:9" x14ac:dyDescent="0.25">
      <c r="I275" s="37"/>
    </row>
    <row r="276" spans="9:9" x14ac:dyDescent="0.25">
      <c r="I276" s="37"/>
    </row>
    <row r="277" spans="9:9" x14ac:dyDescent="0.25">
      <c r="I277" s="37"/>
    </row>
    <row r="278" spans="9:9" x14ac:dyDescent="0.25">
      <c r="I278" s="37"/>
    </row>
    <row r="279" spans="9:9" x14ac:dyDescent="0.25">
      <c r="I279" s="37"/>
    </row>
    <row r="280" spans="9:9" x14ac:dyDescent="0.25">
      <c r="I280" s="37"/>
    </row>
    <row r="281" spans="9:9" x14ac:dyDescent="0.25">
      <c r="I281" s="37"/>
    </row>
    <row r="282" spans="9:9" x14ac:dyDescent="0.25">
      <c r="I282" s="37"/>
    </row>
    <row r="283" spans="9:9" x14ac:dyDescent="0.25">
      <c r="I283" s="37"/>
    </row>
    <row r="284" spans="9:9" x14ac:dyDescent="0.25">
      <c r="I284" s="37"/>
    </row>
    <row r="285" spans="9:9" x14ac:dyDescent="0.25">
      <c r="I285" s="37"/>
    </row>
    <row r="286" spans="9:9" x14ac:dyDescent="0.25">
      <c r="I286" s="37"/>
    </row>
    <row r="287" spans="9:9" x14ac:dyDescent="0.25">
      <c r="I287" s="37"/>
    </row>
    <row r="288" spans="9:9" x14ac:dyDescent="0.25">
      <c r="I288" s="37"/>
    </row>
    <row r="289" spans="9:9" x14ac:dyDescent="0.25">
      <c r="I289" s="37"/>
    </row>
    <row r="290" spans="9:9" x14ac:dyDescent="0.25">
      <c r="I290" s="37"/>
    </row>
    <row r="291" spans="9:9" x14ac:dyDescent="0.25">
      <c r="I291" s="37"/>
    </row>
    <row r="292" spans="9:9" x14ac:dyDescent="0.25">
      <c r="I292" s="37"/>
    </row>
    <row r="293" spans="9:9" x14ac:dyDescent="0.25">
      <c r="I293" s="37"/>
    </row>
    <row r="294" spans="9:9" x14ac:dyDescent="0.25">
      <c r="I294" s="37"/>
    </row>
    <row r="295" spans="9:9" x14ac:dyDescent="0.25">
      <c r="I295" s="37"/>
    </row>
    <row r="296" spans="9:9" x14ac:dyDescent="0.25">
      <c r="I296" s="37"/>
    </row>
    <row r="297" spans="9:9" x14ac:dyDescent="0.25">
      <c r="I297" s="37"/>
    </row>
    <row r="298" spans="9:9" x14ac:dyDescent="0.25">
      <c r="I298" s="37"/>
    </row>
    <row r="299" spans="9:9" x14ac:dyDescent="0.25">
      <c r="I299" s="37"/>
    </row>
    <row r="300" spans="9:9" x14ac:dyDescent="0.25">
      <c r="I300" s="37"/>
    </row>
    <row r="301" spans="9:9" x14ac:dyDescent="0.25">
      <c r="I301" s="37"/>
    </row>
    <row r="302" spans="9:9" x14ac:dyDescent="0.25">
      <c r="I302" s="37"/>
    </row>
    <row r="303" spans="9:9" x14ac:dyDescent="0.25">
      <c r="I303" s="37"/>
    </row>
    <row r="304" spans="9:9" x14ac:dyDescent="0.25">
      <c r="I304" s="37"/>
    </row>
    <row r="305" spans="9:9" x14ac:dyDescent="0.25">
      <c r="I305" s="37"/>
    </row>
    <row r="306" spans="9:9" x14ac:dyDescent="0.25">
      <c r="I306" s="37"/>
    </row>
    <row r="307" spans="9:9" x14ac:dyDescent="0.25">
      <c r="I307" s="37"/>
    </row>
    <row r="308" spans="9:9" x14ac:dyDescent="0.25">
      <c r="I308" s="37"/>
    </row>
    <row r="309" spans="9:9" x14ac:dyDescent="0.25">
      <c r="I309" s="37"/>
    </row>
    <row r="310" spans="9:9" x14ac:dyDescent="0.25">
      <c r="I310" s="37"/>
    </row>
    <row r="311" spans="9:9" x14ac:dyDescent="0.25">
      <c r="I311" s="37"/>
    </row>
    <row r="312" spans="9:9" x14ac:dyDescent="0.25">
      <c r="I312" s="37"/>
    </row>
    <row r="313" spans="9:9" x14ac:dyDescent="0.25">
      <c r="I313" s="37"/>
    </row>
    <row r="314" spans="9:9" x14ac:dyDescent="0.25">
      <c r="I314" s="37"/>
    </row>
    <row r="315" spans="9:9" x14ac:dyDescent="0.25">
      <c r="I315" s="37"/>
    </row>
    <row r="316" spans="9:9" x14ac:dyDescent="0.25">
      <c r="I316" s="37"/>
    </row>
    <row r="317" spans="9:9" x14ac:dyDescent="0.25">
      <c r="I317" s="37"/>
    </row>
    <row r="318" spans="9:9" x14ac:dyDescent="0.25">
      <c r="I318" s="37"/>
    </row>
    <row r="319" spans="9:9" x14ac:dyDescent="0.25">
      <c r="I319" s="37"/>
    </row>
    <row r="320" spans="9:9" x14ac:dyDescent="0.25">
      <c r="I320" s="37"/>
    </row>
    <row r="321" spans="9:9" x14ac:dyDescent="0.25">
      <c r="I321" s="37"/>
    </row>
    <row r="322" spans="9:9" x14ac:dyDescent="0.25">
      <c r="I322" s="37"/>
    </row>
    <row r="323" spans="9:9" x14ac:dyDescent="0.25">
      <c r="I323" s="37"/>
    </row>
    <row r="324" spans="9:9" x14ac:dyDescent="0.25">
      <c r="I324" s="37"/>
    </row>
    <row r="325" spans="9:9" x14ac:dyDescent="0.25">
      <c r="I325" s="37"/>
    </row>
    <row r="326" spans="9:9" x14ac:dyDescent="0.25">
      <c r="I326" s="37"/>
    </row>
    <row r="327" spans="9:9" x14ac:dyDescent="0.25">
      <c r="I327" s="37"/>
    </row>
    <row r="328" spans="9:9" x14ac:dyDescent="0.25">
      <c r="I328" s="37"/>
    </row>
    <row r="329" spans="9:9" x14ac:dyDescent="0.25">
      <c r="I329" s="37"/>
    </row>
    <row r="330" spans="9:9" x14ac:dyDescent="0.25">
      <c r="I330" s="37"/>
    </row>
    <row r="331" spans="9:9" x14ac:dyDescent="0.25">
      <c r="I331" s="37"/>
    </row>
    <row r="332" spans="9:9" x14ac:dyDescent="0.25">
      <c r="I332" s="37"/>
    </row>
    <row r="333" spans="9:9" x14ac:dyDescent="0.25">
      <c r="I333" s="37"/>
    </row>
    <row r="334" spans="9:9" x14ac:dyDescent="0.25">
      <c r="I334" s="37"/>
    </row>
    <row r="335" spans="9:9" x14ac:dyDescent="0.25">
      <c r="I335" s="37"/>
    </row>
    <row r="336" spans="9:9" x14ac:dyDescent="0.25">
      <c r="I336" s="37"/>
    </row>
    <row r="337" spans="9:9" x14ac:dyDescent="0.25">
      <c r="I337" s="37"/>
    </row>
    <row r="338" spans="9:9" x14ac:dyDescent="0.25">
      <c r="I338" s="37"/>
    </row>
    <row r="339" spans="9:9" x14ac:dyDescent="0.25">
      <c r="I339" s="37"/>
    </row>
    <row r="340" spans="9:9" x14ac:dyDescent="0.25">
      <c r="I340" s="37"/>
    </row>
    <row r="341" spans="9:9" x14ac:dyDescent="0.25">
      <c r="I341" s="37"/>
    </row>
    <row r="342" spans="9:9" x14ac:dyDescent="0.25">
      <c r="I342" s="37"/>
    </row>
    <row r="343" spans="9:9" x14ac:dyDescent="0.25">
      <c r="I343" s="37"/>
    </row>
    <row r="344" spans="9:9" x14ac:dyDescent="0.25">
      <c r="I344" s="37"/>
    </row>
    <row r="345" spans="9:9" x14ac:dyDescent="0.25">
      <c r="I345" s="37"/>
    </row>
    <row r="346" spans="9:9" x14ac:dyDescent="0.25">
      <c r="I346" s="37"/>
    </row>
    <row r="347" spans="9:9" x14ac:dyDescent="0.25">
      <c r="I347" s="37"/>
    </row>
    <row r="348" spans="9:9" x14ac:dyDescent="0.25">
      <c r="I348" s="37"/>
    </row>
    <row r="349" spans="9:9" x14ac:dyDescent="0.25">
      <c r="I349" s="37"/>
    </row>
    <row r="350" spans="9:9" x14ac:dyDescent="0.25">
      <c r="I350" s="37"/>
    </row>
    <row r="351" spans="9:9" x14ac:dyDescent="0.25">
      <c r="I351" s="37"/>
    </row>
    <row r="352" spans="9:9" x14ac:dyDescent="0.25">
      <c r="I352" s="37"/>
    </row>
    <row r="353" spans="9:9" x14ac:dyDescent="0.25">
      <c r="I353" s="37"/>
    </row>
    <row r="354" spans="9:9" x14ac:dyDescent="0.25">
      <c r="I354" s="37"/>
    </row>
    <row r="355" spans="9:9" x14ac:dyDescent="0.25">
      <c r="I355" s="37"/>
    </row>
    <row r="356" spans="9:9" x14ac:dyDescent="0.25">
      <c r="I356" s="37"/>
    </row>
    <row r="357" spans="9:9" x14ac:dyDescent="0.25">
      <c r="I357" s="37"/>
    </row>
    <row r="358" spans="9:9" x14ac:dyDescent="0.25">
      <c r="I358" s="37"/>
    </row>
    <row r="359" spans="9:9" x14ac:dyDescent="0.25">
      <c r="I359" s="37"/>
    </row>
    <row r="360" spans="9:9" x14ac:dyDescent="0.25">
      <c r="I360" s="37"/>
    </row>
    <row r="361" spans="9:9" x14ac:dyDescent="0.25">
      <c r="I361" s="37"/>
    </row>
    <row r="362" spans="9:9" x14ac:dyDescent="0.25">
      <c r="I362" s="37"/>
    </row>
    <row r="363" spans="9:9" x14ac:dyDescent="0.25">
      <c r="I363" s="37"/>
    </row>
    <row r="364" spans="9:9" x14ac:dyDescent="0.25">
      <c r="I364" s="37"/>
    </row>
    <row r="365" spans="9:9" x14ac:dyDescent="0.25">
      <c r="I365" s="37"/>
    </row>
    <row r="366" spans="9:9" x14ac:dyDescent="0.25">
      <c r="I366" s="37"/>
    </row>
    <row r="367" spans="9:9" x14ac:dyDescent="0.25">
      <c r="I367" s="37"/>
    </row>
    <row r="368" spans="9:9" x14ac:dyDescent="0.25">
      <c r="I368" s="37"/>
    </row>
    <row r="369" spans="9:9" x14ac:dyDescent="0.25">
      <c r="I369" s="37"/>
    </row>
    <row r="370" spans="9:9" x14ac:dyDescent="0.25">
      <c r="I370" s="37"/>
    </row>
    <row r="371" spans="9:9" x14ac:dyDescent="0.25">
      <c r="I371" s="37"/>
    </row>
    <row r="372" spans="9:9" x14ac:dyDescent="0.25">
      <c r="I372" s="37"/>
    </row>
    <row r="373" spans="9:9" x14ac:dyDescent="0.25">
      <c r="I373" s="37"/>
    </row>
    <row r="374" spans="9:9" x14ac:dyDescent="0.25">
      <c r="I374" s="37"/>
    </row>
    <row r="375" spans="9:9" x14ac:dyDescent="0.25">
      <c r="I375" s="37"/>
    </row>
    <row r="376" spans="9:9" x14ac:dyDescent="0.25">
      <c r="I376" s="37"/>
    </row>
    <row r="377" spans="9:9" x14ac:dyDescent="0.25">
      <c r="I377" s="37"/>
    </row>
    <row r="378" spans="9:9" x14ac:dyDescent="0.25">
      <c r="I378" s="37"/>
    </row>
    <row r="379" spans="9:9" x14ac:dyDescent="0.25">
      <c r="I379" s="37"/>
    </row>
    <row r="380" spans="9:9" x14ac:dyDescent="0.25">
      <c r="I380" s="37"/>
    </row>
    <row r="381" spans="9:9" x14ac:dyDescent="0.25">
      <c r="I381" s="37"/>
    </row>
    <row r="382" spans="9:9" x14ac:dyDescent="0.25">
      <c r="I382" s="37"/>
    </row>
    <row r="383" spans="9:9" x14ac:dyDescent="0.25">
      <c r="I383" s="37"/>
    </row>
    <row r="384" spans="9:9" x14ac:dyDescent="0.25">
      <c r="I384" s="37"/>
    </row>
    <row r="385" spans="9:9" x14ac:dyDescent="0.25">
      <c r="I385" s="37"/>
    </row>
    <row r="386" spans="9:9" x14ac:dyDescent="0.25">
      <c r="I386" s="37"/>
    </row>
    <row r="387" spans="9:9" x14ac:dyDescent="0.25">
      <c r="I387" s="37"/>
    </row>
    <row r="388" spans="9:9" x14ac:dyDescent="0.25">
      <c r="I388" s="37"/>
    </row>
    <row r="389" spans="9:9" x14ac:dyDescent="0.25">
      <c r="I389" s="37"/>
    </row>
    <row r="390" spans="9:9" x14ac:dyDescent="0.25">
      <c r="I390" s="37"/>
    </row>
    <row r="391" spans="9:9" x14ac:dyDescent="0.25">
      <c r="I391" s="37"/>
    </row>
    <row r="392" spans="9:9" x14ac:dyDescent="0.25">
      <c r="I392" s="37"/>
    </row>
    <row r="393" spans="9:9" x14ac:dyDescent="0.25">
      <c r="I393" s="37"/>
    </row>
    <row r="394" spans="9:9" x14ac:dyDescent="0.25">
      <c r="I394" s="37"/>
    </row>
    <row r="395" spans="9:9" x14ac:dyDescent="0.25">
      <c r="I395" s="37"/>
    </row>
    <row r="396" spans="9:9" x14ac:dyDescent="0.25">
      <c r="I396" s="37"/>
    </row>
    <row r="397" spans="9:9" x14ac:dyDescent="0.25">
      <c r="I397" s="37"/>
    </row>
    <row r="398" spans="9:9" x14ac:dyDescent="0.25">
      <c r="I398" s="37"/>
    </row>
    <row r="399" spans="9:9" x14ac:dyDescent="0.25">
      <c r="I399" s="37"/>
    </row>
    <row r="400" spans="9:9" x14ac:dyDescent="0.25">
      <c r="I400" s="37"/>
    </row>
    <row r="401" spans="9:9" x14ac:dyDescent="0.25">
      <c r="I401" s="37"/>
    </row>
    <row r="402" spans="9:9" x14ac:dyDescent="0.25">
      <c r="I402" s="37"/>
    </row>
    <row r="403" spans="9:9" x14ac:dyDescent="0.25">
      <c r="I403" s="37"/>
    </row>
    <row r="404" spans="9:9" x14ac:dyDescent="0.25">
      <c r="I404" s="37"/>
    </row>
    <row r="405" spans="9:9" x14ac:dyDescent="0.25">
      <c r="I405" s="37"/>
    </row>
    <row r="406" spans="9:9" x14ac:dyDescent="0.25">
      <c r="I406" s="37"/>
    </row>
    <row r="407" spans="9:9" x14ac:dyDescent="0.25">
      <c r="I407" s="37"/>
    </row>
    <row r="408" spans="9:9" x14ac:dyDescent="0.25">
      <c r="I408" s="37"/>
    </row>
    <row r="409" spans="9:9" x14ac:dyDescent="0.25">
      <c r="I409" s="37"/>
    </row>
    <row r="410" spans="9:9" x14ac:dyDescent="0.25">
      <c r="I410" s="37"/>
    </row>
    <row r="411" spans="9:9" x14ac:dyDescent="0.25">
      <c r="I411" s="37"/>
    </row>
    <row r="412" spans="9:9" x14ac:dyDescent="0.25">
      <c r="I412" s="37"/>
    </row>
    <row r="413" spans="9:9" x14ac:dyDescent="0.25">
      <c r="I413" s="37"/>
    </row>
    <row r="414" spans="9:9" x14ac:dyDescent="0.25">
      <c r="I414" s="37"/>
    </row>
    <row r="415" spans="9:9" x14ac:dyDescent="0.25">
      <c r="I415" s="37"/>
    </row>
    <row r="416" spans="9:9" x14ac:dyDescent="0.25">
      <c r="I416" s="37"/>
    </row>
    <row r="417" spans="9:9" x14ac:dyDescent="0.25">
      <c r="I417" s="37"/>
    </row>
    <row r="418" spans="9:9" x14ac:dyDescent="0.25">
      <c r="I418" s="37"/>
    </row>
    <row r="419" spans="9:9" x14ac:dyDescent="0.25">
      <c r="I419" s="37"/>
    </row>
    <row r="420" spans="9:9" x14ac:dyDescent="0.25">
      <c r="I420" s="37"/>
    </row>
    <row r="421" spans="9:9" x14ac:dyDescent="0.25">
      <c r="I421" s="37"/>
    </row>
    <row r="422" spans="9:9" x14ac:dyDescent="0.25">
      <c r="I422" s="37"/>
    </row>
    <row r="423" spans="9:9" x14ac:dyDescent="0.25">
      <c r="I423" s="37"/>
    </row>
    <row r="424" spans="9:9" x14ac:dyDescent="0.25">
      <c r="I424" s="37"/>
    </row>
    <row r="425" spans="9:9" x14ac:dyDescent="0.25">
      <c r="I425" s="37"/>
    </row>
    <row r="426" spans="9:9" x14ac:dyDescent="0.25">
      <c r="I426" s="37"/>
    </row>
    <row r="427" spans="9:9" x14ac:dyDescent="0.25">
      <c r="I427" s="37"/>
    </row>
    <row r="428" spans="9:9" x14ac:dyDescent="0.25">
      <c r="I428" s="37"/>
    </row>
    <row r="429" spans="9:9" x14ac:dyDescent="0.25">
      <c r="I429" s="37"/>
    </row>
    <row r="430" spans="9:9" x14ac:dyDescent="0.25">
      <c r="I430" s="37"/>
    </row>
    <row r="431" spans="9:9" x14ac:dyDescent="0.25">
      <c r="I431" s="37"/>
    </row>
    <row r="432" spans="9:9" x14ac:dyDescent="0.25">
      <c r="I432" s="37"/>
    </row>
    <row r="433" spans="9:9" x14ac:dyDescent="0.25">
      <c r="I433" s="37"/>
    </row>
    <row r="434" spans="9:9" x14ac:dyDescent="0.25">
      <c r="I434" s="37"/>
    </row>
    <row r="435" spans="9:9" x14ac:dyDescent="0.25">
      <c r="I435" s="37"/>
    </row>
    <row r="436" spans="9:9" x14ac:dyDescent="0.25">
      <c r="I436" s="37"/>
    </row>
    <row r="437" spans="9:9" x14ac:dyDescent="0.25">
      <c r="I437" s="37"/>
    </row>
    <row r="438" spans="9:9" x14ac:dyDescent="0.25">
      <c r="I438" s="37"/>
    </row>
    <row r="439" spans="9:9" x14ac:dyDescent="0.25">
      <c r="I439" s="37"/>
    </row>
    <row r="440" spans="9:9" x14ac:dyDescent="0.25">
      <c r="I440" s="37"/>
    </row>
    <row r="441" spans="9:9" x14ac:dyDescent="0.25">
      <c r="I441" s="37"/>
    </row>
    <row r="442" spans="9:9" x14ac:dyDescent="0.25">
      <c r="I442" s="37"/>
    </row>
    <row r="443" spans="9:9" x14ac:dyDescent="0.25">
      <c r="I443" s="37"/>
    </row>
    <row r="444" spans="9:9" x14ac:dyDescent="0.25">
      <c r="I444" s="37"/>
    </row>
    <row r="445" spans="9:9" x14ac:dyDescent="0.25">
      <c r="I445" s="37"/>
    </row>
    <row r="446" spans="9:9" x14ac:dyDescent="0.25">
      <c r="I446" s="37"/>
    </row>
    <row r="447" spans="9:9" x14ac:dyDescent="0.25">
      <c r="I447" s="37"/>
    </row>
    <row r="448" spans="9:9" x14ac:dyDescent="0.25">
      <c r="I448" s="37"/>
    </row>
    <row r="449" spans="9:9" x14ac:dyDescent="0.25">
      <c r="I449" s="37"/>
    </row>
    <row r="450" spans="9:9" x14ac:dyDescent="0.25">
      <c r="I450" s="37"/>
    </row>
    <row r="451" spans="9:9" x14ac:dyDescent="0.25">
      <c r="I451" s="37"/>
    </row>
    <row r="452" spans="9:9" x14ac:dyDescent="0.25">
      <c r="I452" s="37"/>
    </row>
    <row r="453" spans="9:9" x14ac:dyDescent="0.25">
      <c r="I453" s="37"/>
    </row>
    <row r="454" spans="9:9" x14ac:dyDescent="0.25">
      <c r="I454" s="37"/>
    </row>
    <row r="455" spans="9:9" x14ac:dyDescent="0.25">
      <c r="I455" s="37"/>
    </row>
    <row r="456" spans="9:9" x14ac:dyDescent="0.25">
      <c r="I456" s="37"/>
    </row>
    <row r="457" spans="9:9" x14ac:dyDescent="0.25">
      <c r="I457" s="37"/>
    </row>
    <row r="458" spans="9:9" x14ac:dyDescent="0.25">
      <c r="I458" s="37"/>
    </row>
    <row r="459" spans="9:9" x14ac:dyDescent="0.25">
      <c r="I459" s="37"/>
    </row>
    <row r="460" spans="9:9" x14ac:dyDescent="0.25">
      <c r="I460" s="37"/>
    </row>
    <row r="461" spans="9:9" x14ac:dyDescent="0.25">
      <c r="I461" s="37"/>
    </row>
    <row r="462" spans="9:9" x14ac:dyDescent="0.25">
      <c r="I462" s="37"/>
    </row>
    <row r="463" spans="9:9" x14ac:dyDescent="0.25">
      <c r="I463" s="37"/>
    </row>
    <row r="464" spans="9:9" x14ac:dyDescent="0.25">
      <c r="I464" s="37"/>
    </row>
    <row r="465" spans="9:9" x14ac:dyDescent="0.25">
      <c r="I465" s="37"/>
    </row>
    <row r="466" spans="9:9" x14ac:dyDescent="0.25">
      <c r="I466" s="37"/>
    </row>
    <row r="467" spans="9:9" x14ac:dyDescent="0.25">
      <c r="I467" s="37"/>
    </row>
    <row r="468" spans="9:9" x14ac:dyDescent="0.25">
      <c r="I468" s="37"/>
    </row>
    <row r="469" spans="9:9" x14ac:dyDescent="0.25">
      <c r="I469" s="37"/>
    </row>
    <row r="470" spans="9:9" x14ac:dyDescent="0.25">
      <c r="I470" s="37"/>
    </row>
    <row r="471" spans="9:9" x14ac:dyDescent="0.25">
      <c r="I471" s="37"/>
    </row>
    <row r="472" spans="9:9" x14ac:dyDescent="0.25">
      <c r="I472" s="37"/>
    </row>
    <row r="473" spans="9:9" x14ac:dyDescent="0.25">
      <c r="I473" s="37"/>
    </row>
    <row r="474" spans="9:9" x14ac:dyDescent="0.25">
      <c r="I474" s="37"/>
    </row>
    <row r="475" spans="9:9" x14ac:dyDescent="0.25">
      <c r="I475" s="37"/>
    </row>
    <row r="476" spans="9:9" x14ac:dyDescent="0.25">
      <c r="I476" s="37"/>
    </row>
    <row r="477" spans="9:9" x14ac:dyDescent="0.25">
      <c r="I477" s="37"/>
    </row>
    <row r="478" spans="9:9" x14ac:dyDescent="0.25">
      <c r="I478" s="37"/>
    </row>
    <row r="479" spans="9:9" x14ac:dyDescent="0.25">
      <c r="I479" s="37"/>
    </row>
    <row r="480" spans="9:9" x14ac:dyDescent="0.25">
      <c r="I480" s="37"/>
    </row>
    <row r="481" spans="9:9" x14ac:dyDescent="0.25">
      <c r="I481" s="37"/>
    </row>
    <row r="482" spans="9:9" x14ac:dyDescent="0.25">
      <c r="I482" s="37"/>
    </row>
    <row r="483" spans="9:9" x14ac:dyDescent="0.25">
      <c r="I483" s="37"/>
    </row>
    <row r="484" spans="9:9" x14ac:dyDescent="0.25">
      <c r="I484" s="37"/>
    </row>
    <row r="485" spans="9:9" x14ac:dyDescent="0.25">
      <c r="I485" s="37"/>
    </row>
    <row r="486" spans="9:9" x14ac:dyDescent="0.25">
      <c r="I486" s="37"/>
    </row>
    <row r="487" spans="9:9" x14ac:dyDescent="0.25">
      <c r="I487" s="37"/>
    </row>
    <row r="488" spans="9:9" x14ac:dyDescent="0.25">
      <c r="I488" s="37"/>
    </row>
    <row r="489" spans="9:9" x14ac:dyDescent="0.25">
      <c r="I489" s="37"/>
    </row>
    <row r="490" spans="9:9" x14ac:dyDescent="0.25">
      <c r="I490" s="37"/>
    </row>
    <row r="491" spans="9:9" x14ac:dyDescent="0.25">
      <c r="I491" s="37"/>
    </row>
    <row r="492" spans="9:9" x14ac:dyDescent="0.25">
      <c r="I492" s="37"/>
    </row>
    <row r="493" spans="9:9" x14ac:dyDescent="0.25">
      <c r="I493" s="37"/>
    </row>
    <row r="494" spans="9:9" x14ac:dyDescent="0.25">
      <c r="I494" s="37"/>
    </row>
    <row r="495" spans="9:9" x14ac:dyDescent="0.25">
      <c r="I495" s="37"/>
    </row>
    <row r="496" spans="9:9" x14ac:dyDescent="0.25">
      <c r="I496" s="37"/>
    </row>
    <row r="497" spans="9:9" x14ac:dyDescent="0.25">
      <c r="I497" s="37"/>
    </row>
    <row r="498" spans="9:9" x14ac:dyDescent="0.25">
      <c r="I498" s="37"/>
    </row>
    <row r="499" spans="9:9" x14ac:dyDescent="0.25">
      <c r="I499" s="37"/>
    </row>
    <row r="500" spans="9:9" x14ac:dyDescent="0.25">
      <c r="I500" s="37"/>
    </row>
    <row r="501" spans="9:9" x14ac:dyDescent="0.25">
      <c r="I501" s="37"/>
    </row>
  </sheetData>
  <mergeCells count="4">
    <mergeCell ref="A50:H50"/>
    <mergeCell ref="A3:H3"/>
    <mergeCell ref="A51:H51"/>
    <mergeCell ref="A1:H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31">
    <tabColor rgb="FF00B050"/>
  </sheetPr>
  <dimension ref="A1:I61"/>
  <sheetViews>
    <sheetView showGridLines="0" workbookViewId="0">
      <pane ySplit="1" topLeftCell="A2" activePane="bottomLeft" state="frozen"/>
      <selection pane="bottomLeft" sqref="A1:I1"/>
    </sheetView>
  </sheetViews>
  <sheetFormatPr baseColWidth="10" defaultColWidth="9.140625" defaultRowHeight="15" x14ac:dyDescent="0.25"/>
  <cols>
    <col min="1" max="1" width="50" customWidth="1"/>
    <col min="2" max="2" width="22" customWidth="1"/>
    <col min="3" max="3" width="35" customWidth="1"/>
    <col min="4" max="4" width="12" customWidth="1"/>
    <col min="5" max="5" width="35" customWidth="1"/>
    <col min="6" max="6" width="12" customWidth="1"/>
    <col min="7" max="7" width="30" customWidth="1"/>
    <col min="8" max="8" width="15" customWidth="1"/>
    <col min="9" max="9" width="18" customWidth="1"/>
  </cols>
  <sheetData>
    <row r="1" spans="1:9" ht="30" customHeight="1" x14ac:dyDescent="0.25">
      <c r="A1" s="186" t="s">
        <v>398</v>
      </c>
      <c r="B1" s="164"/>
      <c r="C1" s="164"/>
      <c r="D1" s="164"/>
      <c r="E1" s="164"/>
      <c r="F1" s="164"/>
      <c r="G1" s="164"/>
      <c r="H1" s="164"/>
      <c r="I1" s="165"/>
    </row>
    <row r="3" spans="1:9" ht="30" x14ac:dyDescent="0.25">
      <c r="A3" s="80" t="s">
        <v>399</v>
      </c>
      <c r="B3" s="73" t="s">
        <v>400</v>
      </c>
    </row>
    <row r="4" spans="1:9" x14ac:dyDescent="0.25">
      <c r="A4" s="80" t="s">
        <v>401</v>
      </c>
      <c r="B4" s="1" t="s">
        <v>402</v>
      </c>
    </row>
    <row r="5" spans="1:9" x14ac:dyDescent="0.25">
      <c r="A5" s="80" t="s">
        <v>403</v>
      </c>
      <c r="B5" s="1" t="s">
        <v>215</v>
      </c>
    </row>
    <row r="6" spans="1:9" x14ac:dyDescent="0.25">
      <c r="A6" s="80" t="s">
        <v>404</v>
      </c>
      <c r="B6" s="1" t="s">
        <v>357</v>
      </c>
    </row>
    <row r="9" spans="1:9" ht="15.75" customHeight="1" x14ac:dyDescent="0.25">
      <c r="A9" s="201" t="s">
        <v>405</v>
      </c>
      <c r="B9" s="139"/>
      <c r="C9" s="139"/>
      <c r="D9" s="139"/>
      <c r="E9" s="139"/>
      <c r="F9" s="139"/>
      <c r="G9" s="139"/>
      <c r="H9" s="139"/>
      <c r="I9" s="139"/>
    </row>
    <row r="11" spans="1:9" ht="35.1" customHeight="1" x14ac:dyDescent="0.25">
      <c r="A11" s="81" t="s">
        <v>182</v>
      </c>
      <c r="B11" s="81" t="s">
        <v>406</v>
      </c>
      <c r="C11" s="81" t="s">
        <v>184</v>
      </c>
      <c r="D11" s="81" t="s">
        <v>407</v>
      </c>
      <c r="E11" s="81" t="s">
        <v>408</v>
      </c>
      <c r="F11" s="81" t="s">
        <v>409</v>
      </c>
      <c r="G11" s="81" t="s">
        <v>410</v>
      </c>
      <c r="H11" s="81" t="s">
        <v>207</v>
      </c>
      <c r="I11" s="81" t="s">
        <v>411</v>
      </c>
    </row>
    <row r="12" spans="1:9" ht="30" customHeight="1" x14ac:dyDescent="0.25">
      <c r="A12" s="1" t="s">
        <v>371</v>
      </c>
      <c r="B12" s="1" t="s">
        <v>372</v>
      </c>
      <c r="C12" s="73" t="s">
        <v>373</v>
      </c>
      <c r="D12" s="82" t="s">
        <v>375</v>
      </c>
      <c r="E12" s="73" t="s">
        <v>412</v>
      </c>
      <c r="F12" s="5" t="s">
        <v>375</v>
      </c>
      <c r="G12" s="73" t="s">
        <v>413</v>
      </c>
      <c r="H12" s="1" t="s">
        <v>357</v>
      </c>
      <c r="I12" s="1" t="s">
        <v>414</v>
      </c>
    </row>
    <row r="13" spans="1:9" x14ac:dyDescent="0.25">
      <c r="A13" s="1" t="s">
        <v>377</v>
      </c>
      <c r="B13" s="1" t="s">
        <v>378</v>
      </c>
      <c r="C13" s="73" t="s">
        <v>379</v>
      </c>
      <c r="D13" s="82" t="s">
        <v>375</v>
      </c>
      <c r="E13" s="73" t="s">
        <v>415</v>
      </c>
      <c r="F13" s="5" t="s">
        <v>375</v>
      </c>
      <c r="G13" s="1" t="s">
        <v>416</v>
      </c>
      <c r="H13" s="1" t="s">
        <v>380</v>
      </c>
      <c r="I13" s="1" t="s">
        <v>417</v>
      </c>
    </row>
    <row r="14" spans="1:9" x14ac:dyDescent="0.25">
      <c r="A14" s="1" t="s">
        <v>392</v>
      </c>
      <c r="B14" s="1" t="s">
        <v>393</v>
      </c>
      <c r="C14" s="1" t="s">
        <v>418</v>
      </c>
      <c r="D14" s="82" t="s">
        <v>375</v>
      </c>
      <c r="E14" s="73" t="s">
        <v>419</v>
      </c>
      <c r="F14" s="5" t="s">
        <v>375</v>
      </c>
      <c r="G14" s="1" t="s">
        <v>420</v>
      </c>
      <c r="H14" s="1" t="s">
        <v>357</v>
      </c>
      <c r="I14" s="1" t="s">
        <v>421</v>
      </c>
    </row>
    <row r="55" spans="1:4" x14ac:dyDescent="0.25">
      <c r="A55" s="202" t="s">
        <v>422</v>
      </c>
      <c r="B55" s="139"/>
      <c r="C55" s="139"/>
      <c r="D55" s="139"/>
    </row>
    <row r="57" spans="1:4" ht="15.75" customHeight="1" x14ac:dyDescent="0.25">
      <c r="A57" s="83" t="s">
        <v>423</v>
      </c>
      <c r="B57" s="84" t="s">
        <v>424</v>
      </c>
    </row>
    <row r="58" spans="1:4" ht="15.75" customHeight="1" x14ac:dyDescent="0.25">
      <c r="A58" s="83" t="s">
        <v>425</v>
      </c>
      <c r="B58" s="84" t="s">
        <v>122</v>
      </c>
    </row>
    <row r="59" spans="1:4" ht="15.75" customHeight="1" x14ac:dyDescent="0.25">
      <c r="A59" s="83" t="s">
        <v>426</v>
      </c>
      <c r="B59" s="84" t="s">
        <v>122</v>
      </c>
    </row>
    <row r="60" spans="1:4" ht="15.75" customHeight="1" x14ac:dyDescent="0.25">
      <c r="A60" s="83" t="s">
        <v>427</v>
      </c>
      <c r="B60" s="84" t="s">
        <v>122</v>
      </c>
    </row>
    <row r="61" spans="1:4" ht="15.75" customHeight="1" x14ac:dyDescent="0.25">
      <c r="A61" s="83" t="s">
        <v>428</v>
      </c>
      <c r="B61" s="84" t="s">
        <v>123</v>
      </c>
    </row>
  </sheetData>
  <mergeCells count="3">
    <mergeCell ref="A1:I1"/>
    <mergeCell ref="A9:I9"/>
    <mergeCell ref="A55:D55"/>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6">
    <tabColor rgb="FF009900"/>
    <pageSetUpPr fitToPage="1"/>
  </sheetPr>
  <dimension ref="A1:Q50"/>
  <sheetViews>
    <sheetView showGridLines="0" topLeftCell="B1" workbookViewId="0">
      <pane ySplit="1" topLeftCell="A2" activePane="bottomLeft" state="frozen"/>
      <selection pane="bottomLeft" sqref="A1:P1"/>
    </sheetView>
  </sheetViews>
  <sheetFormatPr baseColWidth="10" defaultColWidth="9.140625" defaultRowHeight="15" x14ac:dyDescent="0.25"/>
  <cols>
    <col min="1" max="1" width="35" customWidth="1"/>
    <col min="2" max="2" width="12" customWidth="1"/>
    <col min="3" max="3" width="25" customWidth="1"/>
    <col min="4" max="4" width="12" customWidth="1"/>
    <col min="5" max="5" width="15" customWidth="1"/>
    <col min="6" max="6" width="35" customWidth="1"/>
    <col min="7" max="8" width="15" customWidth="1"/>
    <col min="9" max="11" width="12" customWidth="1"/>
    <col min="12" max="12" width="10" customWidth="1"/>
    <col min="13" max="15" width="12" customWidth="1"/>
    <col min="16" max="16" width="30" customWidth="1"/>
    <col min="17" max="17" width="20" customWidth="1"/>
  </cols>
  <sheetData>
    <row r="1" spans="1:17" ht="30" customHeight="1" x14ac:dyDescent="0.25">
      <c r="A1" s="186" t="s">
        <v>429</v>
      </c>
      <c r="B1" s="164"/>
      <c r="C1" s="164"/>
      <c r="D1" s="164"/>
      <c r="E1" s="164"/>
      <c r="F1" s="164"/>
      <c r="G1" s="164"/>
      <c r="H1" s="164"/>
      <c r="I1" s="164"/>
      <c r="J1" s="164"/>
      <c r="K1" s="164"/>
      <c r="L1" s="164"/>
      <c r="M1" s="164"/>
      <c r="N1" s="164"/>
      <c r="O1" s="164"/>
      <c r="P1" s="165"/>
    </row>
    <row r="3" spans="1:17" ht="35.1" customHeight="1" x14ac:dyDescent="0.25">
      <c r="A3" s="85" t="s">
        <v>182</v>
      </c>
      <c r="B3" s="85" t="s">
        <v>430</v>
      </c>
      <c r="C3" s="85" t="s">
        <v>431</v>
      </c>
      <c r="D3" s="85" t="s">
        <v>207</v>
      </c>
      <c r="E3" s="85" t="s">
        <v>128</v>
      </c>
      <c r="F3" s="85" t="s">
        <v>432</v>
      </c>
      <c r="G3" s="85" t="s">
        <v>433</v>
      </c>
      <c r="H3" s="86" t="s">
        <v>207</v>
      </c>
      <c r="I3" s="86" t="s">
        <v>434</v>
      </c>
      <c r="J3" s="86" t="s">
        <v>435</v>
      </c>
      <c r="K3" s="86" t="s">
        <v>128</v>
      </c>
      <c r="L3" s="86" t="s">
        <v>436</v>
      </c>
      <c r="M3" s="86" t="s">
        <v>433</v>
      </c>
      <c r="N3" s="86" t="s">
        <v>437</v>
      </c>
      <c r="O3" s="86" t="s">
        <v>438</v>
      </c>
      <c r="P3" s="86" t="s">
        <v>439</v>
      </c>
      <c r="Q3" s="34" t="s">
        <v>367</v>
      </c>
    </row>
    <row r="4" spans="1:17" ht="30" customHeight="1" x14ac:dyDescent="0.25">
      <c r="A4" s="1" t="s">
        <v>440</v>
      </c>
      <c r="B4" s="1" t="s">
        <v>343</v>
      </c>
      <c r="C4" s="1" t="s">
        <v>441</v>
      </c>
      <c r="D4" s="3" t="s">
        <v>221</v>
      </c>
      <c r="E4" s="1" t="s">
        <v>135</v>
      </c>
      <c r="F4" s="1">
        <v>60</v>
      </c>
      <c r="G4" s="1">
        <v>30000</v>
      </c>
      <c r="H4" s="1" t="s">
        <v>318</v>
      </c>
      <c r="I4" s="1" t="s">
        <v>307</v>
      </c>
      <c r="J4" s="1" t="s">
        <v>442</v>
      </c>
      <c r="K4" s="74" t="s">
        <v>135</v>
      </c>
      <c r="L4" s="21" t="s">
        <v>443</v>
      </c>
      <c r="M4" s="1" t="s">
        <v>444</v>
      </c>
      <c r="N4" s="1" t="s">
        <v>445</v>
      </c>
      <c r="O4" s="74" t="s">
        <v>136</v>
      </c>
      <c r="P4" s="1" t="s">
        <v>446</v>
      </c>
    </row>
    <row r="5" spans="1:17" x14ac:dyDescent="0.25">
      <c r="A5" s="61" t="s">
        <v>447</v>
      </c>
      <c r="B5" s="61" t="s">
        <v>358</v>
      </c>
      <c r="C5" s="61" t="s">
        <v>448</v>
      </c>
      <c r="D5" s="61" t="s">
        <v>357</v>
      </c>
      <c r="E5" s="61" t="s">
        <v>135</v>
      </c>
      <c r="F5" s="61">
        <v>40</v>
      </c>
      <c r="G5" s="61">
        <v>15000</v>
      </c>
    </row>
    <row r="6" spans="1:17" x14ac:dyDescent="0.25">
      <c r="A6" s="61" t="s">
        <v>449</v>
      </c>
      <c r="B6" s="61" t="s">
        <v>362</v>
      </c>
      <c r="C6" s="61" t="s">
        <v>450</v>
      </c>
      <c r="D6" s="61" t="s">
        <v>451</v>
      </c>
      <c r="E6" s="61" t="s">
        <v>452</v>
      </c>
      <c r="F6" s="61">
        <v>10</v>
      </c>
      <c r="G6" s="61">
        <v>8000</v>
      </c>
    </row>
    <row r="40" spans="1:16" ht="15.75" customHeight="1" x14ac:dyDescent="0.25">
      <c r="A40" s="204" t="s">
        <v>453</v>
      </c>
      <c r="B40" s="139"/>
      <c r="C40" s="139"/>
      <c r="D40" s="139"/>
      <c r="E40" s="139"/>
      <c r="F40" s="139"/>
      <c r="G40" s="139"/>
      <c r="H40" s="139"/>
      <c r="I40" s="139"/>
      <c r="J40" s="139"/>
      <c r="K40" s="139"/>
      <c r="L40" s="139"/>
      <c r="M40" s="139"/>
      <c r="N40" s="139"/>
      <c r="O40" s="139"/>
      <c r="P40" s="139"/>
    </row>
    <row r="42" spans="1:16" ht="18.75" customHeight="1" x14ac:dyDescent="0.25">
      <c r="A42" s="87" t="s">
        <v>454</v>
      </c>
      <c r="B42" s="15" t="s">
        <v>122</v>
      </c>
      <c r="D42" s="87" t="s">
        <v>455</v>
      </c>
      <c r="E42" s="16" t="s">
        <v>122</v>
      </c>
      <c r="G42" s="87" t="s">
        <v>456</v>
      </c>
      <c r="H42" s="17" t="s">
        <v>122</v>
      </c>
      <c r="J42" s="87" t="s">
        <v>457</v>
      </c>
      <c r="K42" s="18" t="s">
        <v>122</v>
      </c>
      <c r="M42" s="87" t="s">
        <v>458</v>
      </c>
      <c r="N42" s="19" t="s">
        <v>122</v>
      </c>
    </row>
    <row r="44" spans="1:16" ht="18.75" customHeight="1" x14ac:dyDescent="0.25">
      <c r="A44" s="87" t="s">
        <v>459</v>
      </c>
      <c r="B44" s="20" t="s">
        <v>460</v>
      </c>
      <c r="D44" s="87" t="s">
        <v>461</v>
      </c>
      <c r="E44" s="18" t="s">
        <v>460</v>
      </c>
      <c r="G44" s="87" t="s">
        <v>462</v>
      </c>
      <c r="H44" s="16" t="s">
        <v>460</v>
      </c>
      <c r="J44" s="87" t="s">
        <v>463</v>
      </c>
      <c r="K44" s="15" t="s">
        <v>123</v>
      </c>
    </row>
    <row r="47" spans="1:16" x14ac:dyDescent="0.25">
      <c r="A47" s="203" t="s">
        <v>464</v>
      </c>
      <c r="B47" s="139"/>
      <c r="C47" s="139"/>
      <c r="D47" s="139"/>
      <c r="F47" s="203" t="s">
        <v>465</v>
      </c>
      <c r="G47" s="139"/>
      <c r="H47" s="139"/>
      <c r="I47" s="139"/>
    </row>
    <row r="49" spans="1:12" x14ac:dyDescent="0.25">
      <c r="A49" s="5" t="s">
        <v>133</v>
      </c>
      <c r="B49" s="4" t="s">
        <v>135</v>
      </c>
      <c r="C49" s="3" t="s">
        <v>138</v>
      </c>
      <c r="D49" s="12" t="s">
        <v>141</v>
      </c>
      <c r="F49" s="21" t="s">
        <v>356</v>
      </c>
      <c r="G49" s="12" t="s">
        <v>466</v>
      </c>
      <c r="H49" s="4" t="s">
        <v>467</v>
      </c>
      <c r="I49" s="5" t="s">
        <v>468</v>
      </c>
    </row>
    <row r="50" spans="1:12" x14ac:dyDescent="0.25">
      <c r="A50" s="88" t="s">
        <v>469</v>
      </c>
      <c r="B50" s="29"/>
      <c r="C50" s="29"/>
      <c r="D50" s="29"/>
      <c r="E50" s="29"/>
      <c r="F50" s="29"/>
      <c r="G50" s="29"/>
      <c r="H50" s="89" t="s">
        <v>452</v>
      </c>
      <c r="I50" s="30">
        <v>45967</v>
      </c>
      <c r="J50" s="29"/>
      <c r="K50" s="90">
        <v>0</v>
      </c>
      <c r="L50" s="29"/>
    </row>
  </sheetData>
  <mergeCells count="4">
    <mergeCell ref="F47:I47"/>
    <mergeCell ref="A47:D47"/>
    <mergeCell ref="A1:P1"/>
    <mergeCell ref="A40:P40"/>
  </mergeCells>
  <dataValidations count="2">
    <dataValidation type="list" sqref="E4:E1000 K4:K1000" xr:uid="{00000000-0002-0000-0A00-000000000000}">
      <formula1>"Planificado,En Proceso,Implementado,Completado"</formula1>
    </dataValidation>
    <dataValidation type="list" sqref="O4:O1000" xr:uid="{00000000-0002-0000-0A00-000001000000}">
      <formula1>"Crítico,Alto,Medio,Bajo"</formula1>
    </dataValidation>
  </dataValidations>
  <printOptions gridLines="1"/>
  <pageMargins left="0.5" right="0.5" top="0.5" bottom="0.5" header="0.29921259842519687" footer="0.29921259842519687"/>
  <pageSetup scale="45" fitToHeight="0" orientation="landscape"/>
  <headerFooter>
    <oddHeader>&amp;L&amp;"Segoe UI,Bold"&amp;14 Plan_Tratamiento&amp;R&amp;"Segoe UI"&amp;10 Fecha: &amp;D</oddHeader>
    <oddFooter>&amp;L&amp;"Segoe UI"&amp;9 SGSI - ISO 27001:2022&amp;R&amp;"Segoe UI"&amp;9 Página &amp;P de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5">
    <tabColor rgb="FFC00000"/>
    <pageSetUpPr fitToPage="1"/>
  </sheetPr>
  <dimension ref="A1:L23"/>
  <sheetViews>
    <sheetView showGridLines="0" workbookViewId="0">
      <pane ySplit="1" topLeftCell="A2" activePane="bottomLeft" state="frozen"/>
      <selection pane="bottomLeft" sqref="A1:L1"/>
    </sheetView>
  </sheetViews>
  <sheetFormatPr baseColWidth="10" defaultColWidth="9.140625" defaultRowHeight="15" x14ac:dyDescent="0.25"/>
  <cols>
    <col min="1" max="2" width="31" customWidth="1"/>
    <col min="3" max="3" width="30" customWidth="1"/>
    <col min="4" max="4" width="20" customWidth="1"/>
    <col min="5" max="7" width="12" customWidth="1"/>
    <col min="8" max="8" width="15" customWidth="1"/>
    <col min="9" max="12" width="12" customWidth="1"/>
  </cols>
  <sheetData>
    <row r="1" spans="1:12" ht="30" customHeight="1" x14ac:dyDescent="0.25">
      <c r="A1" s="186" t="s">
        <v>470</v>
      </c>
      <c r="B1" s="164"/>
      <c r="C1" s="164"/>
      <c r="D1" s="164"/>
      <c r="E1" s="164"/>
      <c r="F1" s="164"/>
      <c r="G1" s="164"/>
      <c r="H1" s="164"/>
      <c r="I1" s="164"/>
      <c r="J1" s="164"/>
      <c r="K1" s="164"/>
      <c r="L1" s="165"/>
    </row>
    <row r="3" spans="1:12" ht="15.75" customHeight="1" x14ac:dyDescent="0.25">
      <c r="A3" s="212" t="s">
        <v>471</v>
      </c>
      <c r="B3" s="139"/>
      <c r="C3" s="139"/>
      <c r="D3" s="139"/>
      <c r="E3" s="139"/>
      <c r="F3" s="139"/>
      <c r="G3" s="139"/>
      <c r="H3" s="139"/>
      <c r="I3" s="139"/>
      <c r="J3" s="139"/>
      <c r="K3" s="139"/>
      <c r="L3" s="139"/>
    </row>
    <row r="5" spans="1:12" x14ac:dyDescent="0.25">
      <c r="A5" s="208" t="s">
        <v>472</v>
      </c>
      <c r="B5" s="139"/>
      <c r="C5" s="6" t="s">
        <v>473</v>
      </c>
      <c r="D5" s="6" t="s">
        <v>474</v>
      </c>
      <c r="E5" s="6" t="s">
        <v>475</v>
      </c>
      <c r="F5" s="6" t="s">
        <v>476</v>
      </c>
      <c r="G5" s="6" t="s">
        <v>477</v>
      </c>
    </row>
    <row r="6" spans="1:12" ht="15.75" customHeight="1" x14ac:dyDescent="0.25">
      <c r="A6" s="206" t="s">
        <v>478</v>
      </c>
      <c r="B6" s="195"/>
      <c r="C6" s="7" t="s">
        <v>479</v>
      </c>
      <c r="D6" s="8" t="s">
        <v>480</v>
      </c>
      <c r="E6" s="9" t="s">
        <v>481</v>
      </c>
      <c r="F6" s="9" t="s">
        <v>482</v>
      </c>
      <c r="G6" s="10" t="s">
        <v>483</v>
      </c>
      <c r="I6" s="208" t="s">
        <v>484</v>
      </c>
      <c r="J6" s="139"/>
      <c r="K6" s="139"/>
    </row>
    <row r="7" spans="1:12" ht="15.75" customHeight="1" x14ac:dyDescent="0.25">
      <c r="A7" s="206" t="s">
        <v>485</v>
      </c>
      <c r="B7" s="195"/>
      <c r="C7" s="11" t="s">
        <v>355</v>
      </c>
      <c r="D7" s="7" t="s">
        <v>486</v>
      </c>
      <c r="E7" s="8" t="s">
        <v>487</v>
      </c>
      <c r="F7" s="9" t="s">
        <v>488</v>
      </c>
      <c r="G7" s="9" t="s">
        <v>482</v>
      </c>
      <c r="I7" s="207" t="s">
        <v>131</v>
      </c>
      <c r="J7" s="194"/>
      <c r="K7" s="195"/>
    </row>
    <row r="8" spans="1:12" ht="15.75" customHeight="1" x14ac:dyDescent="0.25">
      <c r="A8" s="206" t="s">
        <v>489</v>
      </c>
      <c r="B8" s="195"/>
      <c r="C8" s="11" t="s">
        <v>350</v>
      </c>
      <c r="D8" s="7" t="s">
        <v>490</v>
      </c>
      <c r="E8" s="8" t="s">
        <v>351</v>
      </c>
      <c r="F8" s="8" t="s">
        <v>487</v>
      </c>
      <c r="G8" s="9" t="s">
        <v>481</v>
      </c>
      <c r="I8" s="213" t="s">
        <v>134</v>
      </c>
      <c r="J8" s="194"/>
      <c r="K8" s="195"/>
    </row>
    <row r="9" spans="1:12" ht="15.75" customHeight="1" x14ac:dyDescent="0.25">
      <c r="A9" s="206" t="s">
        <v>491</v>
      </c>
      <c r="B9" s="195"/>
      <c r="C9" s="11" t="s">
        <v>354</v>
      </c>
      <c r="D9" s="13" t="s">
        <v>355</v>
      </c>
      <c r="E9" s="7" t="s">
        <v>490</v>
      </c>
      <c r="F9" s="7" t="s">
        <v>486</v>
      </c>
      <c r="G9" s="8" t="s">
        <v>480</v>
      </c>
      <c r="I9" s="211" t="s">
        <v>492</v>
      </c>
      <c r="J9" s="194"/>
      <c r="K9" s="195"/>
    </row>
    <row r="10" spans="1:12" ht="15.75" customHeight="1" x14ac:dyDescent="0.25">
      <c r="A10" s="206" t="s">
        <v>493</v>
      </c>
      <c r="B10" s="195"/>
      <c r="C10" s="11" t="s">
        <v>494</v>
      </c>
      <c r="D10" s="13" t="s">
        <v>354</v>
      </c>
      <c r="E10" s="13" t="s">
        <v>350</v>
      </c>
      <c r="F10" s="7" t="s">
        <v>355</v>
      </c>
      <c r="G10" s="7" t="s">
        <v>479</v>
      </c>
      <c r="I10" s="210" t="s">
        <v>136</v>
      </c>
      <c r="J10" s="194"/>
      <c r="K10" s="195"/>
    </row>
    <row r="11" spans="1:12" x14ac:dyDescent="0.25">
      <c r="I11" s="209" t="s">
        <v>139</v>
      </c>
      <c r="J11" s="194"/>
      <c r="K11" s="195"/>
    </row>
    <row r="13" spans="1:12" ht="15.75" customHeight="1" x14ac:dyDescent="0.25">
      <c r="A13" s="212" t="s">
        <v>495</v>
      </c>
      <c r="B13" s="139"/>
      <c r="C13" s="139"/>
      <c r="D13" s="139"/>
      <c r="E13" s="139"/>
      <c r="F13" s="139"/>
      <c r="G13" s="139"/>
      <c r="H13" s="139"/>
      <c r="I13" s="139"/>
      <c r="J13" s="139"/>
      <c r="K13" s="139"/>
      <c r="L13" s="139"/>
    </row>
    <row r="15" spans="1:12" x14ac:dyDescent="0.25">
      <c r="A15" s="6" t="s">
        <v>185</v>
      </c>
      <c r="B15" s="6" t="s">
        <v>496</v>
      </c>
      <c r="C15" s="6" t="s">
        <v>497</v>
      </c>
      <c r="D15" s="6" t="s">
        <v>498</v>
      </c>
      <c r="E15" s="6" t="s">
        <v>499</v>
      </c>
      <c r="F15" s="6" t="s">
        <v>500</v>
      </c>
      <c r="G15" s="6" t="s">
        <v>501</v>
      </c>
      <c r="H15" s="6" t="s">
        <v>502</v>
      </c>
      <c r="I15" s="6" t="s">
        <v>503</v>
      </c>
    </row>
    <row r="16" spans="1:12" x14ac:dyDescent="0.25">
      <c r="A16" s="1" t="s">
        <v>504</v>
      </c>
      <c r="B16" s="1" t="s">
        <v>122</v>
      </c>
      <c r="C16" s="1" t="s">
        <v>122</v>
      </c>
      <c r="D16" s="1" t="s">
        <v>122</v>
      </c>
      <c r="E16" s="1" t="s">
        <v>122</v>
      </c>
      <c r="F16" s="1" t="s">
        <v>122</v>
      </c>
      <c r="G16" s="1" t="s">
        <v>123</v>
      </c>
      <c r="H16" s="1" t="s">
        <v>123</v>
      </c>
      <c r="I16" s="1" t="s">
        <v>122</v>
      </c>
    </row>
    <row r="17" spans="1:12" x14ac:dyDescent="0.25">
      <c r="A17" s="1" t="s">
        <v>505</v>
      </c>
      <c r="B17" s="1" t="s">
        <v>122</v>
      </c>
      <c r="C17" s="1" t="s">
        <v>122</v>
      </c>
      <c r="D17" s="1" t="s">
        <v>122</v>
      </c>
      <c r="E17" s="1" t="s">
        <v>122</v>
      </c>
      <c r="F17" s="1" t="s">
        <v>122</v>
      </c>
      <c r="G17" s="1" t="s">
        <v>123</v>
      </c>
      <c r="H17" s="1" t="s">
        <v>123</v>
      </c>
      <c r="I17" s="1" t="s">
        <v>122</v>
      </c>
    </row>
    <row r="18" spans="1:12" x14ac:dyDescent="0.25">
      <c r="A18" s="1" t="s">
        <v>506</v>
      </c>
      <c r="B18" s="1" t="s">
        <v>122</v>
      </c>
      <c r="C18" s="1" t="s">
        <v>122</v>
      </c>
      <c r="D18" s="1" t="s">
        <v>122</v>
      </c>
      <c r="E18" s="1" t="s">
        <v>122</v>
      </c>
      <c r="F18" s="1" t="s">
        <v>122</v>
      </c>
      <c r="G18" s="1" t="s">
        <v>123</v>
      </c>
      <c r="H18" s="1" t="s">
        <v>123</v>
      </c>
      <c r="I18" s="1" t="s">
        <v>122</v>
      </c>
    </row>
    <row r="21" spans="1:12" ht="15.75" customHeight="1" x14ac:dyDescent="0.25">
      <c r="A21" s="205" t="s">
        <v>507</v>
      </c>
      <c r="B21" s="139"/>
      <c r="C21" s="139"/>
      <c r="D21" s="139"/>
      <c r="E21" s="139"/>
      <c r="F21" s="139"/>
      <c r="G21" s="139"/>
      <c r="H21" s="139"/>
      <c r="I21" s="139"/>
      <c r="J21" s="139"/>
      <c r="K21" s="139"/>
      <c r="L21" s="139"/>
    </row>
    <row r="23" spans="1:12" x14ac:dyDescent="0.25">
      <c r="A23" s="14" t="s">
        <v>508</v>
      </c>
      <c r="B23" s="14" t="s">
        <v>509</v>
      </c>
      <c r="C23" s="14" t="s">
        <v>183</v>
      </c>
      <c r="D23" s="14" t="s">
        <v>213</v>
      </c>
      <c r="E23" s="14" t="s">
        <v>126</v>
      </c>
      <c r="F23" s="14" t="s">
        <v>328</v>
      </c>
      <c r="G23" s="14" t="s">
        <v>329</v>
      </c>
      <c r="H23" s="14" t="s">
        <v>189</v>
      </c>
      <c r="I23" s="14" t="s">
        <v>128</v>
      </c>
    </row>
  </sheetData>
  <mergeCells count="16">
    <mergeCell ref="A1:L1"/>
    <mergeCell ref="I9:K9"/>
    <mergeCell ref="A10:B10"/>
    <mergeCell ref="A5:B5"/>
    <mergeCell ref="A13:L13"/>
    <mergeCell ref="I8:K8"/>
    <mergeCell ref="A9:B9"/>
    <mergeCell ref="A3:L3"/>
    <mergeCell ref="A21:L21"/>
    <mergeCell ref="A6:B6"/>
    <mergeCell ref="I7:K7"/>
    <mergeCell ref="I6:K6"/>
    <mergeCell ref="I11:K11"/>
    <mergeCell ref="I10:K10"/>
    <mergeCell ref="A7:B7"/>
    <mergeCell ref="A8:B8"/>
  </mergeCells>
  <printOptions gridLines="1"/>
  <pageMargins left="0.5" right="0.5" top="0.5" bottom="0.5" header="0.29921259842519687" footer="0.29921259842519687"/>
  <pageSetup scale="70" fitToHeight="0" orientation="landscape"/>
  <headerFooter>
    <oddHeader>&amp;L&amp;"Segoe UI,Bold"&amp;14 Analisis_Riesgos&amp;R&amp;"Segoe UI"&amp;10 Fecha: &amp;D</oddHeader>
    <oddFooter>&amp;L&amp;"Segoe UI"&amp;9 SGSI - ISO 27001:2022&amp;R&amp;"Segoe UI"&amp;9 Página &amp;P de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34">
    <tabColor rgb="FFC00000"/>
  </sheetPr>
  <dimension ref="A1:O4"/>
  <sheetViews>
    <sheetView showGridLines="0" workbookViewId="0">
      <pane ySplit="1" topLeftCell="A2" activePane="bottomLeft" state="frozen"/>
      <selection pane="bottomLeft" sqref="A1:O1"/>
    </sheetView>
  </sheetViews>
  <sheetFormatPr baseColWidth="10" defaultColWidth="9.140625" defaultRowHeight="15" x14ac:dyDescent="0.25"/>
  <cols>
    <col min="1" max="2" width="36" customWidth="1"/>
    <col min="3" max="3" width="20" customWidth="1"/>
    <col min="4" max="4" width="30" customWidth="1"/>
    <col min="5" max="5" width="12" customWidth="1"/>
    <col min="6" max="6" width="10" customWidth="1"/>
    <col min="7" max="7" width="18" customWidth="1"/>
    <col min="8" max="8" width="15" customWidth="1"/>
    <col min="9" max="9" width="10" customWidth="1"/>
    <col min="10" max="10" width="15" customWidth="1"/>
    <col min="11" max="11" width="12" customWidth="1"/>
    <col min="12" max="12" width="10" customWidth="1"/>
    <col min="13" max="13" width="20" customWidth="1"/>
    <col min="14" max="15" width="30" customWidth="1"/>
  </cols>
  <sheetData>
    <row r="1" spans="1:15" ht="30" customHeight="1" x14ac:dyDescent="0.25">
      <c r="A1" s="186" t="s">
        <v>510</v>
      </c>
      <c r="B1" s="164"/>
      <c r="C1" s="164"/>
      <c r="D1" s="164"/>
      <c r="E1" s="164"/>
      <c r="F1" s="164"/>
      <c r="G1" s="164"/>
      <c r="H1" s="164"/>
      <c r="I1" s="164"/>
      <c r="J1" s="164"/>
      <c r="K1" s="164"/>
      <c r="L1" s="164"/>
      <c r="M1" s="164"/>
      <c r="N1" s="164"/>
      <c r="O1" s="165"/>
    </row>
    <row r="3" spans="1:15" ht="35.1" customHeight="1" x14ac:dyDescent="0.25">
      <c r="A3" s="91" t="s">
        <v>511</v>
      </c>
      <c r="B3" s="91" t="s">
        <v>512</v>
      </c>
      <c r="C3" s="91" t="s">
        <v>513</v>
      </c>
      <c r="D3" s="91" t="s">
        <v>184</v>
      </c>
      <c r="E3" s="91" t="s">
        <v>205</v>
      </c>
      <c r="F3" s="91" t="s">
        <v>297</v>
      </c>
      <c r="G3" s="91" t="s">
        <v>514</v>
      </c>
      <c r="H3" s="91" t="s">
        <v>515</v>
      </c>
      <c r="I3" s="91" t="s">
        <v>128</v>
      </c>
      <c r="J3" s="91" t="s">
        <v>516</v>
      </c>
      <c r="K3" s="91" t="s">
        <v>300</v>
      </c>
      <c r="L3" s="91" t="s">
        <v>517</v>
      </c>
      <c r="M3" s="91" t="s">
        <v>518</v>
      </c>
      <c r="N3" s="91" t="s">
        <v>519</v>
      </c>
      <c r="O3" s="91" t="s">
        <v>520</v>
      </c>
    </row>
    <row r="4" spans="1:15" ht="30" customHeight="1" x14ac:dyDescent="0.25">
      <c r="A4" s="1" t="s">
        <v>521</v>
      </c>
      <c r="B4" s="1" t="s">
        <v>522</v>
      </c>
      <c r="C4" s="1" t="s">
        <v>523</v>
      </c>
      <c r="D4" s="73" t="s">
        <v>524</v>
      </c>
      <c r="E4" s="1" t="s">
        <v>260</v>
      </c>
      <c r="F4" s="1" t="s">
        <v>525</v>
      </c>
      <c r="G4" s="1" t="s">
        <v>526</v>
      </c>
      <c r="H4" s="1" t="s">
        <v>527</v>
      </c>
      <c r="I4" s="5" t="s">
        <v>528</v>
      </c>
      <c r="J4" s="1" t="s">
        <v>529</v>
      </c>
      <c r="K4" s="1" t="s">
        <v>530</v>
      </c>
      <c r="L4" s="1" t="s">
        <v>531</v>
      </c>
      <c r="M4" s="1" t="s">
        <v>532</v>
      </c>
      <c r="N4" s="73" t="s">
        <v>533</v>
      </c>
      <c r="O4" s="73" t="s">
        <v>534</v>
      </c>
    </row>
  </sheetData>
  <mergeCells count="1">
    <mergeCell ref="A1:O1"/>
  </mergeCells>
  <dataValidations count="3">
    <dataValidation type="list" sqref="E4:E1000" xr:uid="{00000000-0002-0000-0C00-000000000000}">
      <formula1>"Malware,Phishing,Acceso no autorizado,Pérdida de datos,Denegación de servicio,Otro"</formula1>
    </dataValidation>
    <dataValidation type="list" sqref="F4:F1000" xr:uid="{00000000-0002-0000-0C00-000001000000}">
      <formula1>"Crítica,Alta,Media,Baja"</formula1>
    </dataValidation>
    <dataValidation type="list" sqref="I4:I1000" xr:uid="{00000000-0002-0000-0C00-000002000000}">
      <formula1>"Nuevo,En Investigación,En Proceso,Resuelto,Cerrado"</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39">
    <tabColor rgb="FFE67E22"/>
  </sheetPr>
  <dimension ref="A1:H26"/>
  <sheetViews>
    <sheetView showGridLines="0" workbookViewId="0">
      <pane ySplit="1" topLeftCell="A2" activePane="bottomLeft" state="frozen"/>
      <selection pane="bottomLeft" sqref="A1:H1"/>
    </sheetView>
  </sheetViews>
  <sheetFormatPr baseColWidth="10" defaultColWidth="9.140625" defaultRowHeight="15" x14ac:dyDescent="0.25"/>
  <cols>
    <col min="1" max="1" width="50" customWidth="1"/>
    <col min="2" max="2" width="18" customWidth="1"/>
    <col min="3" max="3" width="25" customWidth="1"/>
    <col min="4" max="4" width="35" customWidth="1"/>
    <col min="5" max="5" width="12" customWidth="1"/>
    <col min="6" max="6" width="14" customWidth="1"/>
    <col min="7" max="7" width="18" customWidth="1"/>
    <col min="8" max="8" width="30" customWidth="1"/>
  </cols>
  <sheetData>
    <row r="1" spans="1:8" ht="30" customHeight="1" x14ac:dyDescent="0.25">
      <c r="A1" s="186" t="s">
        <v>535</v>
      </c>
      <c r="B1" s="164"/>
      <c r="C1" s="164"/>
      <c r="D1" s="164"/>
      <c r="E1" s="164"/>
      <c r="F1" s="164"/>
      <c r="G1" s="164"/>
      <c r="H1" s="165"/>
    </row>
    <row r="3" spans="1:8" x14ac:dyDescent="0.25">
      <c r="A3" s="196" t="s">
        <v>536</v>
      </c>
      <c r="B3" s="139"/>
      <c r="C3" s="139"/>
      <c r="D3" s="139"/>
      <c r="E3" s="139"/>
      <c r="F3" s="139"/>
      <c r="G3" s="139"/>
      <c r="H3" s="139"/>
    </row>
    <row r="5" spans="1:8" ht="30" customHeight="1" x14ac:dyDescent="0.25">
      <c r="A5" s="24" t="s">
        <v>537</v>
      </c>
      <c r="B5" s="24" t="s">
        <v>185</v>
      </c>
      <c r="C5" s="24" t="s">
        <v>538</v>
      </c>
      <c r="D5" s="24" t="s">
        <v>184</v>
      </c>
      <c r="E5" s="24" t="s">
        <v>539</v>
      </c>
      <c r="F5" s="24" t="s">
        <v>540</v>
      </c>
      <c r="G5" s="24" t="s">
        <v>541</v>
      </c>
      <c r="H5" s="24" t="s">
        <v>542</v>
      </c>
    </row>
    <row r="6" spans="1:8" ht="30" customHeight="1" x14ac:dyDescent="0.25">
      <c r="A6" s="1" t="s">
        <v>543</v>
      </c>
      <c r="B6" s="1" t="s">
        <v>254</v>
      </c>
      <c r="C6" s="1" t="s">
        <v>544</v>
      </c>
      <c r="D6" s="73" t="s">
        <v>545</v>
      </c>
      <c r="E6" s="3" t="s">
        <v>211</v>
      </c>
      <c r="F6" s="1" t="s">
        <v>546</v>
      </c>
      <c r="G6" s="1" t="s">
        <v>357</v>
      </c>
      <c r="H6" s="1" t="s">
        <v>547</v>
      </c>
    </row>
    <row r="7" spans="1:8" x14ac:dyDescent="0.25">
      <c r="A7" s="1" t="s">
        <v>548</v>
      </c>
      <c r="B7" s="1" t="s">
        <v>260</v>
      </c>
      <c r="C7" s="1" t="s">
        <v>549</v>
      </c>
      <c r="D7" s="73" t="s">
        <v>550</v>
      </c>
      <c r="E7" s="74" t="s">
        <v>525</v>
      </c>
      <c r="F7" s="1" t="s">
        <v>551</v>
      </c>
      <c r="G7" s="1" t="s">
        <v>552</v>
      </c>
      <c r="H7" s="73" t="s">
        <v>553</v>
      </c>
    </row>
    <row r="8" spans="1:8" ht="30" customHeight="1" x14ac:dyDescent="0.25">
      <c r="A8" s="1" t="s">
        <v>554</v>
      </c>
      <c r="B8" s="1" t="s">
        <v>268</v>
      </c>
      <c r="C8" s="1" t="s">
        <v>555</v>
      </c>
      <c r="D8" s="73" t="s">
        <v>556</v>
      </c>
      <c r="E8" s="12" t="s">
        <v>212</v>
      </c>
      <c r="F8" s="1" t="s">
        <v>557</v>
      </c>
      <c r="G8" s="1" t="s">
        <v>558</v>
      </c>
      <c r="H8" s="73" t="s">
        <v>559</v>
      </c>
    </row>
    <row r="9" spans="1:8" ht="30" customHeight="1" x14ac:dyDescent="0.25">
      <c r="A9" s="1" t="s">
        <v>560</v>
      </c>
      <c r="B9" s="1" t="s">
        <v>561</v>
      </c>
      <c r="C9" s="1" t="s">
        <v>562</v>
      </c>
      <c r="D9" s="73" t="s">
        <v>563</v>
      </c>
      <c r="E9" s="3" t="s">
        <v>211</v>
      </c>
      <c r="F9" s="1" t="s">
        <v>546</v>
      </c>
      <c r="G9" s="1" t="s">
        <v>357</v>
      </c>
      <c r="H9" s="1" t="s">
        <v>564</v>
      </c>
    </row>
    <row r="10" spans="1:8" ht="30" customHeight="1" x14ac:dyDescent="0.25">
      <c r="A10" s="1" t="s">
        <v>565</v>
      </c>
      <c r="B10" s="1" t="s">
        <v>273</v>
      </c>
      <c r="C10" s="1" t="s">
        <v>566</v>
      </c>
      <c r="D10" s="73" t="s">
        <v>567</v>
      </c>
      <c r="E10" s="12" t="s">
        <v>212</v>
      </c>
      <c r="F10" s="1" t="s">
        <v>568</v>
      </c>
      <c r="G10" s="1" t="s">
        <v>569</v>
      </c>
      <c r="H10" s="1" t="s">
        <v>570</v>
      </c>
    </row>
    <row r="11" spans="1:8" x14ac:dyDescent="0.25">
      <c r="A11" s="1" t="s">
        <v>571</v>
      </c>
      <c r="B11" s="1" t="s">
        <v>327</v>
      </c>
      <c r="C11" s="1" t="s">
        <v>572</v>
      </c>
      <c r="D11" s="1" t="s">
        <v>573</v>
      </c>
      <c r="E11" s="3" t="s">
        <v>211</v>
      </c>
      <c r="F11" s="1" t="s">
        <v>574</v>
      </c>
      <c r="G11" s="1" t="s">
        <v>318</v>
      </c>
      <c r="H11" s="1" t="s">
        <v>575</v>
      </c>
    </row>
    <row r="12" spans="1:8" x14ac:dyDescent="0.25">
      <c r="A12" s="1" t="s">
        <v>576</v>
      </c>
      <c r="B12" s="1" t="s">
        <v>288</v>
      </c>
      <c r="C12" s="1" t="s">
        <v>577</v>
      </c>
      <c r="D12" s="73" t="s">
        <v>578</v>
      </c>
      <c r="E12" s="74" t="s">
        <v>525</v>
      </c>
      <c r="F12" s="1" t="s">
        <v>574</v>
      </c>
      <c r="G12" s="1" t="s">
        <v>318</v>
      </c>
      <c r="H12" s="1" t="s">
        <v>579</v>
      </c>
    </row>
    <row r="13" spans="1:8" ht="30" customHeight="1" x14ac:dyDescent="0.25">
      <c r="A13" s="1" t="s">
        <v>580</v>
      </c>
      <c r="B13" s="1" t="s">
        <v>581</v>
      </c>
      <c r="C13" s="1" t="s">
        <v>582</v>
      </c>
      <c r="D13" s="73" t="s">
        <v>583</v>
      </c>
      <c r="E13" s="3" t="s">
        <v>211</v>
      </c>
      <c r="F13" s="1" t="s">
        <v>551</v>
      </c>
      <c r="G13" s="1" t="s">
        <v>584</v>
      </c>
      <c r="H13" s="1" t="s">
        <v>585</v>
      </c>
    </row>
    <row r="14" spans="1:8" x14ac:dyDescent="0.25">
      <c r="A14" s="1" t="s">
        <v>586</v>
      </c>
      <c r="B14" s="1" t="s">
        <v>587</v>
      </c>
      <c r="C14" s="1" t="s">
        <v>588</v>
      </c>
      <c r="D14" s="73" t="s">
        <v>589</v>
      </c>
      <c r="E14" s="74" t="s">
        <v>525</v>
      </c>
      <c r="F14" s="1" t="s">
        <v>551</v>
      </c>
      <c r="G14" s="1" t="s">
        <v>590</v>
      </c>
      <c r="H14" s="1" t="s">
        <v>591</v>
      </c>
    </row>
    <row r="15" spans="1:8" x14ac:dyDescent="0.25">
      <c r="A15" s="1" t="s">
        <v>592</v>
      </c>
      <c r="B15" s="1" t="s">
        <v>593</v>
      </c>
      <c r="C15" s="1" t="s">
        <v>594</v>
      </c>
      <c r="D15" s="1" t="s">
        <v>595</v>
      </c>
      <c r="E15" s="74" t="s">
        <v>525</v>
      </c>
      <c r="F15" s="1" t="s">
        <v>546</v>
      </c>
      <c r="G15" s="1" t="s">
        <v>596</v>
      </c>
      <c r="H15" s="1" t="s">
        <v>597</v>
      </c>
    </row>
    <row r="16" spans="1:8" x14ac:dyDescent="0.25">
      <c r="A16" s="1" t="s">
        <v>598</v>
      </c>
      <c r="B16" s="1" t="s">
        <v>599</v>
      </c>
      <c r="C16" s="1" t="s">
        <v>600</v>
      </c>
      <c r="D16" s="1" t="s">
        <v>601</v>
      </c>
      <c r="E16" s="3" t="s">
        <v>211</v>
      </c>
      <c r="F16" s="1" t="s">
        <v>557</v>
      </c>
      <c r="G16" s="1" t="s">
        <v>602</v>
      </c>
      <c r="H16" s="1" t="s">
        <v>603</v>
      </c>
    </row>
    <row r="17" spans="1:8" x14ac:dyDescent="0.25">
      <c r="A17" s="1" t="s">
        <v>604</v>
      </c>
      <c r="B17" s="1" t="s">
        <v>605</v>
      </c>
      <c r="C17" s="1" t="s">
        <v>606</v>
      </c>
      <c r="D17" s="73" t="s">
        <v>607</v>
      </c>
      <c r="E17" s="74" t="s">
        <v>525</v>
      </c>
      <c r="F17" s="1" t="s">
        <v>608</v>
      </c>
      <c r="G17" s="1" t="s">
        <v>609</v>
      </c>
      <c r="H17" s="1" t="s">
        <v>610</v>
      </c>
    </row>
    <row r="20" spans="1:8" ht="15.75" customHeight="1" x14ac:dyDescent="0.25">
      <c r="A20" s="214" t="s">
        <v>611</v>
      </c>
      <c r="B20" s="139"/>
      <c r="C20" s="139"/>
      <c r="D20" s="139"/>
      <c r="E20" s="139"/>
      <c r="F20" s="139"/>
      <c r="G20" s="139"/>
      <c r="H20" s="139"/>
    </row>
    <row r="22" spans="1:8" x14ac:dyDescent="0.25">
      <c r="A22" s="24" t="s">
        <v>126</v>
      </c>
      <c r="B22" s="24" t="s">
        <v>297</v>
      </c>
      <c r="C22" s="24" t="s">
        <v>329</v>
      </c>
      <c r="D22" s="24" t="s">
        <v>540</v>
      </c>
      <c r="E22" s="24" t="s">
        <v>541</v>
      </c>
      <c r="F22" s="24" t="s">
        <v>612</v>
      </c>
    </row>
    <row r="23" spans="1:8" ht="30" customHeight="1" x14ac:dyDescent="0.25">
      <c r="A23" s="1" t="s">
        <v>494</v>
      </c>
      <c r="B23" s="12" t="s">
        <v>212</v>
      </c>
      <c r="C23" s="73" t="s">
        <v>613</v>
      </c>
      <c r="D23" s="1" t="s">
        <v>614</v>
      </c>
      <c r="E23" s="1" t="s">
        <v>569</v>
      </c>
      <c r="F23" s="1" t="s">
        <v>615</v>
      </c>
    </row>
    <row r="24" spans="1:8" ht="30" customHeight="1" x14ac:dyDescent="0.25">
      <c r="A24" s="1" t="s">
        <v>354</v>
      </c>
      <c r="B24" s="3" t="s">
        <v>211</v>
      </c>
      <c r="C24" s="73" t="s">
        <v>616</v>
      </c>
      <c r="D24" s="1" t="s">
        <v>617</v>
      </c>
      <c r="E24" s="1" t="s">
        <v>618</v>
      </c>
      <c r="F24" s="1" t="s">
        <v>619</v>
      </c>
    </row>
    <row r="25" spans="1:8" ht="30" customHeight="1" x14ac:dyDescent="0.25">
      <c r="A25" s="1" t="s">
        <v>350</v>
      </c>
      <c r="B25" s="74" t="s">
        <v>525</v>
      </c>
      <c r="C25" s="73" t="s">
        <v>620</v>
      </c>
      <c r="D25" s="1" t="s">
        <v>621</v>
      </c>
      <c r="E25" s="1" t="s">
        <v>622</v>
      </c>
      <c r="F25" s="1" t="s">
        <v>623</v>
      </c>
    </row>
    <row r="26" spans="1:8" ht="30" customHeight="1" x14ac:dyDescent="0.25">
      <c r="A26" s="1" t="s">
        <v>355</v>
      </c>
      <c r="B26" s="92" t="s">
        <v>624</v>
      </c>
      <c r="C26" s="73" t="s">
        <v>625</v>
      </c>
      <c r="D26" s="1" t="s">
        <v>626</v>
      </c>
      <c r="E26" s="1" t="s">
        <v>627</v>
      </c>
      <c r="F26" s="1" t="s">
        <v>628</v>
      </c>
    </row>
  </sheetData>
  <mergeCells count="3">
    <mergeCell ref="A20:H20"/>
    <mergeCell ref="A3:H3"/>
    <mergeCell ref="A1:H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9">
    <tabColor rgb="FF7030A0"/>
  </sheetPr>
  <dimension ref="A1:F10"/>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 min="2" max="2" width="15" customWidth="1"/>
    <col min="3" max="3" width="45" customWidth="1"/>
    <col min="4" max="4" width="10" customWidth="1"/>
    <col min="5" max="6" width="12" customWidth="1"/>
  </cols>
  <sheetData>
    <row r="1" spans="1:6" ht="30" customHeight="1" x14ac:dyDescent="0.25">
      <c r="A1" s="186" t="s">
        <v>629</v>
      </c>
      <c r="B1" s="164"/>
      <c r="C1" s="164"/>
      <c r="D1" s="164"/>
      <c r="E1" s="164"/>
      <c r="F1" s="165"/>
    </row>
    <row r="3" spans="1:6" x14ac:dyDescent="0.25">
      <c r="A3" s="196" t="s">
        <v>630</v>
      </c>
      <c r="B3" s="139"/>
      <c r="C3" s="139"/>
      <c r="D3" s="139"/>
      <c r="E3" s="139"/>
      <c r="F3" s="139"/>
    </row>
    <row r="5" spans="1:6" x14ac:dyDescent="0.25">
      <c r="A5" s="22" t="s">
        <v>182</v>
      </c>
      <c r="B5" s="22" t="s">
        <v>191</v>
      </c>
      <c r="C5" s="22" t="s">
        <v>184</v>
      </c>
      <c r="D5" s="22" t="s">
        <v>126</v>
      </c>
      <c r="E5" s="22" t="s">
        <v>631</v>
      </c>
      <c r="F5" s="22" t="s">
        <v>128</v>
      </c>
    </row>
    <row r="6" spans="1:6" ht="30" customHeight="1" x14ac:dyDescent="0.25">
      <c r="A6" s="1" t="s">
        <v>494</v>
      </c>
      <c r="B6" s="1" t="s">
        <v>131</v>
      </c>
      <c r="C6" s="73" t="s">
        <v>632</v>
      </c>
      <c r="D6" s="1" t="s">
        <v>479</v>
      </c>
      <c r="E6" s="12" t="s">
        <v>633</v>
      </c>
      <c r="F6" s="1" t="s">
        <v>213</v>
      </c>
    </row>
    <row r="7" spans="1:6" ht="30" customHeight="1" x14ac:dyDescent="0.25">
      <c r="A7" s="1" t="s">
        <v>354</v>
      </c>
      <c r="B7" s="1" t="s">
        <v>634</v>
      </c>
      <c r="C7" s="73" t="s">
        <v>635</v>
      </c>
      <c r="D7" s="1" t="s">
        <v>355</v>
      </c>
      <c r="E7" s="3" t="s">
        <v>636</v>
      </c>
      <c r="F7" s="1" t="s">
        <v>213</v>
      </c>
    </row>
    <row r="8" spans="1:6" x14ac:dyDescent="0.25">
      <c r="A8" s="1" t="s">
        <v>350</v>
      </c>
      <c r="B8" s="1" t="s">
        <v>134</v>
      </c>
      <c r="C8" s="73" t="s">
        <v>637</v>
      </c>
      <c r="D8" s="1" t="s">
        <v>350</v>
      </c>
      <c r="E8" s="74" t="s">
        <v>638</v>
      </c>
      <c r="F8" s="1" t="s">
        <v>213</v>
      </c>
    </row>
    <row r="9" spans="1:6" x14ac:dyDescent="0.25">
      <c r="A9" s="1" t="s">
        <v>355</v>
      </c>
      <c r="B9" s="1" t="s">
        <v>136</v>
      </c>
      <c r="C9" s="1" t="s">
        <v>639</v>
      </c>
      <c r="D9" s="1" t="s">
        <v>354</v>
      </c>
      <c r="E9" s="21" t="s">
        <v>640</v>
      </c>
      <c r="F9" s="1" t="s">
        <v>213</v>
      </c>
    </row>
    <row r="10" spans="1:6" x14ac:dyDescent="0.25">
      <c r="A10" s="1" t="s">
        <v>479</v>
      </c>
      <c r="B10" s="1" t="s">
        <v>139</v>
      </c>
      <c r="C10" s="73" t="s">
        <v>641</v>
      </c>
      <c r="D10" s="1" t="s">
        <v>494</v>
      </c>
      <c r="E10" s="92" t="s">
        <v>642</v>
      </c>
      <c r="F10" s="1" t="s">
        <v>213</v>
      </c>
    </row>
  </sheetData>
  <mergeCells count="2">
    <mergeCell ref="A3:F3"/>
    <mergeCell ref="A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7">
    <tabColor rgb="FF7030A0"/>
  </sheetPr>
  <dimension ref="A1:E12"/>
  <sheetViews>
    <sheetView showGridLines="0" workbookViewId="0">
      <pane ySplit="1" topLeftCell="A2" activePane="bottomLeft" state="frozen"/>
      <selection pane="bottomLeft" sqref="A1:E1"/>
    </sheetView>
  </sheetViews>
  <sheetFormatPr baseColWidth="10" defaultColWidth="9.140625" defaultRowHeight="15" x14ac:dyDescent="0.25"/>
  <cols>
    <col min="1" max="1" width="50" customWidth="1"/>
    <col min="2" max="2" width="20" customWidth="1"/>
    <col min="3" max="3" width="35" customWidth="1"/>
    <col min="4" max="4" width="40" customWidth="1"/>
    <col min="5" max="5" width="12" customWidth="1"/>
  </cols>
  <sheetData>
    <row r="1" spans="1:5" ht="30" customHeight="1" x14ac:dyDescent="0.25">
      <c r="A1" s="186" t="s">
        <v>643</v>
      </c>
      <c r="B1" s="164"/>
      <c r="C1" s="164"/>
      <c r="D1" s="164"/>
      <c r="E1" s="165"/>
    </row>
    <row r="3" spans="1:5" x14ac:dyDescent="0.25">
      <c r="A3" s="196" t="s">
        <v>644</v>
      </c>
      <c r="B3" s="139"/>
      <c r="C3" s="139"/>
      <c r="D3" s="139"/>
      <c r="E3" s="139"/>
    </row>
    <row r="5" spans="1:5" x14ac:dyDescent="0.25">
      <c r="A5" s="22" t="s">
        <v>182</v>
      </c>
      <c r="B5" s="22" t="s">
        <v>185</v>
      </c>
      <c r="C5" s="22" t="s">
        <v>184</v>
      </c>
      <c r="D5" s="22" t="s">
        <v>645</v>
      </c>
      <c r="E5" s="22" t="s">
        <v>128</v>
      </c>
    </row>
    <row r="6" spans="1:5" x14ac:dyDescent="0.25">
      <c r="A6" s="1" t="s">
        <v>494</v>
      </c>
      <c r="B6" s="1" t="s">
        <v>208</v>
      </c>
      <c r="C6" s="73" t="s">
        <v>646</v>
      </c>
      <c r="D6" s="73" t="s">
        <v>647</v>
      </c>
      <c r="E6" s="1" t="s">
        <v>213</v>
      </c>
    </row>
    <row r="7" spans="1:5" x14ac:dyDescent="0.25">
      <c r="A7" s="1" t="s">
        <v>354</v>
      </c>
      <c r="B7" s="1" t="s">
        <v>226</v>
      </c>
      <c r="C7" s="73" t="s">
        <v>648</v>
      </c>
      <c r="D7" s="73" t="s">
        <v>649</v>
      </c>
      <c r="E7" s="1" t="s">
        <v>213</v>
      </c>
    </row>
    <row r="8" spans="1:5" x14ac:dyDescent="0.25">
      <c r="A8" s="1" t="s">
        <v>350</v>
      </c>
      <c r="B8" s="1" t="s">
        <v>237</v>
      </c>
      <c r="C8" s="1" t="s">
        <v>650</v>
      </c>
      <c r="D8" s="1" t="s">
        <v>651</v>
      </c>
      <c r="E8" s="1" t="s">
        <v>213</v>
      </c>
    </row>
    <row r="9" spans="1:5" x14ac:dyDescent="0.25">
      <c r="A9" s="1" t="s">
        <v>355</v>
      </c>
      <c r="B9" s="1" t="s">
        <v>652</v>
      </c>
      <c r="C9" s="73" t="s">
        <v>653</v>
      </c>
      <c r="D9" s="1" t="s">
        <v>654</v>
      </c>
      <c r="E9" s="1" t="s">
        <v>213</v>
      </c>
    </row>
    <row r="10" spans="1:5" x14ac:dyDescent="0.25">
      <c r="A10" s="1" t="s">
        <v>479</v>
      </c>
      <c r="B10" s="1" t="s">
        <v>655</v>
      </c>
      <c r="C10" s="1" t="s">
        <v>656</v>
      </c>
      <c r="D10" s="1" t="s">
        <v>657</v>
      </c>
      <c r="E10" s="1" t="s">
        <v>213</v>
      </c>
    </row>
    <row r="11" spans="1:5" x14ac:dyDescent="0.25">
      <c r="A11" s="1" t="s">
        <v>490</v>
      </c>
      <c r="B11" s="1" t="s">
        <v>658</v>
      </c>
      <c r="C11" s="1" t="s">
        <v>659</v>
      </c>
      <c r="D11" s="1" t="s">
        <v>660</v>
      </c>
      <c r="E11" s="1" t="s">
        <v>213</v>
      </c>
    </row>
    <row r="12" spans="1:5" x14ac:dyDescent="0.25">
      <c r="A12" s="1" t="s">
        <v>661</v>
      </c>
      <c r="B12" s="1" t="s">
        <v>662</v>
      </c>
      <c r="C12" s="1" t="s">
        <v>663</v>
      </c>
      <c r="D12" s="1" t="s">
        <v>664</v>
      </c>
      <c r="E12" s="1" t="s">
        <v>213</v>
      </c>
    </row>
  </sheetData>
  <mergeCells count="2">
    <mergeCell ref="A1:E1"/>
    <mergeCell ref="A3:E3"/>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28">
    <tabColor rgb="FF7030A0"/>
  </sheetPr>
  <dimension ref="A1:E13"/>
  <sheetViews>
    <sheetView showGridLines="0" workbookViewId="0">
      <pane ySplit="1" topLeftCell="A2" activePane="bottomLeft" state="frozen"/>
      <selection pane="bottomLeft" sqref="A1:E1"/>
    </sheetView>
  </sheetViews>
  <sheetFormatPr baseColWidth="10" defaultColWidth="9.140625" defaultRowHeight="15" x14ac:dyDescent="0.25"/>
  <cols>
    <col min="1" max="1" width="50" customWidth="1"/>
    <col min="2" max="2" width="18" customWidth="1"/>
    <col min="3" max="3" width="35" customWidth="1"/>
    <col min="4" max="4" width="25" customWidth="1"/>
    <col min="5" max="5" width="12" customWidth="1"/>
  </cols>
  <sheetData>
    <row r="1" spans="1:5" ht="30" customHeight="1" x14ac:dyDescent="0.25">
      <c r="A1" s="186" t="s">
        <v>665</v>
      </c>
      <c r="B1" s="164"/>
      <c r="C1" s="164"/>
      <c r="D1" s="164"/>
      <c r="E1" s="165"/>
    </row>
    <row r="3" spans="1:5" x14ac:dyDescent="0.25">
      <c r="A3" s="196" t="s">
        <v>666</v>
      </c>
      <c r="B3" s="139"/>
      <c r="C3" s="139"/>
      <c r="D3" s="139"/>
      <c r="E3" s="139"/>
    </row>
    <row r="5" spans="1:5" x14ac:dyDescent="0.25">
      <c r="A5" s="22" t="s">
        <v>182</v>
      </c>
      <c r="B5" s="22" t="s">
        <v>187</v>
      </c>
      <c r="C5" s="22" t="s">
        <v>184</v>
      </c>
      <c r="D5" s="22" t="s">
        <v>207</v>
      </c>
      <c r="E5" s="22" t="s">
        <v>128</v>
      </c>
    </row>
    <row r="6" spans="1:5" x14ac:dyDescent="0.25">
      <c r="A6" s="1" t="s">
        <v>494</v>
      </c>
      <c r="B6" s="1" t="s">
        <v>391</v>
      </c>
      <c r="C6" s="1" t="s">
        <v>667</v>
      </c>
      <c r="D6" s="1" t="s">
        <v>668</v>
      </c>
      <c r="E6" s="1" t="s">
        <v>213</v>
      </c>
    </row>
    <row r="7" spans="1:5" x14ac:dyDescent="0.25">
      <c r="A7" s="1" t="s">
        <v>354</v>
      </c>
      <c r="B7" s="1" t="s">
        <v>380</v>
      </c>
      <c r="C7" s="1" t="s">
        <v>669</v>
      </c>
      <c r="D7" s="1" t="s">
        <v>670</v>
      </c>
      <c r="E7" s="1" t="s">
        <v>213</v>
      </c>
    </row>
    <row r="8" spans="1:5" x14ac:dyDescent="0.25">
      <c r="A8" s="1" t="s">
        <v>350</v>
      </c>
      <c r="B8" s="1" t="s">
        <v>671</v>
      </c>
      <c r="C8" s="1" t="s">
        <v>672</v>
      </c>
      <c r="D8" s="1" t="s">
        <v>673</v>
      </c>
      <c r="E8" s="1" t="s">
        <v>213</v>
      </c>
    </row>
    <row r="9" spans="1:5" x14ac:dyDescent="0.25">
      <c r="A9" s="1" t="s">
        <v>355</v>
      </c>
      <c r="B9" s="1" t="s">
        <v>602</v>
      </c>
      <c r="C9" s="1" t="s">
        <v>674</v>
      </c>
      <c r="D9" s="1" t="s">
        <v>675</v>
      </c>
      <c r="E9" s="1" t="s">
        <v>213</v>
      </c>
    </row>
    <row r="10" spans="1:5" x14ac:dyDescent="0.25">
      <c r="A10" s="1" t="s">
        <v>479</v>
      </c>
      <c r="B10" s="1" t="s">
        <v>676</v>
      </c>
      <c r="C10" s="1" t="s">
        <v>677</v>
      </c>
      <c r="D10" s="1" t="s">
        <v>678</v>
      </c>
      <c r="E10" s="1" t="s">
        <v>213</v>
      </c>
    </row>
    <row r="11" spans="1:5" x14ac:dyDescent="0.25">
      <c r="A11" s="1" t="s">
        <v>490</v>
      </c>
      <c r="B11" s="1" t="s">
        <v>679</v>
      </c>
      <c r="C11" s="1" t="s">
        <v>680</v>
      </c>
      <c r="D11" s="1" t="s">
        <v>681</v>
      </c>
      <c r="E11" s="1" t="s">
        <v>213</v>
      </c>
    </row>
    <row r="12" spans="1:5" x14ac:dyDescent="0.25">
      <c r="A12" s="1" t="s">
        <v>661</v>
      </c>
      <c r="B12" s="1" t="s">
        <v>590</v>
      </c>
      <c r="C12" s="1" t="s">
        <v>682</v>
      </c>
      <c r="D12" s="1" t="s">
        <v>357</v>
      </c>
      <c r="E12" s="1" t="s">
        <v>213</v>
      </c>
    </row>
    <row r="13" spans="1:5" x14ac:dyDescent="0.25">
      <c r="A13" s="1" t="s">
        <v>486</v>
      </c>
      <c r="B13" s="1" t="s">
        <v>683</v>
      </c>
      <c r="C13" s="1" t="s">
        <v>684</v>
      </c>
      <c r="D13" s="1" t="s">
        <v>685</v>
      </c>
      <c r="E13" s="1" t="s">
        <v>213</v>
      </c>
    </row>
  </sheetData>
  <mergeCells count="2">
    <mergeCell ref="A1:E1"/>
    <mergeCell ref="A3:E3"/>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6"/>
  <dimension ref="A1:L84"/>
  <sheetViews>
    <sheetView workbookViewId="0">
      <pane ySplit="1" topLeftCell="A2" activePane="bottomLeft" state="frozen"/>
      <selection pane="bottomLeft"/>
    </sheetView>
  </sheetViews>
  <sheetFormatPr baseColWidth="10" defaultColWidth="9.140625" defaultRowHeight="15" x14ac:dyDescent="0.25"/>
  <cols>
    <col min="1" max="1" width="10" customWidth="1"/>
    <col min="2" max="2" width="39" customWidth="1"/>
    <col min="3" max="3" width="40" customWidth="1"/>
    <col min="4" max="4" width="50" customWidth="1"/>
    <col min="5" max="5" width="13" customWidth="1"/>
    <col min="6" max="6" width="11" customWidth="1"/>
    <col min="7" max="7" width="43" customWidth="1"/>
    <col min="8" max="8" width="22" customWidth="1"/>
    <col min="9" max="9" width="20" customWidth="1"/>
    <col min="10" max="11" width="21" customWidth="1"/>
    <col min="12" max="12" width="10" customWidth="1"/>
  </cols>
  <sheetData>
    <row r="1" spans="1:12" ht="30" customHeight="1" x14ac:dyDescent="0.25">
      <c r="A1" s="54" t="s">
        <v>686</v>
      </c>
      <c r="B1" s="54" t="s">
        <v>687</v>
      </c>
      <c r="C1" s="54" t="s">
        <v>688</v>
      </c>
      <c r="D1" s="54" t="s">
        <v>184</v>
      </c>
      <c r="E1" s="54" t="s">
        <v>689</v>
      </c>
      <c r="F1" s="54" t="s">
        <v>690</v>
      </c>
      <c r="G1" s="54" t="s">
        <v>691</v>
      </c>
      <c r="H1" s="54" t="s">
        <v>692</v>
      </c>
      <c r="I1" s="54" t="s">
        <v>693</v>
      </c>
      <c r="J1" s="54" t="s">
        <v>694</v>
      </c>
      <c r="K1" s="54" t="s">
        <v>199</v>
      </c>
      <c r="L1" s="54" t="s">
        <v>695</v>
      </c>
    </row>
    <row r="2" spans="1:12" ht="180" customHeight="1" x14ac:dyDescent="0.25">
      <c r="A2" s="93" t="s">
        <v>696</v>
      </c>
      <c r="B2" s="93" t="s">
        <v>697</v>
      </c>
      <c r="C2" s="93" t="s">
        <v>698</v>
      </c>
      <c r="D2" s="94" t="s">
        <v>699</v>
      </c>
      <c r="E2" s="93" t="s">
        <v>700</v>
      </c>
      <c r="F2" s="36"/>
      <c r="G2" s="94" t="s">
        <v>701</v>
      </c>
      <c r="H2" s="36"/>
      <c r="I2" s="36"/>
      <c r="J2" s="36"/>
      <c r="K2" s="93" t="s">
        <v>702</v>
      </c>
      <c r="L2" s="93" t="s">
        <v>402</v>
      </c>
    </row>
    <row r="3" spans="1:12" ht="360" customHeight="1" x14ac:dyDescent="0.25">
      <c r="A3" s="93" t="s">
        <v>703</v>
      </c>
      <c r="B3" s="93" t="s">
        <v>704</v>
      </c>
      <c r="C3" s="93" t="s">
        <v>705</v>
      </c>
      <c r="D3" s="94" t="s">
        <v>706</v>
      </c>
      <c r="E3" s="93" t="s">
        <v>700</v>
      </c>
      <c r="F3" s="36"/>
      <c r="G3" s="94" t="s">
        <v>707</v>
      </c>
      <c r="H3" s="36"/>
      <c r="I3" s="36"/>
      <c r="J3" s="36"/>
      <c r="K3" s="93" t="s">
        <v>708</v>
      </c>
      <c r="L3" s="93" t="s">
        <v>709</v>
      </c>
    </row>
    <row r="4" spans="1:12" ht="409.5" customHeight="1" x14ac:dyDescent="0.25">
      <c r="A4" s="93" t="s">
        <v>710</v>
      </c>
      <c r="B4" s="93" t="s">
        <v>711</v>
      </c>
      <c r="C4" s="93" t="s">
        <v>698</v>
      </c>
      <c r="D4" s="94" t="s">
        <v>712</v>
      </c>
      <c r="E4" s="93" t="s">
        <v>700</v>
      </c>
      <c r="F4" s="36"/>
      <c r="G4" s="94" t="s">
        <v>713</v>
      </c>
      <c r="H4" s="36"/>
      <c r="I4" s="36"/>
      <c r="J4" s="36"/>
      <c r="K4" s="93" t="s">
        <v>708</v>
      </c>
      <c r="L4" s="93" t="s">
        <v>714</v>
      </c>
    </row>
    <row r="5" spans="1:12" ht="135" customHeight="1" x14ac:dyDescent="0.25">
      <c r="A5" s="93" t="s">
        <v>715</v>
      </c>
      <c r="B5" s="93" t="s">
        <v>716</v>
      </c>
      <c r="C5" s="93" t="s">
        <v>705</v>
      </c>
      <c r="D5" s="94" t="s">
        <v>717</v>
      </c>
      <c r="E5" s="93" t="s">
        <v>700</v>
      </c>
      <c r="F5" s="36"/>
      <c r="G5" s="94" t="s">
        <v>718</v>
      </c>
      <c r="H5" s="36"/>
      <c r="I5" s="36"/>
      <c r="J5" s="36"/>
      <c r="K5" s="93" t="s">
        <v>719</v>
      </c>
      <c r="L5" s="93" t="s">
        <v>720</v>
      </c>
    </row>
    <row r="6" spans="1:12" ht="405" customHeight="1" x14ac:dyDescent="0.25">
      <c r="A6" s="93" t="s">
        <v>721</v>
      </c>
      <c r="B6" s="93" t="s">
        <v>722</v>
      </c>
      <c r="C6" s="93" t="s">
        <v>723</v>
      </c>
      <c r="D6" s="94" t="s">
        <v>724</v>
      </c>
      <c r="E6" s="36"/>
      <c r="F6" s="36"/>
      <c r="G6" s="94" t="s">
        <v>725</v>
      </c>
      <c r="H6" s="36"/>
      <c r="I6" s="36"/>
      <c r="J6" s="36"/>
      <c r="K6" s="93" t="s">
        <v>719</v>
      </c>
      <c r="L6" s="93" t="s">
        <v>402</v>
      </c>
    </row>
    <row r="7" spans="1:12" ht="150" customHeight="1" x14ac:dyDescent="0.25">
      <c r="A7" s="93" t="s">
        <v>726</v>
      </c>
      <c r="B7" s="93" t="s">
        <v>727</v>
      </c>
      <c r="C7" s="93" t="s">
        <v>698</v>
      </c>
      <c r="D7" s="94" t="s">
        <v>728</v>
      </c>
      <c r="E7" s="93" t="s">
        <v>700</v>
      </c>
      <c r="F7" s="36"/>
      <c r="G7" s="94" t="s">
        <v>729</v>
      </c>
      <c r="H7" s="36"/>
      <c r="I7" s="36"/>
      <c r="J7" s="36"/>
      <c r="K7" s="93" t="s">
        <v>719</v>
      </c>
      <c r="L7" s="93" t="s">
        <v>720</v>
      </c>
    </row>
    <row r="8" spans="1:12" ht="270" customHeight="1" x14ac:dyDescent="0.25">
      <c r="A8" s="93" t="s">
        <v>730</v>
      </c>
      <c r="B8" s="93" t="s">
        <v>731</v>
      </c>
      <c r="C8" s="93" t="s">
        <v>698</v>
      </c>
      <c r="D8" s="94" t="s">
        <v>732</v>
      </c>
      <c r="E8" s="93" t="s">
        <v>700</v>
      </c>
      <c r="F8" s="36"/>
      <c r="G8" s="94" t="s">
        <v>733</v>
      </c>
      <c r="H8" s="36"/>
      <c r="I8" s="36"/>
      <c r="J8" s="36"/>
      <c r="K8" s="93" t="s">
        <v>708</v>
      </c>
      <c r="L8" s="93" t="s">
        <v>402</v>
      </c>
    </row>
    <row r="9" spans="1:12" ht="405" customHeight="1" x14ac:dyDescent="0.25">
      <c r="A9" s="93" t="s">
        <v>734</v>
      </c>
      <c r="B9" s="93" t="s">
        <v>735</v>
      </c>
      <c r="C9" s="93" t="s">
        <v>698</v>
      </c>
      <c r="D9" s="94" t="s">
        <v>736</v>
      </c>
      <c r="E9" s="93" t="s">
        <v>700</v>
      </c>
      <c r="F9" s="36"/>
      <c r="G9" s="94" t="s">
        <v>737</v>
      </c>
      <c r="H9" s="36"/>
      <c r="I9" s="36"/>
      <c r="J9" s="36"/>
      <c r="K9" s="93" t="s">
        <v>708</v>
      </c>
      <c r="L9" s="93" t="s">
        <v>720</v>
      </c>
    </row>
    <row r="10" spans="1:12" ht="270" customHeight="1" x14ac:dyDescent="0.25">
      <c r="A10" s="93" t="s">
        <v>738</v>
      </c>
      <c r="B10" s="93" t="s">
        <v>739</v>
      </c>
      <c r="C10" s="93" t="s">
        <v>740</v>
      </c>
      <c r="D10" s="94" t="s">
        <v>741</v>
      </c>
      <c r="E10" s="93" t="s">
        <v>700</v>
      </c>
      <c r="F10" s="36"/>
      <c r="G10" s="94" t="s">
        <v>742</v>
      </c>
      <c r="H10" s="36"/>
      <c r="I10" s="36"/>
      <c r="J10" s="36"/>
      <c r="K10" s="93" t="s">
        <v>708</v>
      </c>
      <c r="L10" s="93" t="s">
        <v>720</v>
      </c>
    </row>
    <row r="11" spans="1:12" ht="409.5" customHeight="1" x14ac:dyDescent="0.25">
      <c r="A11" s="93" t="s">
        <v>743</v>
      </c>
      <c r="B11" s="93" t="s">
        <v>744</v>
      </c>
      <c r="C11" s="93" t="s">
        <v>698</v>
      </c>
      <c r="D11" s="94" t="s">
        <v>745</v>
      </c>
      <c r="E11" s="93" t="s">
        <v>700</v>
      </c>
      <c r="F11" s="36"/>
      <c r="G11" s="94" t="s">
        <v>746</v>
      </c>
      <c r="H11" s="36"/>
      <c r="I11" s="36"/>
      <c r="J11" s="36"/>
      <c r="K11" s="93" t="s">
        <v>708</v>
      </c>
      <c r="L11" s="93" t="s">
        <v>402</v>
      </c>
    </row>
    <row r="12" spans="1:12" ht="409.5" customHeight="1" x14ac:dyDescent="0.25">
      <c r="A12" s="93" t="s">
        <v>747</v>
      </c>
      <c r="B12" s="93" t="s">
        <v>748</v>
      </c>
      <c r="C12" s="93" t="s">
        <v>749</v>
      </c>
      <c r="D12" s="94" t="s">
        <v>750</v>
      </c>
      <c r="E12" s="93" t="s">
        <v>700</v>
      </c>
      <c r="F12" s="36"/>
      <c r="G12" s="94" t="s">
        <v>751</v>
      </c>
      <c r="H12" s="36"/>
      <c r="I12" s="36"/>
      <c r="J12" s="36"/>
      <c r="K12" s="93" t="s">
        <v>708</v>
      </c>
      <c r="L12" s="93" t="s">
        <v>402</v>
      </c>
    </row>
    <row r="13" spans="1:12" ht="255" customHeight="1" x14ac:dyDescent="0.25">
      <c r="A13" s="93" t="s">
        <v>752</v>
      </c>
      <c r="B13" s="93" t="s">
        <v>753</v>
      </c>
      <c r="C13" s="93" t="s">
        <v>723</v>
      </c>
      <c r="D13" s="94" t="s">
        <v>754</v>
      </c>
      <c r="E13" s="93" t="s">
        <v>700</v>
      </c>
      <c r="F13" s="36"/>
      <c r="G13" s="94" t="s">
        <v>755</v>
      </c>
      <c r="H13" s="36"/>
      <c r="I13" s="36"/>
      <c r="J13" s="36"/>
      <c r="K13" s="93" t="s">
        <v>708</v>
      </c>
      <c r="L13" s="93" t="s">
        <v>720</v>
      </c>
    </row>
    <row r="14" spans="1:12" ht="285" customHeight="1" x14ac:dyDescent="0.25">
      <c r="A14" s="93" t="s">
        <v>756</v>
      </c>
      <c r="B14" s="93" t="s">
        <v>757</v>
      </c>
      <c r="C14" s="93" t="s">
        <v>758</v>
      </c>
      <c r="D14" s="94" t="s">
        <v>759</v>
      </c>
      <c r="E14" s="93" t="s">
        <v>700</v>
      </c>
      <c r="F14" s="36"/>
      <c r="G14" s="94" t="s">
        <v>760</v>
      </c>
      <c r="H14" s="36"/>
      <c r="I14" s="36"/>
      <c r="J14" s="36"/>
      <c r="K14" s="93" t="s">
        <v>708</v>
      </c>
      <c r="L14" s="93" t="s">
        <v>720</v>
      </c>
    </row>
    <row r="15" spans="1:12" ht="285" customHeight="1" x14ac:dyDescent="0.25">
      <c r="A15" s="93" t="s">
        <v>761</v>
      </c>
      <c r="B15" s="93" t="s">
        <v>762</v>
      </c>
      <c r="C15" s="93" t="s">
        <v>758</v>
      </c>
      <c r="D15" s="94" t="s">
        <v>763</v>
      </c>
      <c r="E15" s="93" t="s">
        <v>700</v>
      </c>
      <c r="F15" s="36"/>
      <c r="G15" s="94" t="s">
        <v>764</v>
      </c>
      <c r="H15" s="36"/>
      <c r="I15" s="36"/>
      <c r="J15" s="36"/>
      <c r="K15" s="93" t="s">
        <v>708</v>
      </c>
      <c r="L15" s="93" t="s">
        <v>720</v>
      </c>
    </row>
    <row r="16" spans="1:12" ht="409.5" customHeight="1" x14ac:dyDescent="0.25">
      <c r="A16" s="93" t="s">
        <v>765</v>
      </c>
      <c r="B16" s="93" t="s">
        <v>766</v>
      </c>
      <c r="C16" s="93" t="s">
        <v>767</v>
      </c>
      <c r="D16" s="94" t="s">
        <v>768</v>
      </c>
      <c r="E16" s="93" t="s">
        <v>700</v>
      </c>
      <c r="F16" s="36"/>
      <c r="G16" s="94" t="s">
        <v>769</v>
      </c>
      <c r="H16" s="36"/>
      <c r="I16" s="36"/>
      <c r="J16" s="36"/>
      <c r="K16" s="93" t="s">
        <v>708</v>
      </c>
      <c r="L16" s="93" t="s">
        <v>720</v>
      </c>
    </row>
    <row r="17" spans="1:12" ht="315" customHeight="1" x14ac:dyDescent="0.25">
      <c r="A17" s="93" t="s">
        <v>770</v>
      </c>
      <c r="B17" s="93" t="s">
        <v>771</v>
      </c>
      <c r="C17" s="93" t="s">
        <v>698</v>
      </c>
      <c r="D17" s="94" t="s">
        <v>772</v>
      </c>
      <c r="E17" s="93" t="s">
        <v>700</v>
      </c>
      <c r="F17" s="36"/>
      <c r="G17" s="94" t="s">
        <v>773</v>
      </c>
      <c r="H17" s="36"/>
      <c r="I17" s="36"/>
      <c r="J17" s="36"/>
      <c r="K17" s="93" t="s">
        <v>708</v>
      </c>
      <c r="L17" s="93" t="s">
        <v>402</v>
      </c>
    </row>
    <row r="18" spans="1:12" ht="360" customHeight="1" x14ac:dyDescent="0.25">
      <c r="A18" s="93" t="s">
        <v>774</v>
      </c>
      <c r="B18" s="94" t="s">
        <v>775</v>
      </c>
      <c r="C18" s="93" t="s">
        <v>705</v>
      </c>
      <c r="D18" s="94" t="s">
        <v>776</v>
      </c>
      <c r="E18" s="93" t="s">
        <v>700</v>
      </c>
      <c r="F18" s="36"/>
      <c r="G18" s="94" t="s">
        <v>777</v>
      </c>
      <c r="H18" s="36"/>
      <c r="I18" s="36"/>
      <c r="J18" s="36"/>
      <c r="K18" s="93" t="s">
        <v>708</v>
      </c>
      <c r="L18" s="93" t="s">
        <v>714</v>
      </c>
    </row>
    <row r="19" spans="1:12" ht="210" customHeight="1" x14ac:dyDescent="0.25">
      <c r="A19" s="93" t="s">
        <v>778</v>
      </c>
      <c r="B19" s="93" t="s">
        <v>779</v>
      </c>
      <c r="C19" s="93" t="s">
        <v>705</v>
      </c>
      <c r="D19" s="94" t="s">
        <v>780</v>
      </c>
      <c r="E19" s="93" t="s">
        <v>700</v>
      </c>
      <c r="F19" s="36"/>
      <c r="G19" s="94" t="s">
        <v>781</v>
      </c>
      <c r="H19" s="36"/>
      <c r="I19" s="36"/>
      <c r="J19" s="36"/>
      <c r="K19" s="93" t="s">
        <v>719</v>
      </c>
      <c r="L19" s="93" t="s">
        <v>402</v>
      </c>
    </row>
    <row r="20" spans="1:12" ht="240" customHeight="1" x14ac:dyDescent="0.25">
      <c r="A20" s="93" t="s">
        <v>782</v>
      </c>
      <c r="B20" s="93" t="s">
        <v>783</v>
      </c>
      <c r="C20" s="93" t="s">
        <v>784</v>
      </c>
      <c r="D20" s="94" t="s">
        <v>785</v>
      </c>
      <c r="E20" s="93" t="s">
        <v>700</v>
      </c>
      <c r="F20" s="36"/>
      <c r="G20" s="94" t="s">
        <v>786</v>
      </c>
      <c r="H20" s="36"/>
      <c r="I20" s="36"/>
      <c r="J20" s="36"/>
      <c r="K20" s="93" t="s">
        <v>708</v>
      </c>
      <c r="L20" s="93" t="s">
        <v>402</v>
      </c>
    </row>
    <row r="21" spans="1:12" ht="240" customHeight="1" x14ac:dyDescent="0.25">
      <c r="A21" s="93" t="s">
        <v>787</v>
      </c>
      <c r="B21" s="93" t="s">
        <v>788</v>
      </c>
      <c r="C21" s="93" t="s">
        <v>767</v>
      </c>
      <c r="D21" s="94" t="s">
        <v>789</v>
      </c>
      <c r="E21" s="93" t="s">
        <v>700</v>
      </c>
      <c r="F21" s="36"/>
      <c r="G21" s="94" t="s">
        <v>790</v>
      </c>
      <c r="H21" s="36"/>
      <c r="I21" s="36"/>
      <c r="J21" s="36"/>
      <c r="K21" s="93" t="s">
        <v>719</v>
      </c>
      <c r="L21" s="93" t="s">
        <v>720</v>
      </c>
    </row>
    <row r="22" spans="1:12" ht="409.5" customHeight="1" x14ac:dyDescent="0.25">
      <c r="A22" s="93" t="s">
        <v>791</v>
      </c>
      <c r="B22" s="93" t="s">
        <v>792</v>
      </c>
      <c r="C22" s="93" t="s">
        <v>698</v>
      </c>
      <c r="D22" s="94" t="s">
        <v>793</v>
      </c>
      <c r="E22" s="93" t="s">
        <v>700</v>
      </c>
      <c r="F22" s="36"/>
      <c r="G22" s="94" t="s">
        <v>794</v>
      </c>
      <c r="H22" s="36"/>
      <c r="I22" s="36"/>
      <c r="J22" s="36"/>
      <c r="K22" s="93" t="s">
        <v>719</v>
      </c>
      <c r="L22" s="93" t="s">
        <v>720</v>
      </c>
    </row>
    <row r="23" spans="1:12" ht="255" customHeight="1" x14ac:dyDescent="0.25">
      <c r="A23" s="93" t="s">
        <v>795</v>
      </c>
      <c r="B23" s="93" t="s">
        <v>796</v>
      </c>
      <c r="C23" s="93" t="s">
        <v>767</v>
      </c>
      <c r="D23" s="94" t="s">
        <v>797</v>
      </c>
      <c r="E23" s="93" t="s">
        <v>700</v>
      </c>
      <c r="F23" s="36"/>
      <c r="G23" s="94" t="s">
        <v>798</v>
      </c>
      <c r="H23" s="36"/>
      <c r="I23" s="36"/>
      <c r="J23" s="36"/>
      <c r="K23" s="93" t="s">
        <v>719</v>
      </c>
      <c r="L23" s="93" t="s">
        <v>720</v>
      </c>
    </row>
    <row r="24" spans="1:12" ht="409.5" customHeight="1" x14ac:dyDescent="0.25">
      <c r="A24" s="93" t="s">
        <v>799</v>
      </c>
      <c r="B24" s="93" t="s">
        <v>800</v>
      </c>
      <c r="C24" s="93" t="s">
        <v>705</v>
      </c>
      <c r="D24" s="94" t="s">
        <v>801</v>
      </c>
      <c r="E24" s="93" t="s">
        <v>700</v>
      </c>
      <c r="F24" s="36"/>
      <c r="G24" s="94" t="s">
        <v>802</v>
      </c>
      <c r="H24" s="36"/>
      <c r="I24" s="36"/>
      <c r="J24" s="36"/>
      <c r="K24" s="93" t="s">
        <v>708</v>
      </c>
      <c r="L24" s="93" t="s">
        <v>402</v>
      </c>
    </row>
    <row r="25" spans="1:12" ht="240" customHeight="1" x14ac:dyDescent="0.25">
      <c r="A25" s="93" t="s">
        <v>803</v>
      </c>
      <c r="B25" s="93" t="s">
        <v>804</v>
      </c>
      <c r="C25" s="93" t="s">
        <v>698</v>
      </c>
      <c r="D25" s="94" t="s">
        <v>805</v>
      </c>
      <c r="E25" s="93" t="s">
        <v>700</v>
      </c>
      <c r="F25" s="36"/>
      <c r="G25" s="94" t="s">
        <v>806</v>
      </c>
      <c r="H25" s="36"/>
      <c r="I25" s="36"/>
      <c r="J25" s="36"/>
      <c r="K25" s="93" t="s">
        <v>708</v>
      </c>
      <c r="L25" s="93" t="s">
        <v>720</v>
      </c>
    </row>
    <row r="26" spans="1:12" ht="409.5" customHeight="1" x14ac:dyDescent="0.25">
      <c r="A26" s="93" t="s">
        <v>807</v>
      </c>
      <c r="B26" s="93" t="s">
        <v>808</v>
      </c>
      <c r="C26" s="93" t="s">
        <v>809</v>
      </c>
      <c r="D26" s="94" t="s">
        <v>810</v>
      </c>
      <c r="E26" s="93" t="s">
        <v>700</v>
      </c>
      <c r="F26" s="36"/>
      <c r="G26" s="94" t="s">
        <v>811</v>
      </c>
      <c r="H26" s="36"/>
      <c r="I26" s="36"/>
      <c r="J26" s="36"/>
      <c r="K26" s="93" t="s">
        <v>708</v>
      </c>
      <c r="L26" s="93" t="s">
        <v>402</v>
      </c>
    </row>
    <row r="27" spans="1:12" ht="90" customHeight="1" x14ac:dyDescent="0.25">
      <c r="A27" s="93" t="s">
        <v>812</v>
      </c>
      <c r="B27" s="93" t="s">
        <v>813</v>
      </c>
      <c r="C27" s="93" t="s">
        <v>723</v>
      </c>
      <c r="D27" s="94" t="s">
        <v>814</v>
      </c>
      <c r="E27" s="93" t="s">
        <v>700</v>
      </c>
      <c r="F27" s="36"/>
      <c r="G27" s="94" t="s">
        <v>815</v>
      </c>
      <c r="H27" s="36"/>
      <c r="I27" s="36"/>
      <c r="J27" s="36"/>
      <c r="K27" s="93" t="s">
        <v>708</v>
      </c>
      <c r="L27" s="93" t="s">
        <v>720</v>
      </c>
    </row>
    <row r="28" spans="1:12" ht="285" customHeight="1" x14ac:dyDescent="0.25">
      <c r="A28" s="93" t="s">
        <v>816</v>
      </c>
      <c r="B28" s="94" t="s">
        <v>817</v>
      </c>
      <c r="C28" s="93" t="s">
        <v>809</v>
      </c>
      <c r="D28" s="94" t="s">
        <v>818</v>
      </c>
      <c r="E28" s="93" t="s">
        <v>700</v>
      </c>
      <c r="F28" s="36"/>
      <c r="G28" s="94" t="s">
        <v>819</v>
      </c>
      <c r="H28" s="36"/>
      <c r="I28" s="36"/>
      <c r="J28" s="36"/>
      <c r="K28" s="93" t="s">
        <v>708</v>
      </c>
      <c r="L28" s="93" t="s">
        <v>402</v>
      </c>
    </row>
    <row r="29" spans="1:12" ht="270" customHeight="1" x14ac:dyDescent="0.25">
      <c r="A29" s="93" t="s">
        <v>820</v>
      </c>
      <c r="B29" s="93" t="s">
        <v>821</v>
      </c>
      <c r="C29" s="93" t="s">
        <v>822</v>
      </c>
      <c r="D29" s="94" t="s">
        <v>823</v>
      </c>
      <c r="E29" s="93" t="s">
        <v>700</v>
      </c>
      <c r="F29" s="36"/>
      <c r="G29" s="94" t="s">
        <v>824</v>
      </c>
      <c r="H29" s="36"/>
      <c r="I29" s="36"/>
      <c r="J29" s="36"/>
      <c r="K29" s="93" t="s">
        <v>708</v>
      </c>
      <c r="L29" s="93" t="s">
        <v>720</v>
      </c>
    </row>
    <row r="30" spans="1:12" ht="409.5" customHeight="1" x14ac:dyDescent="0.25">
      <c r="A30" s="93" t="s">
        <v>825</v>
      </c>
      <c r="B30" s="94" t="s">
        <v>826</v>
      </c>
      <c r="C30" s="93" t="s">
        <v>827</v>
      </c>
      <c r="D30" s="94" t="s">
        <v>828</v>
      </c>
      <c r="E30" s="93" t="s">
        <v>700</v>
      </c>
      <c r="F30" s="36"/>
      <c r="G30" s="94" t="s">
        <v>829</v>
      </c>
      <c r="H30" s="36"/>
      <c r="I30" s="36"/>
      <c r="J30" s="36"/>
      <c r="K30" s="93" t="s">
        <v>708</v>
      </c>
      <c r="L30" s="93" t="s">
        <v>720</v>
      </c>
    </row>
    <row r="31" spans="1:12" ht="300" customHeight="1" x14ac:dyDescent="0.25">
      <c r="A31" s="93" t="s">
        <v>830</v>
      </c>
      <c r="B31" s="94" t="s">
        <v>831</v>
      </c>
      <c r="C31" s="94" t="s">
        <v>832</v>
      </c>
      <c r="D31" s="94" t="s">
        <v>833</v>
      </c>
      <c r="E31" s="93" t="s">
        <v>700</v>
      </c>
      <c r="F31" s="36"/>
      <c r="G31" s="94" t="s">
        <v>834</v>
      </c>
      <c r="H31" s="36"/>
      <c r="I31" s="36"/>
      <c r="J31" s="36"/>
      <c r="K31" s="93" t="s">
        <v>708</v>
      </c>
      <c r="L31" s="93" t="s">
        <v>402</v>
      </c>
    </row>
    <row r="32" spans="1:12" ht="409.5" customHeight="1" x14ac:dyDescent="0.25">
      <c r="A32" s="93" t="s">
        <v>835</v>
      </c>
      <c r="B32" s="93" t="s">
        <v>836</v>
      </c>
      <c r="C32" s="93" t="s">
        <v>809</v>
      </c>
      <c r="D32" s="94" t="s">
        <v>837</v>
      </c>
      <c r="E32" s="93" t="s">
        <v>700</v>
      </c>
      <c r="F32" s="36"/>
      <c r="G32" s="94" t="s">
        <v>838</v>
      </c>
      <c r="H32" s="36"/>
      <c r="I32" s="36"/>
      <c r="J32" s="36"/>
      <c r="K32" s="93" t="s">
        <v>708</v>
      </c>
      <c r="L32" s="93" t="s">
        <v>720</v>
      </c>
    </row>
    <row r="33" spans="1:12" ht="225" customHeight="1" x14ac:dyDescent="0.25">
      <c r="A33" s="93" t="s">
        <v>839</v>
      </c>
      <c r="B33" s="93" t="s">
        <v>840</v>
      </c>
      <c r="C33" s="93" t="s">
        <v>723</v>
      </c>
      <c r="D33" s="94" t="s">
        <v>841</v>
      </c>
      <c r="E33" s="93" t="s">
        <v>700</v>
      </c>
      <c r="F33" s="36"/>
      <c r="G33" s="94" t="s">
        <v>842</v>
      </c>
      <c r="H33" s="36"/>
      <c r="I33" s="36"/>
      <c r="J33" s="36"/>
      <c r="K33" s="93" t="s">
        <v>708</v>
      </c>
      <c r="L33" s="93" t="s">
        <v>720</v>
      </c>
    </row>
    <row r="34" spans="1:12" ht="375" customHeight="1" x14ac:dyDescent="0.25">
      <c r="A34" s="93" t="s">
        <v>843</v>
      </c>
      <c r="B34" s="93" t="s">
        <v>844</v>
      </c>
      <c r="C34" s="93" t="s">
        <v>845</v>
      </c>
      <c r="D34" s="94" t="s">
        <v>846</v>
      </c>
      <c r="E34" s="93" t="s">
        <v>700</v>
      </c>
      <c r="F34" s="36"/>
      <c r="G34" s="94" t="s">
        <v>847</v>
      </c>
      <c r="H34" s="36"/>
      <c r="I34" s="36"/>
      <c r="J34" s="36"/>
      <c r="K34" s="93" t="s">
        <v>708</v>
      </c>
      <c r="L34" s="93" t="s">
        <v>402</v>
      </c>
    </row>
    <row r="35" spans="1:12" ht="225" customHeight="1" x14ac:dyDescent="0.25">
      <c r="A35" s="93" t="s">
        <v>848</v>
      </c>
      <c r="B35" s="93" t="s">
        <v>849</v>
      </c>
      <c r="C35" s="94" t="s">
        <v>850</v>
      </c>
      <c r="D35" s="94" t="s">
        <v>851</v>
      </c>
      <c r="E35" s="93" t="s">
        <v>700</v>
      </c>
      <c r="F35" s="36"/>
      <c r="G35" s="94" t="s">
        <v>852</v>
      </c>
      <c r="H35" s="36"/>
      <c r="I35" s="36"/>
      <c r="J35" s="36"/>
      <c r="K35" s="93" t="s">
        <v>719</v>
      </c>
      <c r="L35" s="93" t="s">
        <v>714</v>
      </c>
    </row>
    <row r="36" spans="1:12" ht="360" customHeight="1" x14ac:dyDescent="0.25">
      <c r="A36" s="93" t="s">
        <v>853</v>
      </c>
      <c r="B36" s="93" t="s">
        <v>854</v>
      </c>
      <c r="C36" s="93" t="s">
        <v>705</v>
      </c>
      <c r="D36" s="94" t="s">
        <v>855</v>
      </c>
      <c r="E36" s="93" t="s">
        <v>700</v>
      </c>
      <c r="F36" s="36"/>
      <c r="G36" s="94" t="s">
        <v>856</v>
      </c>
      <c r="H36" s="36"/>
      <c r="I36" s="36"/>
      <c r="J36" s="36"/>
      <c r="K36" s="93" t="s">
        <v>708</v>
      </c>
      <c r="L36" s="93" t="s">
        <v>720</v>
      </c>
    </row>
    <row r="37" spans="1:12" ht="90" customHeight="1" x14ac:dyDescent="0.25">
      <c r="A37" s="93" t="s">
        <v>857</v>
      </c>
      <c r="B37" s="93" t="s">
        <v>858</v>
      </c>
      <c r="C37" s="93" t="s">
        <v>822</v>
      </c>
      <c r="D37" s="94" t="s">
        <v>859</v>
      </c>
      <c r="E37" s="93" t="s">
        <v>700</v>
      </c>
      <c r="F37" s="36"/>
      <c r="G37" s="94" t="s">
        <v>860</v>
      </c>
      <c r="H37" s="36"/>
      <c r="I37" s="36"/>
      <c r="J37" s="36"/>
      <c r="K37" s="93" t="s">
        <v>702</v>
      </c>
      <c r="L37" s="93" t="s">
        <v>402</v>
      </c>
    </row>
    <row r="38" spans="1:12" ht="409.5" customHeight="1" x14ac:dyDescent="0.25">
      <c r="A38" s="93" t="s">
        <v>861</v>
      </c>
      <c r="B38" s="93" t="s">
        <v>862</v>
      </c>
      <c r="C38" s="93" t="s">
        <v>809</v>
      </c>
      <c r="D38" s="94" t="s">
        <v>863</v>
      </c>
      <c r="E38" s="93" t="s">
        <v>700</v>
      </c>
      <c r="F38" s="36"/>
      <c r="G38" s="94" t="s">
        <v>864</v>
      </c>
      <c r="H38" s="36"/>
      <c r="I38" s="36"/>
      <c r="J38" s="36"/>
      <c r="K38" s="93" t="s">
        <v>708</v>
      </c>
      <c r="L38" s="93" t="s">
        <v>402</v>
      </c>
    </row>
    <row r="39" spans="1:12" ht="195" customHeight="1" x14ac:dyDescent="0.25">
      <c r="A39" s="93" t="s">
        <v>865</v>
      </c>
      <c r="B39" s="93" t="s">
        <v>866</v>
      </c>
      <c r="C39" s="93" t="s">
        <v>784</v>
      </c>
      <c r="D39" s="94" t="s">
        <v>867</v>
      </c>
      <c r="E39" s="93" t="s">
        <v>700</v>
      </c>
      <c r="F39" s="36"/>
      <c r="G39" s="94" t="s">
        <v>868</v>
      </c>
      <c r="H39" s="36"/>
      <c r="I39" s="36"/>
      <c r="J39" s="36"/>
      <c r="K39" s="93" t="s">
        <v>708</v>
      </c>
      <c r="L39" s="93" t="s">
        <v>720</v>
      </c>
    </row>
    <row r="40" spans="1:12" ht="210" customHeight="1" x14ac:dyDescent="0.25">
      <c r="A40" s="93" t="s">
        <v>869</v>
      </c>
      <c r="B40" s="93" t="s">
        <v>870</v>
      </c>
      <c r="C40" s="93" t="s">
        <v>767</v>
      </c>
      <c r="D40" s="94" t="s">
        <v>871</v>
      </c>
      <c r="E40" s="93" t="s">
        <v>700</v>
      </c>
      <c r="F40" s="36"/>
      <c r="G40" s="94" t="s">
        <v>872</v>
      </c>
      <c r="H40" s="36"/>
      <c r="I40" s="36"/>
      <c r="J40" s="36"/>
      <c r="K40" s="93" t="s">
        <v>719</v>
      </c>
      <c r="L40" s="93" t="s">
        <v>402</v>
      </c>
    </row>
    <row r="41" spans="1:12" ht="255" customHeight="1" x14ac:dyDescent="0.25">
      <c r="A41" s="93" t="s">
        <v>873</v>
      </c>
      <c r="B41" s="93" t="s">
        <v>874</v>
      </c>
      <c r="C41" s="93" t="s">
        <v>767</v>
      </c>
      <c r="D41" s="94" t="s">
        <v>875</v>
      </c>
      <c r="E41" s="93" t="s">
        <v>700</v>
      </c>
      <c r="F41" s="36"/>
      <c r="G41" s="94" t="s">
        <v>876</v>
      </c>
      <c r="H41" s="36"/>
      <c r="I41" s="36"/>
      <c r="J41" s="36"/>
      <c r="K41" s="93" t="s">
        <v>719</v>
      </c>
      <c r="L41" s="93" t="s">
        <v>402</v>
      </c>
    </row>
    <row r="42" spans="1:12" ht="409.5" customHeight="1" x14ac:dyDescent="0.25">
      <c r="A42" s="93" t="s">
        <v>877</v>
      </c>
      <c r="B42" s="94" t="s">
        <v>878</v>
      </c>
      <c r="C42" s="93" t="s">
        <v>767</v>
      </c>
      <c r="D42" s="94" t="s">
        <v>879</v>
      </c>
      <c r="E42" s="93" t="s">
        <v>700</v>
      </c>
      <c r="F42" s="36"/>
      <c r="G42" s="94" t="s">
        <v>880</v>
      </c>
      <c r="H42" s="36"/>
      <c r="I42" s="36"/>
      <c r="J42" s="36"/>
      <c r="K42" s="93" t="s">
        <v>708</v>
      </c>
      <c r="L42" s="93" t="s">
        <v>402</v>
      </c>
    </row>
    <row r="43" spans="1:12" ht="315" customHeight="1" x14ac:dyDescent="0.25">
      <c r="A43" s="93" t="s">
        <v>881</v>
      </c>
      <c r="B43" s="93" t="s">
        <v>882</v>
      </c>
      <c r="C43" s="93" t="s">
        <v>767</v>
      </c>
      <c r="D43" s="94" t="s">
        <v>883</v>
      </c>
      <c r="E43" s="93" t="s">
        <v>700</v>
      </c>
      <c r="F43" s="36"/>
      <c r="G43" s="94" t="s">
        <v>884</v>
      </c>
      <c r="H43" s="36"/>
      <c r="I43" s="36"/>
      <c r="J43" s="36"/>
      <c r="K43" s="93" t="s">
        <v>708</v>
      </c>
      <c r="L43" s="93" t="s">
        <v>402</v>
      </c>
    </row>
    <row r="44" spans="1:12" ht="330" customHeight="1" x14ac:dyDescent="0.25">
      <c r="A44" s="93" t="s">
        <v>885</v>
      </c>
      <c r="B44" s="93" t="s">
        <v>886</v>
      </c>
      <c r="C44" s="93" t="s">
        <v>767</v>
      </c>
      <c r="D44" s="94" t="s">
        <v>887</v>
      </c>
      <c r="E44" s="93" t="s">
        <v>700</v>
      </c>
      <c r="F44" s="36"/>
      <c r="G44" s="94" t="s">
        <v>888</v>
      </c>
      <c r="H44" s="36"/>
      <c r="I44" s="36"/>
      <c r="J44" s="36"/>
      <c r="K44" s="93" t="s">
        <v>708</v>
      </c>
      <c r="L44" s="93" t="s">
        <v>402</v>
      </c>
    </row>
    <row r="45" spans="1:12" ht="150" customHeight="1" x14ac:dyDescent="0.25">
      <c r="A45" s="93" t="s">
        <v>889</v>
      </c>
      <c r="B45" s="93" t="s">
        <v>890</v>
      </c>
      <c r="C45" s="93" t="s">
        <v>767</v>
      </c>
      <c r="D45" s="94" t="s">
        <v>891</v>
      </c>
      <c r="E45" s="93" t="s">
        <v>700</v>
      </c>
      <c r="F45" s="36"/>
      <c r="G45" s="94" t="s">
        <v>892</v>
      </c>
      <c r="H45" s="36"/>
      <c r="I45" s="36"/>
      <c r="J45" s="36"/>
      <c r="K45" s="93" t="s">
        <v>719</v>
      </c>
      <c r="L45" s="93" t="s">
        <v>402</v>
      </c>
    </row>
    <row r="46" spans="1:12" ht="315" customHeight="1" x14ac:dyDescent="0.25">
      <c r="A46" s="93" t="s">
        <v>893</v>
      </c>
      <c r="B46" s="93" t="s">
        <v>894</v>
      </c>
      <c r="C46" s="93" t="s">
        <v>698</v>
      </c>
      <c r="D46" s="94" t="s">
        <v>895</v>
      </c>
      <c r="E46" s="93" t="s">
        <v>700</v>
      </c>
      <c r="F46" s="36"/>
      <c r="G46" s="94" t="s">
        <v>896</v>
      </c>
      <c r="H46" s="36"/>
      <c r="I46" s="36"/>
      <c r="J46" s="36"/>
      <c r="K46" s="93" t="s">
        <v>719</v>
      </c>
      <c r="L46" s="93" t="s">
        <v>720</v>
      </c>
    </row>
    <row r="47" spans="1:12" ht="409.5" customHeight="1" x14ac:dyDescent="0.25">
      <c r="A47" s="93" t="s">
        <v>897</v>
      </c>
      <c r="B47" s="93" t="s">
        <v>898</v>
      </c>
      <c r="C47" s="93" t="s">
        <v>767</v>
      </c>
      <c r="D47" s="94" t="s">
        <v>899</v>
      </c>
      <c r="E47" s="93" t="s">
        <v>700</v>
      </c>
      <c r="F47" s="36"/>
      <c r="G47" s="94" t="s">
        <v>900</v>
      </c>
      <c r="H47" s="36"/>
      <c r="I47" s="36"/>
      <c r="J47" s="36"/>
      <c r="K47" s="93" t="s">
        <v>708</v>
      </c>
      <c r="L47" s="93" t="s">
        <v>402</v>
      </c>
    </row>
    <row r="48" spans="1:12" ht="225" customHeight="1" x14ac:dyDescent="0.25">
      <c r="A48" s="93" t="s">
        <v>901</v>
      </c>
      <c r="B48" s="93" t="s">
        <v>902</v>
      </c>
      <c r="C48" s="93" t="s">
        <v>767</v>
      </c>
      <c r="D48" s="94" t="s">
        <v>903</v>
      </c>
      <c r="E48" s="93" t="s">
        <v>700</v>
      </c>
      <c r="F48" s="36"/>
      <c r="G48" s="94" t="s">
        <v>904</v>
      </c>
      <c r="H48" s="36"/>
      <c r="I48" s="36"/>
      <c r="J48" s="36"/>
      <c r="K48" s="93" t="s">
        <v>719</v>
      </c>
      <c r="L48" s="93" t="s">
        <v>402</v>
      </c>
    </row>
    <row r="49" spans="1:12" ht="270" customHeight="1" x14ac:dyDescent="0.25">
      <c r="A49" s="93" t="s">
        <v>905</v>
      </c>
      <c r="B49" s="93" t="s">
        <v>906</v>
      </c>
      <c r="C49" s="93" t="s">
        <v>822</v>
      </c>
      <c r="D49" s="94" t="s">
        <v>907</v>
      </c>
      <c r="E49" s="93" t="s">
        <v>700</v>
      </c>
      <c r="F49" s="36"/>
      <c r="G49" s="94" t="s">
        <v>908</v>
      </c>
      <c r="H49" s="36"/>
      <c r="I49" s="36"/>
      <c r="J49" s="36"/>
      <c r="K49" s="93" t="s">
        <v>708</v>
      </c>
      <c r="L49" s="93" t="s">
        <v>720</v>
      </c>
    </row>
    <row r="50" spans="1:12" ht="409.5" customHeight="1" x14ac:dyDescent="0.25">
      <c r="A50" s="93" t="s">
        <v>909</v>
      </c>
      <c r="B50" s="93" t="s">
        <v>910</v>
      </c>
      <c r="C50" s="93" t="s">
        <v>698</v>
      </c>
      <c r="D50" s="94" t="s">
        <v>911</v>
      </c>
      <c r="E50" s="93" t="s">
        <v>700</v>
      </c>
      <c r="F50" s="36"/>
      <c r="G50" s="94" t="s">
        <v>912</v>
      </c>
      <c r="H50" s="36"/>
      <c r="I50" s="36"/>
      <c r="J50" s="36"/>
      <c r="K50" s="93" t="s">
        <v>708</v>
      </c>
      <c r="L50" s="93" t="s">
        <v>714</v>
      </c>
    </row>
    <row r="51" spans="1:12" ht="390" customHeight="1" x14ac:dyDescent="0.25">
      <c r="A51" s="93" t="s">
        <v>913</v>
      </c>
      <c r="B51" s="93" t="s">
        <v>914</v>
      </c>
      <c r="C51" s="93" t="s">
        <v>723</v>
      </c>
      <c r="D51" s="94" t="s">
        <v>915</v>
      </c>
      <c r="E51" s="93" t="s">
        <v>700</v>
      </c>
      <c r="F51" s="36"/>
      <c r="G51" s="94" t="s">
        <v>916</v>
      </c>
      <c r="H51" s="36"/>
      <c r="I51" s="36"/>
      <c r="J51" s="36"/>
      <c r="K51" s="93" t="s">
        <v>708</v>
      </c>
      <c r="L51" s="93" t="s">
        <v>714</v>
      </c>
    </row>
    <row r="52" spans="1:12" ht="345" customHeight="1" x14ac:dyDescent="0.25">
      <c r="A52" s="93" t="s">
        <v>917</v>
      </c>
      <c r="B52" s="93" t="s">
        <v>918</v>
      </c>
      <c r="C52" s="93" t="s">
        <v>740</v>
      </c>
      <c r="D52" s="94" t="s">
        <v>919</v>
      </c>
      <c r="E52" s="93" t="s">
        <v>700</v>
      </c>
      <c r="F52" s="36"/>
      <c r="G52" s="94" t="s">
        <v>920</v>
      </c>
      <c r="H52" s="36"/>
      <c r="I52" s="36"/>
      <c r="J52" s="36"/>
      <c r="K52" s="93" t="s">
        <v>708</v>
      </c>
      <c r="L52" s="93" t="s">
        <v>921</v>
      </c>
    </row>
    <row r="53" spans="1:12" ht="300" customHeight="1" x14ac:dyDescent="0.25">
      <c r="A53" s="93" t="s">
        <v>922</v>
      </c>
      <c r="B53" s="93" t="s">
        <v>923</v>
      </c>
      <c r="C53" s="93" t="s">
        <v>924</v>
      </c>
      <c r="D53" s="94" t="s">
        <v>925</v>
      </c>
      <c r="E53" s="93" t="s">
        <v>700</v>
      </c>
      <c r="F53" s="36"/>
      <c r="G53" s="94" t="s">
        <v>926</v>
      </c>
      <c r="H53" s="36"/>
      <c r="I53" s="36"/>
      <c r="J53" s="36"/>
      <c r="K53" s="93" t="s">
        <v>719</v>
      </c>
      <c r="L53" s="93" t="s">
        <v>714</v>
      </c>
    </row>
    <row r="54" spans="1:12" ht="409.5" customHeight="1" x14ac:dyDescent="0.25">
      <c r="A54" s="93" t="s">
        <v>927</v>
      </c>
      <c r="B54" s="93" t="s">
        <v>928</v>
      </c>
      <c r="C54" s="94" t="s">
        <v>929</v>
      </c>
      <c r="D54" s="94" t="s">
        <v>930</v>
      </c>
      <c r="E54" s="93" t="s">
        <v>700</v>
      </c>
      <c r="F54" s="36"/>
      <c r="G54" s="94" t="s">
        <v>931</v>
      </c>
      <c r="H54" s="36"/>
      <c r="I54" s="36"/>
      <c r="J54" s="36"/>
      <c r="K54" s="93" t="s">
        <v>708</v>
      </c>
      <c r="L54" s="93" t="s">
        <v>720</v>
      </c>
    </row>
    <row r="55" spans="1:12" ht="105" customHeight="1" x14ac:dyDescent="0.25">
      <c r="A55" s="93" t="s">
        <v>932</v>
      </c>
      <c r="B55" s="93" t="s">
        <v>933</v>
      </c>
      <c r="C55" s="93" t="s">
        <v>705</v>
      </c>
      <c r="D55" s="94" t="s">
        <v>934</v>
      </c>
      <c r="E55" s="93" t="s">
        <v>700</v>
      </c>
      <c r="F55" s="36"/>
      <c r="G55" s="94" t="s">
        <v>935</v>
      </c>
      <c r="H55" s="36"/>
      <c r="I55" s="36"/>
      <c r="J55" s="36"/>
      <c r="K55" s="93" t="s">
        <v>702</v>
      </c>
      <c r="L55" s="93" t="s">
        <v>402</v>
      </c>
    </row>
    <row r="56" spans="1:12" ht="255" customHeight="1" x14ac:dyDescent="0.25">
      <c r="A56" s="93" t="s">
        <v>936</v>
      </c>
      <c r="B56" s="93" t="s">
        <v>937</v>
      </c>
      <c r="C56" s="93" t="s">
        <v>723</v>
      </c>
      <c r="D56" s="94" t="s">
        <v>938</v>
      </c>
      <c r="E56" s="93" t="s">
        <v>700</v>
      </c>
      <c r="F56" s="36"/>
      <c r="G56" s="94" t="s">
        <v>939</v>
      </c>
      <c r="H56" s="36"/>
      <c r="I56" s="36"/>
      <c r="J56" s="36"/>
      <c r="K56" s="93" t="s">
        <v>708</v>
      </c>
      <c r="L56" s="93" t="s">
        <v>402</v>
      </c>
    </row>
    <row r="57" spans="1:12" ht="195" customHeight="1" x14ac:dyDescent="0.25">
      <c r="A57" s="93" t="s">
        <v>940</v>
      </c>
      <c r="B57" s="94" t="s">
        <v>941</v>
      </c>
      <c r="C57" s="93" t="s">
        <v>942</v>
      </c>
      <c r="D57" s="94" t="s">
        <v>943</v>
      </c>
      <c r="E57" s="93" t="s">
        <v>700</v>
      </c>
      <c r="F57" s="36"/>
      <c r="G57" s="94" t="s">
        <v>944</v>
      </c>
      <c r="H57" s="36"/>
      <c r="I57" s="36"/>
      <c r="J57" s="36"/>
      <c r="K57" s="93" t="s">
        <v>719</v>
      </c>
      <c r="L57" s="93" t="s">
        <v>714</v>
      </c>
    </row>
    <row r="58" spans="1:12" ht="300" customHeight="1" x14ac:dyDescent="0.25">
      <c r="A58" s="93" t="s">
        <v>945</v>
      </c>
      <c r="B58" s="93" t="s">
        <v>946</v>
      </c>
      <c r="C58" s="93" t="s">
        <v>942</v>
      </c>
      <c r="D58" s="94" t="s">
        <v>947</v>
      </c>
      <c r="E58" s="93" t="s">
        <v>700</v>
      </c>
      <c r="F58" s="36"/>
      <c r="G58" s="94" t="s">
        <v>948</v>
      </c>
      <c r="H58" s="36"/>
      <c r="I58" s="36"/>
      <c r="J58" s="36"/>
      <c r="K58" s="93" t="s">
        <v>708</v>
      </c>
      <c r="L58" s="93" t="s">
        <v>402</v>
      </c>
    </row>
    <row r="59" spans="1:12" ht="225" customHeight="1" x14ac:dyDescent="0.25">
      <c r="A59" s="93" t="s">
        <v>949</v>
      </c>
      <c r="B59" s="93" t="s">
        <v>950</v>
      </c>
      <c r="C59" s="93" t="s">
        <v>705</v>
      </c>
      <c r="D59" s="94" t="s">
        <v>951</v>
      </c>
      <c r="E59" s="93" t="s">
        <v>700</v>
      </c>
      <c r="F59" s="36"/>
      <c r="G59" s="94" t="s">
        <v>952</v>
      </c>
      <c r="H59" s="36"/>
      <c r="I59" s="36"/>
      <c r="J59" s="36"/>
      <c r="K59" s="93" t="s">
        <v>708</v>
      </c>
      <c r="L59" s="93" t="s">
        <v>720</v>
      </c>
    </row>
    <row r="60" spans="1:12" ht="409.5" customHeight="1" x14ac:dyDescent="0.25">
      <c r="A60" s="93" t="s">
        <v>953</v>
      </c>
      <c r="B60" s="93" t="s">
        <v>954</v>
      </c>
      <c r="C60" s="93" t="s">
        <v>784</v>
      </c>
      <c r="D60" s="94" t="s">
        <v>955</v>
      </c>
      <c r="E60" s="93" t="s">
        <v>700</v>
      </c>
      <c r="F60" s="36"/>
      <c r="G60" s="94" t="s">
        <v>956</v>
      </c>
      <c r="H60" s="36"/>
      <c r="I60" s="36"/>
      <c r="J60" s="36"/>
      <c r="K60" s="93" t="s">
        <v>708</v>
      </c>
      <c r="L60" s="93" t="s">
        <v>720</v>
      </c>
    </row>
    <row r="61" spans="1:12" ht="135" customHeight="1" x14ac:dyDescent="0.25">
      <c r="A61" s="93" t="s">
        <v>957</v>
      </c>
      <c r="B61" s="93" t="s">
        <v>958</v>
      </c>
      <c r="C61" s="93" t="s">
        <v>705</v>
      </c>
      <c r="D61" s="94" t="s">
        <v>959</v>
      </c>
      <c r="E61" s="93" t="s">
        <v>700</v>
      </c>
      <c r="F61" s="36"/>
      <c r="G61" s="94" t="s">
        <v>960</v>
      </c>
      <c r="H61" s="36"/>
      <c r="I61" s="36"/>
      <c r="J61" s="36"/>
      <c r="K61" s="93" t="s">
        <v>702</v>
      </c>
      <c r="L61" s="93" t="s">
        <v>402</v>
      </c>
    </row>
    <row r="62" spans="1:12" ht="330" customHeight="1" x14ac:dyDescent="0.25">
      <c r="A62" s="93" t="s">
        <v>961</v>
      </c>
      <c r="B62" s="93" t="s">
        <v>962</v>
      </c>
      <c r="C62" s="93" t="s">
        <v>924</v>
      </c>
      <c r="D62" s="94" t="s">
        <v>963</v>
      </c>
      <c r="E62" s="93" t="s">
        <v>700</v>
      </c>
      <c r="F62" s="36"/>
      <c r="G62" s="94" t="s">
        <v>964</v>
      </c>
      <c r="H62" s="36"/>
      <c r="I62" s="36"/>
      <c r="J62" s="36"/>
      <c r="K62" s="93" t="s">
        <v>719</v>
      </c>
      <c r="L62" s="93" t="s">
        <v>402</v>
      </c>
    </row>
    <row r="63" spans="1:12" ht="409.5" customHeight="1" x14ac:dyDescent="0.25">
      <c r="A63" s="93" t="s">
        <v>965</v>
      </c>
      <c r="B63" s="93" t="s">
        <v>966</v>
      </c>
      <c r="C63" s="94" t="s">
        <v>832</v>
      </c>
      <c r="D63" s="94" t="s">
        <v>967</v>
      </c>
      <c r="E63" s="93" t="s">
        <v>700</v>
      </c>
      <c r="F63" s="36"/>
      <c r="G63" s="94" t="s">
        <v>968</v>
      </c>
      <c r="H63" s="36"/>
      <c r="I63" s="36"/>
      <c r="J63" s="36"/>
      <c r="K63" s="93" t="s">
        <v>708</v>
      </c>
      <c r="L63" s="93" t="s">
        <v>720</v>
      </c>
    </row>
    <row r="64" spans="1:12" ht="120" customHeight="1" x14ac:dyDescent="0.25">
      <c r="A64" s="93" t="s">
        <v>969</v>
      </c>
      <c r="B64" s="93" t="s">
        <v>970</v>
      </c>
      <c r="C64" s="93" t="s">
        <v>942</v>
      </c>
      <c r="D64" s="94" t="s">
        <v>971</v>
      </c>
      <c r="E64" s="93" t="s">
        <v>700</v>
      </c>
      <c r="F64" s="36"/>
      <c r="G64" s="94" t="s">
        <v>972</v>
      </c>
      <c r="H64" s="36"/>
      <c r="I64" s="36"/>
      <c r="J64" s="36"/>
      <c r="K64" s="93" t="s">
        <v>708</v>
      </c>
      <c r="L64" s="93" t="s">
        <v>720</v>
      </c>
    </row>
    <row r="65" spans="1:12" ht="315" customHeight="1" x14ac:dyDescent="0.25">
      <c r="A65" s="93" t="s">
        <v>973</v>
      </c>
      <c r="B65" s="94" t="s">
        <v>974</v>
      </c>
      <c r="C65" s="93" t="s">
        <v>942</v>
      </c>
      <c r="D65" s="94" t="s">
        <v>975</v>
      </c>
      <c r="E65" s="93" t="s">
        <v>700</v>
      </c>
      <c r="F65" s="36"/>
      <c r="G65" s="94" t="s">
        <v>976</v>
      </c>
      <c r="H65" s="36"/>
      <c r="I65" s="36"/>
      <c r="J65" s="36"/>
      <c r="K65" s="93" t="s">
        <v>708</v>
      </c>
      <c r="L65" s="93" t="s">
        <v>720</v>
      </c>
    </row>
    <row r="66" spans="1:12" ht="409.5" customHeight="1" x14ac:dyDescent="0.25">
      <c r="A66" s="93" t="s">
        <v>977</v>
      </c>
      <c r="B66" s="94" t="s">
        <v>978</v>
      </c>
      <c r="C66" s="93" t="s">
        <v>809</v>
      </c>
      <c r="D66" s="94" t="s">
        <v>979</v>
      </c>
      <c r="E66" s="93" t="s">
        <v>700</v>
      </c>
      <c r="F66" s="36"/>
      <c r="G66" s="94" t="s">
        <v>980</v>
      </c>
      <c r="H66" s="36"/>
      <c r="I66" s="36"/>
      <c r="J66" s="36"/>
      <c r="K66" s="93" t="s">
        <v>719</v>
      </c>
      <c r="L66" s="93" t="s">
        <v>402</v>
      </c>
    </row>
    <row r="67" spans="1:12" ht="255" customHeight="1" x14ac:dyDescent="0.25">
      <c r="A67" s="93" t="s">
        <v>981</v>
      </c>
      <c r="B67" s="93" t="s">
        <v>982</v>
      </c>
      <c r="C67" s="93" t="s">
        <v>809</v>
      </c>
      <c r="D67" s="94" t="s">
        <v>983</v>
      </c>
      <c r="E67" s="93" t="s">
        <v>700</v>
      </c>
      <c r="F67" s="36"/>
      <c r="G67" s="94" t="s">
        <v>984</v>
      </c>
      <c r="H67" s="36"/>
      <c r="I67" s="36"/>
      <c r="J67" s="36"/>
      <c r="K67" s="93" t="s">
        <v>708</v>
      </c>
      <c r="L67" s="93" t="s">
        <v>714</v>
      </c>
    </row>
    <row r="68" spans="1:12" ht="345" customHeight="1" x14ac:dyDescent="0.25">
      <c r="A68" s="93" t="s">
        <v>985</v>
      </c>
      <c r="B68" s="93" t="s">
        <v>986</v>
      </c>
      <c r="C68" s="94" t="s">
        <v>987</v>
      </c>
      <c r="D68" s="94" t="s">
        <v>988</v>
      </c>
      <c r="E68" s="93" t="s">
        <v>700</v>
      </c>
      <c r="F68" s="36"/>
      <c r="G68" s="94" t="s">
        <v>989</v>
      </c>
      <c r="H68" s="36"/>
      <c r="I68" s="36"/>
      <c r="J68" s="36"/>
      <c r="K68" s="93" t="s">
        <v>708</v>
      </c>
      <c r="L68" s="93" t="s">
        <v>720</v>
      </c>
    </row>
    <row r="69" spans="1:12" ht="195" customHeight="1" x14ac:dyDescent="0.25">
      <c r="A69" s="93" t="s">
        <v>990</v>
      </c>
      <c r="B69" s="93" t="s">
        <v>991</v>
      </c>
      <c r="C69" s="93" t="s">
        <v>705</v>
      </c>
      <c r="D69" s="94" t="s">
        <v>992</v>
      </c>
      <c r="E69" s="93" t="s">
        <v>700</v>
      </c>
      <c r="F69" s="36"/>
      <c r="G69" s="94" t="s">
        <v>993</v>
      </c>
      <c r="H69" s="36"/>
      <c r="I69" s="36"/>
      <c r="J69" s="36"/>
      <c r="K69" s="93" t="s">
        <v>702</v>
      </c>
      <c r="L69" s="93" t="s">
        <v>402</v>
      </c>
    </row>
    <row r="70" spans="1:12" ht="360" customHeight="1" x14ac:dyDescent="0.25">
      <c r="A70" s="93" t="s">
        <v>994</v>
      </c>
      <c r="B70" s="93" t="s">
        <v>995</v>
      </c>
      <c r="C70" s="93" t="s">
        <v>723</v>
      </c>
      <c r="D70" s="94" t="s">
        <v>996</v>
      </c>
      <c r="E70" s="93" t="s">
        <v>700</v>
      </c>
      <c r="F70" s="36"/>
      <c r="G70" s="94" t="s">
        <v>997</v>
      </c>
      <c r="H70" s="36"/>
      <c r="I70" s="36"/>
      <c r="J70" s="36"/>
      <c r="K70" s="93" t="s">
        <v>708</v>
      </c>
      <c r="L70" s="93" t="s">
        <v>402</v>
      </c>
    </row>
    <row r="71" spans="1:12" ht="150" customHeight="1" x14ac:dyDescent="0.25">
      <c r="A71" s="93" t="s">
        <v>998</v>
      </c>
      <c r="B71" s="93" t="s">
        <v>999</v>
      </c>
      <c r="C71" s="93" t="s">
        <v>698</v>
      </c>
      <c r="D71" s="94" t="s">
        <v>1000</v>
      </c>
      <c r="E71" s="93" t="s">
        <v>700</v>
      </c>
      <c r="F71" s="36"/>
      <c r="G71" s="94" t="s">
        <v>1001</v>
      </c>
      <c r="H71" s="36"/>
      <c r="I71" s="36"/>
      <c r="J71" s="36"/>
      <c r="K71" s="93" t="s">
        <v>719</v>
      </c>
      <c r="L71" s="93" t="s">
        <v>720</v>
      </c>
    </row>
    <row r="72" spans="1:12" ht="315" customHeight="1" x14ac:dyDescent="0.25">
      <c r="A72" s="93" t="s">
        <v>1002</v>
      </c>
      <c r="B72" s="93" t="s">
        <v>1003</v>
      </c>
      <c r="C72" s="93" t="s">
        <v>809</v>
      </c>
      <c r="D72" s="94" t="s">
        <v>1004</v>
      </c>
      <c r="E72" s="93" t="s">
        <v>700</v>
      </c>
      <c r="F72" s="36"/>
      <c r="G72" s="94" t="s">
        <v>1005</v>
      </c>
      <c r="H72" s="36"/>
      <c r="I72" s="36"/>
      <c r="J72" s="36"/>
      <c r="K72" s="93" t="s">
        <v>708</v>
      </c>
      <c r="L72" s="93" t="s">
        <v>720</v>
      </c>
    </row>
    <row r="73" spans="1:12" ht="300" customHeight="1" x14ac:dyDescent="0.25">
      <c r="A73" s="93" t="s">
        <v>1006</v>
      </c>
      <c r="B73" s="93" t="s">
        <v>1007</v>
      </c>
      <c r="C73" s="94" t="s">
        <v>1008</v>
      </c>
      <c r="D73" s="94" t="s">
        <v>1009</v>
      </c>
      <c r="E73" s="93" t="s">
        <v>700</v>
      </c>
      <c r="F73" s="36"/>
      <c r="G73" s="94" t="s">
        <v>1010</v>
      </c>
      <c r="H73" s="36"/>
      <c r="I73" s="36"/>
      <c r="J73" s="36"/>
      <c r="K73" s="93" t="s">
        <v>708</v>
      </c>
      <c r="L73" s="93" t="s">
        <v>714</v>
      </c>
    </row>
    <row r="74" spans="1:12" ht="150" customHeight="1" x14ac:dyDescent="0.25">
      <c r="A74" s="93" t="s">
        <v>1011</v>
      </c>
      <c r="B74" s="94" t="s">
        <v>1012</v>
      </c>
      <c r="C74" s="93" t="s">
        <v>758</v>
      </c>
      <c r="D74" s="94" t="s">
        <v>1013</v>
      </c>
      <c r="E74" s="93" t="s">
        <v>700</v>
      </c>
      <c r="F74" s="36"/>
      <c r="G74" s="94" t="s">
        <v>1014</v>
      </c>
      <c r="H74" s="36"/>
      <c r="I74" s="36"/>
      <c r="J74" s="36"/>
      <c r="K74" s="93" t="s">
        <v>702</v>
      </c>
      <c r="L74" s="93" t="s">
        <v>402</v>
      </c>
    </row>
    <row r="75" spans="1:12" ht="409.5" customHeight="1" x14ac:dyDescent="0.25">
      <c r="A75" s="93" t="s">
        <v>1015</v>
      </c>
      <c r="B75" s="93" t="s">
        <v>1016</v>
      </c>
      <c r="C75" s="93" t="s">
        <v>809</v>
      </c>
      <c r="D75" s="94" t="s">
        <v>1017</v>
      </c>
      <c r="E75" s="93" t="s">
        <v>700</v>
      </c>
      <c r="F75" s="36"/>
      <c r="G75" s="94" t="s">
        <v>1018</v>
      </c>
      <c r="H75" s="36"/>
      <c r="I75" s="36"/>
      <c r="J75" s="36"/>
      <c r="K75" s="93" t="s">
        <v>708</v>
      </c>
      <c r="L75" s="93" t="s">
        <v>720</v>
      </c>
    </row>
    <row r="76" spans="1:12" ht="409.5" customHeight="1" x14ac:dyDescent="0.25">
      <c r="A76" s="93" t="s">
        <v>1019</v>
      </c>
      <c r="B76" s="93" t="s">
        <v>1020</v>
      </c>
      <c r="C76" s="93" t="s">
        <v>822</v>
      </c>
      <c r="D76" s="94" t="s">
        <v>1021</v>
      </c>
      <c r="E76" s="93" t="s">
        <v>700</v>
      </c>
      <c r="F76" s="36"/>
      <c r="G76" s="94" t="s">
        <v>1022</v>
      </c>
      <c r="H76" s="36"/>
      <c r="I76" s="36"/>
      <c r="J76" s="36"/>
      <c r="K76" s="93" t="s">
        <v>719</v>
      </c>
      <c r="L76" s="93" t="s">
        <v>402</v>
      </c>
    </row>
    <row r="77" spans="1:12" ht="255" customHeight="1" x14ac:dyDescent="0.25">
      <c r="A77" s="93" t="s">
        <v>1023</v>
      </c>
      <c r="B77" s="93" t="s">
        <v>1024</v>
      </c>
      <c r="C77" s="94" t="s">
        <v>1025</v>
      </c>
      <c r="D77" s="94" t="s">
        <v>1026</v>
      </c>
      <c r="E77" s="93" t="s">
        <v>700</v>
      </c>
      <c r="F77" s="36"/>
      <c r="G77" s="94" t="s">
        <v>1027</v>
      </c>
      <c r="H77" s="36"/>
      <c r="I77" s="36"/>
      <c r="J77" s="36"/>
      <c r="K77" s="93" t="s">
        <v>708</v>
      </c>
      <c r="L77" s="93" t="s">
        <v>720</v>
      </c>
    </row>
    <row r="78" spans="1:12" ht="135" customHeight="1" x14ac:dyDescent="0.25">
      <c r="A78" s="93" t="s">
        <v>1028</v>
      </c>
      <c r="B78" s="94" t="s">
        <v>1029</v>
      </c>
      <c r="C78" s="93" t="s">
        <v>767</v>
      </c>
      <c r="D78" s="94" t="s">
        <v>1030</v>
      </c>
      <c r="E78" s="93" t="s">
        <v>700</v>
      </c>
      <c r="F78" s="36"/>
      <c r="G78" s="94" t="s">
        <v>1031</v>
      </c>
      <c r="H78" s="36"/>
      <c r="I78" s="36"/>
      <c r="J78" s="36"/>
      <c r="K78" s="93" t="s">
        <v>702</v>
      </c>
      <c r="L78" s="93" t="s">
        <v>402</v>
      </c>
    </row>
    <row r="79" spans="1:12" ht="409.5" customHeight="1" x14ac:dyDescent="0.25">
      <c r="A79" s="93" t="s">
        <v>1032</v>
      </c>
      <c r="B79" s="93" t="s">
        <v>1033</v>
      </c>
      <c r="C79" s="93" t="s">
        <v>809</v>
      </c>
      <c r="D79" s="94" t="s">
        <v>1034</v>
      </c>
      <c r="E79" s="93" t="s">
        <v>700</v>
      </c>
      <c r="F79" s="36"/>
      <c r="G79" s="94" t="s">
        <v>1035</v>
      </c>
      <c r="H79" s="36"/>
      <c r="I79" s="36"/>
      <c r="J79" s="36"/>
      <c r="K79" s="93" t="s">
        <v>719</v>
      </c>
      <c r="L79" s="93" t="s">
        <v>714</v>
      </c>
    </row>
    <row r="80" spans="1:12" ht="330" customHeight="1" x14ac:dyDescent="0.25">
      <c r="A80" s="93" t="s">
        <v>1036</v>
      </c>
      <c r="B80" s="93" t="s">
        <v>1037</v>
      </c>
      <c r="C80" s="93" t="s">
        <v>740</v>
      </c>
      <c r="D80" s="94" t="s">
        <v>1038</v>
      </c>
      <c r="E80" s="93" t="s">
        <v>700</v>
      </c>
      <c r="F80" s="36"/>
      <c r="G80" s="94" t="s">
        <v>1039</v>
      </c>
      <c r="H80" s="36"/>
      <c r="I80" s="36"/>
      <c r="J80" s="36"/>
      <c r="K80" s="93" t="s">
        <v>708</v>
      </c>
      <c r="L80" s="93" t="s">
        <v>714</v>
      </c>
    </row>
    <row r="81" spans="1:12" ht="330" customHeight="1" x14ac:dyDescent="0.25">
      <c r="A81" s="93" t="s">
        <v>1040</v>
      </c>
      <c r="B81" s="93" t="s">
        <v>1041</v>
      </c>
      <c r="C81" s="93" t="s">
        <v>723</v>
      </c>
      <c r="D81" s="94" t="s">
        <v>1042</v>
      </c>
      <c r="E81" s="93" t="s">
        <v>700</v>
      </c>
      <c r="F81" s="36"/>
      <c r="G81" s="94" t="s">
        <v>1043</v>
      </c>
      <c r="H81" s="36"/>
      <c r="I81" s="36"/>
      <c r="J81" s="36"/>
      <c r="K81" s="93" t="s">
        <v>719</v>
      </c>
      <c r="L81" s="93" t="s">
        <v>720</v>
      </c>
    </row>
    <row r="82" spans="1:12" ht="409.5" customHeight="1" x14ac:dyDescent="0.25">
      <c r="A82" s="93" t="s">
        <v>1044</v>
      </c>
      <c r="B82" s="93" t="s">
        <v>1045</v>
      </c>
      <c r="C82" s="93" t="s">
        <v>845</v>
      </c>
      <c r="D82" s="94" t="s">
        <v>1046</v>
      </c>
      <c r="E82" s="93" t="s">
        <v>700</v>
      </c>
      <c r="F82" s="36"/>
      <c r="G82" s="94" t="s">
        <v>1047</v>
      </c>
      <c r="H82" s="36"/>
      <c r="I82" s="36"/>
      <c r="J82" s="36"/>
      <c r="K82" s="93" t="s">
        <v>719</v>
      </c>
      <c r="L82" s="93" t="s">
        <v>720</v>
      </c>
    </row>
    <row r="83" spans="1:12" ht="375" customHeight="1" x14ac:dyDescent="0.25">
      <c r="A83" s="93" t="s">
        <v>1048</v>
      </c>
      <c r="B83" s="93" t="s">
        <v>1049</v>
      </c>
      <c r="C83" s="93" t="s">
        <v>809</v>
      </c>
      <c r="D83" s="94" t="s">
        <v>1050</v>
      </c>
      <c r="E83" s="93" t="s">
        <v>700</v>
      </c>
      <c r="F83" s="36"/>
      <c r="G83" s="94" t="s">
        <v>1051</v>
      </c>
      <c r="H83" s="36"/>
      <c r="I83" s="36"/>
      <c r="J83" s="36"/>
      <c r="K83" s="93" t="s">
        <v>719</v>
      </c>
      <c r="L83" s="93" t="s">
        <v>714</v>
      </c>
    </row>
    <row r="84" spans="1:12" ht="409.5" customHeight="1" x14ac:dyDescent="0.25">
      <c r="A84" s="93" t="s">
        <v>1052</v>
      </c>
      <c r="B84" s="93" t="s">
        <v>1053</v>
      </c>
      <c r="C84" s="93" t="s">
        <v>1054</v>
      </c>
      <c r="D84" s="94" t="s">
        <v>1055</v>
      </c>
      <c r="E84" s="93" t="s">
        <v>700</v>
      </c>
      <c r="F84" s="36"/>
      <c r="G84" s="94" t="s">
        <v>1056</v>
      </c>
      <c r="H84" s="36"/>
      <c r="I84" s="36"/>
      <c r="J84" s="36"/>
      <c r="K84" s="93" t="s">
        <v>708</v>
      </c>
      <c r="L84" s="93" t="s">
        <v>720</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7"/>
  <dimension ref="A1:D53"/>
  <sheetViews>
    <sheetView tabSelected="1" workbookViewId="0">
      <pane ySplit="1" topLeftCell="A2" activePane="bottomLeft" state="frozen"/>
      <selection pane="bottomLeft"/>
    </sheetView>
  </sheetViews>
  <sheetFormatPr baseColWidth="10" defaultColWidth="9.140625" defaultRowHeight="15" x14ac:dyDescent="0.25"/>
  <cols>
    <col min="1" max="1" width="10" customWidth="1"/>
    <col min="2" max="2" width="44" customWidth="1"/>
    <col min="3" max="3" width="50" customWidth="1"/>
    <col min="4" max="4" width="34" customWidth="1"/>
  </cols>
  <sheetData>
    <row r="1" spans="1:4" ht="30" customHeight="1" x14ac:dyDescent="0.25">
      <c r="A1" s="54" t="s">
        <v>686</v>
      </c>
      <c r="B1" s="54" t="s">
        <v>1057</v>
      </c>
      <c r="C1" s="54" t="s">
        <v>184</v>
      </c>
      <c r="D1" s="54" t="s">
        <v>1058</v>
      </c>
    </row>
    <row r="2" spans="1:4" ht="150" customHeight="1" x14ac:dyDescent="0.25">
      <c r="A2" s="93" t="s">
        <v>1059</v>
      </c>
      <c r="B2" s="93" t="s">
        <v>1060</v>
      </c>
      <c r="C2" s="94" t="s">
        <v>1061</v>
      </c>
      <c r="D2" s="36"/>
    </row>
    <row r="3" spans="1:4" ht="30" customHeight="1" x14ac:dyDescent="0.25">
      <c r="A3" s="93" t="s">
        <v>1062</v>
      </c>
      <c r="B3" s="93" t="s">
        <v>1063</v>
      </c>
      <c r="C3" s="94" t="s">
        <v>1064</v>
      </c>
      <c r="D3" s="36"/>
    </row>
    <row r="4" spans="1:4" ht="30" customHeight="1" x14ac:dyDescent="0.25">
      <c r="A4" s="93" t="s">
        <v>1065</v>
      </c>
      <c r="B4" s="94" t="s">
        <v>1066</v>
      </c>
      <c r="C4" s="94" t="s">
        <v>1067</v>
      </c>
      <c r="D4" s="36"/>
    </row>
    <row r="5" spans="1:4" ht="105" customHeight="1" x14ac:dyDescent="0.25">
      <c r="A5" s="93" t="s">
        <v>1068</v>
      </c>
      <c r="B5" s="93" t="s">
        <v>1069</v>
      </c>
      <c r="C5" s="94" t="s">
        <v>1070</v>
      </c>
      <c r="D5" s="36"/>
    </row>
    <row r="6" spans="1:4" ht="45" customHeight="1" x14ac:dyDescent="0.25">
      <c r="A6" s="93" t="s">
        <v>1071</v>
      </c>
      <c r="B6" s="94" t="s">
        <v>1072</v>
      </c>
      <c r="C6" s="94" t="s">
        <v>1073</v>
      </c>
      <c r="D6" s="36"/>
    </row>
    <row r="7" spans="1:4" ht="30" customHeight="1" x14ac:dyDescent="0.25">
      <c r="A7" s="93" t="s">
        <v>1074</v>
      </c>
      <c r="B7" s="94" t="s">
        <v>1075</v>
      </c>
      <c r="C7" s="94" t="s">
        <v>1076</v>
      </c>
      <c r="D7" s="36"/>
    </row>
    <row r="8" spans="1:4" ht="120" customHeight="1" x14ac:dyDescent="0.25">
      <c r="A8" s="93" t="s">
        <v>1077</v>
      </c>
      <c r="B8" s="93" t="s">
        <v>1078</v>
      </c>
      <c r="C8" s="94" t="s">
        <v>1079</v>
      </c>
      <c r="D8" s="36"/>
    </row>
    <row r="9" spans="1:4" ht="150" customHeight="1" x14ac:dyDescent="0.25">
      <c r="A9" s="93" t="s">
        <v>1080</v>
      </c>
      <c r="B9" s="93" t="s">
        <v>1081</v>
      </c>
      <c r="C9" s="94" t="s">
        <v>1082</v>
      </c>
      <c r="D9" s="36"/>
    </row>
    <row r="10" spans="1:4" ht="30" customHeight="1" x14ac:dyDescent="0.25">
      <c r="A10" s="93" t="s">
        <v>1083</v>
      </c>
      <c r="B10" s="93" t="s">
        <v>1084</v>
      </c>
      <c r="C10" s="94" t="s">
        <v>1085</v>
      </c>
      <c r="D10" s="36"/>
    </row>
    <row r="11" spans="1:4" ht="30" customHeight="1" x14ac:dyDescent="0.25">
      <c r="A11" s="93" t="s">
        <v>1086</v>
      </c>
      <c r="B11" s="93" t="s">
        <v>1087</v>
      </c>
      <c r="C11" s="94" t="s">
        <v>1088</v>
      </c>
      <c r="D11" s="36"/>
    </row>
    <row r="12" spans="1:4" ht="90" customHeight="1" x14ac:dyDescent="0.25">
      <c r="A12" s="93" t="s">
        <v>1089</v>
      </c>
      <c r="B12" s="93" t="s">
        <v>1090</v>
      </c>
      <c r="C12" s="94" t="s">
        <v>1091</v>
      </c>
      <c r="D12" s="36"/>
    </row>
    <row r="13" spans="1:4" ht="135" customHeight="1" x14ac:dyDescent="0.25">
      <c r="A13" s="93" t="s">
        <v>1092</v>
      </c>
      <c r="B13" s="93" t="s">
        <v>1093</v>
      </c>
      <c r="C13" s="94" t="s">
        <v>1094</v>
      </c>
      <c r="D13" s="36"/>
    </row>
    <row r="14" spans="1:4" ht="135" customHeight="1" x14ac:dyDescent="0.25">
      <c r="A14" s="93" t="s">
        <v>1095</v>
      </c>
      <c r="B14" s="93" t="s">
        <v>1096</v>
      </c>
      <c r="C14" s="94" t="s">
        <v>1097</v>
      </c>
      <c r="D14" s="36"/>
    </row>
    <row r="15" spans="1:4" ht="30" customHeight="1" x14ac:dyDescent="0.25">
      <c r="A15" s="93" t="s">
        <v>1098</v>
      </c>
      <c r="B15" s="94" t="s">
        <v>1099</v>
      </c>
      <c r="C15" s="94" t="s">
        <v>1100</v>
      </c>
      <c r="D15" s="36"/>
    </row>
    <row r="16" spans="1:4" ht="30" customHeight="1" x14ac:dyDescent="0.25">
      <c r="A16" s="93" t="s">
        <v>1101</v>
      </c>
      <c r="B16" s="93" t="s">
        <v>1102</v>
      </c>
      <c r="C16" s="94" t="s">
        <v>1103</v>
      </c>
      <c r="D16" s="36"/>
    </row>
    <row r="17" spans="1:4" x14ac:dyDescent="0.25">
      <c r="A17" s="93" t="s">
        <v>1104</v>
      </c>
      <c r="B17" s="93" t="s">
        <v>1105</v>
      </c>
      <c r="C17" s="94" t="s">
        <v>1106</v>
      </c>
      <c r="D17" s="36"/>
    </row>
    <row r="18" spans="1:4" ht="30" customHeight="1" x14ac:dyDescent="0.25">
      <c r="A18" s="93" t="s">
        <v>1107</v>
      </c>
      <c r="B18" s="93" t="s">
        <v>1108</v>
      </c>
      <c r="C18" s="94" t="s">
        <v>1109</v>
      </c>
      <c r="D18" s="36"/>
    </row>
    <row r="19" spans="1:4" ht="30" customHeight="1" x14ac:dyDescent="0.25">
      <c r="A19" s="93" t="s">
        <v>1110</v>
      </c>
      <c r="B19" s="93" t="s">
        <v>1111</v>
      </c>
      <c r="C19" s="94" t="s">
        <v>1112</v>
      </c>
      <c r="D19" s="36"/>
    </row>
    <row r="20" spans="1:4" ht="255" customHeight="1" x14ac:dyDescent="0.25">
      <c r="A20" s="93" t="s">
        <v>1113</v>
      </c>
      <c r="B20" s="93" t="s">
        <v>1114</v>
      </c>
      <c r="C20" s="94" t="s">
        <v>1115</v>
      </c>
      <c r="D20" s="36"/>
    </row>
    <row r="21" spans="1:4" ht="300" customHeight="1" x14ac:dyDescent="0.25">
      <c r="A21" s="93" t="s">
        <v>1116</v>
      </c>
      <c r="B21" s="93" t="s">
        <v>1117</v>
      </c>
      <c r="C21" s="94" t="s">
        <v>1118</v>
      </c>
      <c r="D21" s="36"/>
    </row>
    <row r="22" spans="1:4" ht="45" customHeight="1" x14ac:dyDescent="0.25">
      <c r="A22" s="93" t="s">
        <v>1119</v>
      </c>
      <c r="B22" s="94" t="s">
        <v>1120</v>
      </c>
      <c r="C22" s="94" t="s">
        <v>1121</v>
      </c>
      <c r="D22" s="36"/>
    </row>
    <row r="23" spans="1:4" ht="30" customHeight="1" x14ac:dyDescent="0.25">
      <c r="A23" s="93" t="s">
        <v>1122</v>
      </c>
      <c r="B23" s="93" t="s">
        <v>1123</v>
      </c>
      <c r="C23" s="94" t="s">
        <v>1124</v>
      </c>
      <c r="D23" s="36"/>
    </row>
    <row r="24" spans="1:4" ht="75" customHeight="1" x14ac:dyDescent="0.25">
      <c r="A24" s="93" t="s">
        <v>1125</v>
      </c>
      <c r="B24" s="93" t="s">
        <v>1126</v>
      </c>
      <c r="C24" s="94" t="s">
        <v>1127</v>
      </c>
      <c r="D24" s="36"/>
    </row>
    <row r="25" spans="1:4" ht="105" customHeight="1" x14ac:dyDescent="0.25">
      <c r="A25" s="93" t="s">
        <v>1128</v>
      </c>
      <c r="B25" s="94" t="s">
        <v>1129</v>
      </c>
      <c r="C25" s="94" t="s">
        <v>1130</v>
      </c>
      <c r="D25" s="36"/>
    </row>
    <row r="26" spans="1:4" ht="45" customHeight="1" x14ac:dyDescent="0.25">
      <c r="A26" s="93" t="s">
        <v>1131</v>
      </c>
      <c r="B26" s="94" t="s">
        <v>1132</v>
      </c>
      <c r="C26" s="94" t="s">
        <v>1133</v>
      </c>
      <c r="D26" s="36"/>
    </row>
    <row r="27" spans="1:4" ht="90" customHeight="1" x14ac:dyDescent="0.25">
      <c r="A27" s="93" t="s">
        <v>1134</v>
      </c>
      <c r="B27" s="93" t="s">
        <v>1135</v>
      </c>
      <c r="C27" s="94" t="s">
        <v>1136</v>
      </c>
      <c r="D27" s="36"/>
    </row>
    <row r="28" spans="1:4" ht="105" customHeight="1" x14ac:dyDescent="0.25">
      <c r="A28" s="93" t="s">
        <v>1137</v>
      </c>
      <c r="B28" s="93" t="s">
        <v>1138</v>
      </c>
      <c r="C28" s="94" t="s">
        <v>1139</v>
      </c>
      <c r="D28" s="36"/>
    </row>
    <row r="29" spans="1:4" ht="75" customHeight="1" x14ac:dyDescent="0.25">
      <c r="A29" s="93" t="s">
        <v>1140</v>
      </c>
      <c r="B29" s="93" t="s">
        <v>1141</v>
      </c>
      <c r="C29" s="94" t="s">
        <v>1142</v>
      </c>
      <c r="D29" s="36"/>
    </row>
    <row r="30" spans="1:4" ht="195" customHeight="1" x14ac:dyDescent="0.25">
      <c r="A30" s="93" t="s">
        <v>1143</v>
      </c>
      <c r="B30" s="93" t="s">
        <v>1144</v>
      </c>
      <c r="C30" s="94" t="s">
        <v>1145</v>
      </c>
      <c r="D30" s="36"/>
    </row>
    <row r="31" spans="1:4" ht="45" customHeight="1" x14ac:dyDescent="0.25">
      <c r="A31" s="93" t="s">
        <v>1146</v>
      </c>
      <c r="B31" s="94" t="s">
        <v>1147</v>
      </c>
      <c r="C31" s="94" t="s">
        <v>1148</v>
      </c>
      <c r="D31" s="36"/>
    </row>
    <row r="32" spans="1:4" ht="75" customHeight="1" x14ac:dyDescent="0.25">
      <c r="A32" s="93" t="s">
        <v>1149</v>
      </c>
      <c r="B32" s="94" t="s">
        <v>1150</v>
      </c>
      <c r="C32" s="94" t="s">
        <v>1151</v>
      </c>
      <c r="D32" s="36"/>
    </row>
    <row r="33" spans="1:4" ht="75" customHeight="1" x14ac:dyDescent="0.25">
      <c r="A33" s="93" t="s">
        <v>1152</v>
      </c>
      <c r="B33" s="94" t="s">
        <v>1153</v>
      </c>
      <c r="C33" s="94" t="s">
        <v>1154</v>
      </c>
      <c r="D33" s="36"/>
    </row>
    <row r="34" spans="1:4" x14ac:dyDescent="0.25">
      <c r="A34" s="93" t="s">
        <v>1155</v>
      </c>
      <c r="B34" s="93" t="s">
        <v>1156</v>
      </c>
      <c r="C34" s="94" t="s">
        <v>1157</v>
      </c>
      <c r="D34" s="36"/>
    </row>
    <row r="35" spans="1:4" ht="30" customHeight="1" x14ac:dyDescent="0.25">
      <c r="A35" s="93" t="s">
        <v>1158</v>
      </c>
      <c r="B35" s="93" t="s">
        <v>1159</v>
      </c>
      <c r="C35" s="94" t="s">
        <v>1160</v>
      </c>
      <c r="D35" s="36"/>
    </row>
    <row r="36" spans="1:4" ht="30" customHeight="1" x14ac:dyDescent="0.25">
      <c r="A36" s="93" t="s">
        <v>1161</v>
      </c>
      <c r="B36" s="93" t="s">
        <v>1162</v>
      </c>
      <c r="C36" s="94" t="s">
        <v>1163</v>
      </c>
      <c r="D36" s="36"/>
    </row>
    <row r="37" spans="1:4" ht="30" customHeight="1" x14ac:dyDescent="0.25">
      <c r="A37" s="93" t="s">
        <v>1164</v>
      </c>
      <c r="B37" s="94" t="s">
        <v>1165</v>
      </c>
      <c r="C37" s="94" t="s">
        <v>1166</v>
      </c>
      <c r="D37" s="36"/>
    </row>
    <row r="38" spans="1:4" ht="60" customHeight="1" x14ac:dyDescent="0.25">
      <c r="A38" s="93" t="s">
        <v>1167</v>
      </c>
      <c r="B38" s="93" t="s">
        <v>1168</v>
      </c>
      <c r="C38" s="94" t="s">
        <v>1169</v>
      </c>
      <c r="D38" s="36"/>
    </row>
    <row r="39" spans="1:4" ht="30" customHeight="1" x14ac:dyDescent="0.25">
      <c r="A39" s="93" t="s">
        <v>1170</v>
      </c>
      <c r="B39" s="93" t="s">
        <v>1171</v>
      </c>
      <c r="C39" s="94" t="s">
        <v>1172</v>
      </c>
      <c r="D39" s="36"/>
    </row>
    <row r="40" spans="1:4" ht="30" customHeight="1" x14ac:dyDescent="0.25">
      <c r="A40" s="93" t="s">
        <v>1173</v>
      </c>
      <c r="B40" s="93" t="s">
        <v>1174</v>
      </c>
      <c r="C40" s="94" t="s">
        <v>1175</v>
      </c>
      <c r="D40" s="36"/>
    </row>
    <row r="41" spans="1:4" ht="30" customHeight="1" x14ac:dyDescent="0.25">
      <c r="A41" s="93" t="s">
        <v>1176</v>
      </c>
      <c r="B41" s="93" t="s">
        <v>1177</v>
      </c>
      <c r="C41" s="94" t="s">
        <v>1178</v>
      </c>
      <c r="D41" s="36"/>
    </row>
    <row r="42" spans="1:4" ht="135" customHeight="1" x14ac:dyDescent="0.25">
      <c r="A42" s="93" t="s">
        <v>1179</v>
      </c>
      <c r="B42" s="93" t="s">
        <v>1180</v>
      </c>
      <c r="C42" s="94" t="s">
        <v>1181</v>
      </c>
      <c r="D42" s="36"/>
    </row>
    <row r="43" spans="1:4" ht="45" customHeight="1" x14ac:dyDescent="0.25">
      <c r="A43" s="93" t="s">
        <v>1182</v>
      </c>
      <c r="B43" s="93" t="s">
        <v>1183</v>
      </c>
      <c r="C43" s="94" t="s">
        <v>1184</v>
      </c>
      <c r="D43" s="36"/>
    </row>
    <row r="44" spans="1:4" ht="75" customHeight="1" x14ac:dyDescent="0.25">
      <c r="A44" s="93" t="s">
        <v>1185</v>
      </c>
      <c r="B44" s="94" t="s">
        <v>1186</v>
      </c>
      <c r="C44" s="94" t="s">
        <v>1187</v>
      </c>
      <c r="D44" s="36"/>
    </row>
    <row r="45" spans="1:4" ht="105" customHeight="1" x14ac:dyDescent="0.25">
      <c r="A45" s="93" t="s">
        <v>1188</v>
      </c>
      <c r="B45" s="93" t="s">
        <v>1189</v>
      </c>
      <c r="C45" s="94" t="s">
        <v>1190</v>
      </c>
      <c r="D45" s="36"/>
    </row>
    <row r="46" spans="1:4" ht="60" customHeight="1" x14ac:dyDescent="0.25">
      <c r="A46" s="93" t="s">
        <v>1191</v>
      </c>
      <c r="B46" s="93" t="s">
        <v>1192</v>
      </c>
      <c r="C46" s="94" t="s">
        <v>1193</v>
      </c>
      <c r="D46" s="36"/>
    </row>
    <row r="47" spans="1:4" ht="45" customHeight="1" x14ac:dyDescent="0.25">
      <c r="A47" s="93" t="s">
        <v>1194</v>
      </c>
      <c r="B47" s="93" t="s">
        <v>1195</v>
      </c>
      <c r="C47" s="94" t="s">
        <v>1196</v>
      </c>
      <c r="D47" s="36"/>
    </row>
    <row r="48" spans="1:4" ht="45" customHeight="1" x14ac:dyDescent="0.25">
      <c r="A48" s="93" t="s">
        <v>1197</v>
      </c>
      <c r="B48" s="93" t="s">
        <v>1198</v>
      </c>
      <c r="C48" s="94" t="s">
        <v>1199</v>
      </c>
      <c r="D48" s="36"/>
    </row>
    <row r="49" spans="1:4" ht="30" customHeight="1" x14ac:dyDescent="0.25">
      <c r="A49" s="93" t="s">
        <v>1200</v>
      </c>
      <c r="B49" s="93" t="s">
        <v>1201</v>
      </c>
      <c r="C49" s="94" t="s">
        <v>1202</v>
      </c>
      <c r="D49" s="36"/>
    </row>
    <row r="50" spans="1:4" ht="45" customHeight="1" x14ac:dyDescent="0.25">
      <c r="A50" s="93" t="s">
        <v>1203</v>
      </c>
      <c r="B50" s="93" t="s">
        <v>1204</v>
      </c>
      <c r="C50" s="94" t="s">
        <v>1205</v>
      </c>
      <c r="D50" s="36"/>
    </row>
    <row r="51" spans="1:4" ht="135" customHeight="1" x14ac:dyDescent="0.25">
      <c r="A51" s="93" t="s">
        <v>1206</v>
      </c>
      <c r="B51" s="93" t="s">
        <v>1207</v>
      </c>
      <c r="C51" s="94" t="s">
        <v>1208</v>
      </c>
      <c r="D51" s="36"/>
    </row>
    <row r="52" spans="1:4" ht="30" customHeight="1" x14ac:dyDescent="0.25">
      <c r="A52" s="93" t="s">
        <v>1209</v>
      </c>
      <c r="B52" s="93" t="s">
        <v>1210</v>
      </c>
      <c r="C52" s="94" t="s">
        <v>1211</v>
      </c>
      <c r="D52" s="36"/>
    </row>
    <row r="53" spans="1:4" ht="30" customHeight="1" x14ac:dyDescent="0.25">
      <c r="A53" s="93" t="s">
        <v>1212</v>
      </c>
      <c r="B53" s="93" t="s">
        <v>1213</v>
      </c>
      <c r="C53" s="94" t="s">
        <v>1214</v>
      </c>
      <c r="D53" s="36"/>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43">
    <tabColor rgb="FF16A085"/>
  </sheetPr>
  <dimension ref="A1:J8"/>
  <sheetViews>
    <sheetView showGridLines="0" workbookViewId="0">
      <pane ySplit="1" topLeftCell="A2" activePane="bottomLeft" state="frozen"/>
      <selection pane="bottomLeft" sqref="A1:O1"/>
    </sheetView>
  </sheetViews>
  <sheetFormatPr baseColWidth="10" defaultColWidth="9.140625" defaultRowHeight="15" x14ac:dyDescent="0.25"/>
  <cols>
    <col min="1" max="1" width="31" customWidth="1"/>
    <col min="2" max="2" width="28" customWidth="1"/>
    <col min="3" max="3" width="35" customWidth="1"/>
    <col min="4" max="4" width="30" customWidth="1"/>
    <col min="5" max="5" width="12" customWidth="1"/>
    <col min="6" max="7" width="10" customWidth="1"/>
    <col min="8" max="8" width="12" customWidth="1"/>
    <col min="9" max="9" width="15" customWidth="1"/>
    <col min="10" max="10" width="14" customWidth="1"/>
  </cols>
  <sheetData>
    <row r="1" spans="1:10" ht="30" customHeight="1" x14ac:dyDescent="0.25">
      <c r="A1" s="186" t="s">
        <v>1215</v>
      </c>
      <c r="B1" s="164"/>
      <c r="C1" s="164"/>
      <c r="D1" s="164"/>
      <c r="E1" s="164"/>
      <c r="F1" s="164"/>
      <c r="G1" s="164"/>
      <c r="H1" s="164"/>
      <c r="I1" s="164"/>
      <c r="J1" s="165"/>
    </row>
    <row r="3" spans="1:10" ht="30" customHeight="1" x14ac:dyDescent="0.25">
      <c r="A3" s="95" t="s">
        <v>1216</v>
      </c>
      <c r="B3" s="95" t="s">
        <v>1217</v>
      </c>
      <c r="C3" s="95" t="s">
        <v>184</v>
      </c>
      <c r="D3" s="95" t="s">
        <v>1218</v>
      </c>
      <c r="E3" s="95" t="s">
        <v>1219</v>
      </c>
      <c r="F3" s="95" t="s">
        <v>1220</v>
      </c>
      <c r="G3" s="95" t="s">
        <v>1221</v>
      </c>
      <c r="H3" s="95" t="s">
        <v>128</v>
      </c>
      <c r="I3" s="95" t="s">
        <v>207</v>
      </c>
      <c r="J3" s="95" t="s">
        <v>1222</v>
      </c>
    </row>
    <row r="4" spans="1:10" ht="30" customHeight="1" x14ac:dyDescent="0.25">
      <c r="A4" s="1" t="s">
        <v>1223</v>
      </c>
      <c r="B4" s="73" t="s">
        <v>1224</v>
      </c>
      <c r="C4" s="73" t="s">
        <v>1225</v>
      </c>
      <c r="D4" s="73" t="s">
        <v>1226</v>
      </c>
      <c r="E4" s="1" t="s">
        <v>1227</v>
      </c>
      <c r="F4" s="1" t="s">
        <v>1228</v>
      </c>
      <c r="G4" s="1" t="s">
        <v>1229</v>
      </c>
      <c r="H4" s="5" t="s">
        <v>1230</v>
      </c>
      <c r="I4" s="1" t="s">
        <v>357</v>
      </c>
      <c r="J4" s="1" t="s">
        <v>307</v>
      </c>
    </row>
    <row r="5" spans="1:10" ht="30" customHeight="1" x14ac:dyDescent="0.25">
      <c r="A5" s="1" t="s">
        <v>1231</v>
      </c>
      <c r="B5" s="1" t="s">
        <v>1232</v>
      </c>
      <c r="C5" s="73" t="s">
        <v>1233</v>
      </c>
      <c r="D5" s="1" t="s">
        <v>1234</v>
      </c>
      <c r="E5" s="1" t="s">
        <v>1227</v>
      </c>
      <c r="F5" s="1" t="s">
        <v>1235</v>
      </c>
      <c r="G5" s="1" t="s">
        <v>494</v>
      </c>
      <c r="H5" s="5" t="s">
        <v>1230</v>
      </c>
      <c r="I5" s="1" t="s">
        <v>357</v>
      </c>
      <c r="J5" s="1" t="s">
        <v>307</v>
      </c>
    </row>
    <row r="6" spans="1:10" ht="30" customHeight="1" x14ac:dyDescent="0.25">
      <c r="A6" s="1" t="s">
        <v>1236</v>
      </c>
      <c r="B6" s="1" t="s">
        <v>1237</v>
      </c>
      <c r="C6" s="73" t="s">
        <v>1238</v>
      </c>
      <c r="D6" s="73" t="s">
        <v>1239</v>
      </c>
      <c r="E6" s="1" t="s">
        <v>1240</v>
      </c>
      <c r="F6" s="1" t="s">
        <v>122</v>
      </c>
      <c r="G6" s="1" t="s">
        <v>354</v>
      </c>
      <c r="H6" s="74" t="s">
        <v>1241</v>
      </c>
      <c r="I6" s="1" t="s">
        <v>318</v>
      </c>
      <c r="J6" s="1" t="s">
        <v>1242</v>
      </c>
    </row>
    <row r="7" spans="1:10" ht="30" customHeight="1" x14ac:dyDescent="0.25">
      <c r="A7" s="1" t="s">
        <v>1243</v>
      </c>
      <c r="B7" s="1" t="s">
        <v>1244</v>
      </c>
      <c r="C7" s="73" t="s">
        <v>1245</v>
      </c>
      <c r="D7" s="1" t="s">
        <v>1246</v>
      </c>
      <c r="E7" s="1" t="s">
        <v>1247</v>
      </c>
      <c r="F7" s="1" t="s">
        <v>1248</v>
      </c>
      <c r="G7" s="1" t="s">
        <v>1249</v>
      </c>
      <c r="H7" s="74" t="s">
        <v>1241</v>
      </c>
      <c r="I7" s="1" t="s">
        <v>357</v>
      </c>
      <c r="J7" s="1" t="s">
        <v>1250</v>
      </c>
    </row>
    <row r="8" spans="1:10" x14ac:dyDescent="0.25">
      <c r="A8" s="1" t="s">
        <v>1251</v>
      </c>
      <c r="B8" s="1" t="s">
        <v>1252</v>
      </c>
      <c r="C8" s="73" t="s">
        <v>1253</v>
      </c>
      <c r="D8" s="1" t="s">
        <v>1254</v>
      </c>
      <c r="E8" s="1" t="s">
        <v>1255</v>
      </c>
      <c r="F8" s="1" t="s">
        <v>1256</v>
      </c>
      <c r="G8" s="1" t="s">
        <v>1257</v>
      </c>
      <c r="H8" s="5" t="s">
        <v>1230</v>
      </c>
      <c r="I8" s="1" t="s">
        <v>380</v>
      </c>
      <c r="J8" s="1" t="s">
        <v>1258</v>
      </c>
    </row>
  </sheetData>
  <mergeCells count="1">
    <mergeCell ref="A1:J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45">
    <tabColor rgb="FF7F7F7F"/>
  </sheetPr>
  <dimension ref="A1:H26"/>
  <sheetViews>
    <sheetView showGridLines="0" workbookViewId="0">
      <pane ySplit="1" topLeftCell="A2" activePane="bottomLeft" state="frozen"/>
      <selection pane="bottomLeft" sqref="A1:O1"/>
    </sheetView>
  </sheetViews>
  <sheetFormatPr baseColWidth="10" defaultColWidth="9.140625" defaultRowHeight="15" x14ac:dyDescent="0.25"/>
  <cols>
    <col min="1" max="1" width="27" bestFit="1" customWidth="1"/>
    <col min="2" max="2" width="14.42578125" bestFit="1" customWidth="1"/>
    <col min="3" max="3" width="20" customWidth="1"/>
    <col min="4" max="4" width="18" customWidth="1"/>
    <col min="5" max="5" width="35" customWidth="1"/>
    <col min="6" max="6" width="12" customWidth="1"/>
    <col min="7" max="7" width="15" customWidth="1"/>
    <col min="8" max="8" width="30" customWidth="1"/>
  </cols>
  <sheetData>
    <row r="1" spans="1:8" ht="30" customHeight="1" x14ac:dyDescent="0.25">
      <c r="A1" s="186" t="s">
        <v>1259</v>
      </c>
      <c r="B1" s="164"/>
      <c r="C1" s="164"/>
      <c r="D1" s="164"/>
      <c r="E1" s="164"/>
      <c r="F1" s="164"/>
      <c r="G1" s="164"/>
      <c r="H1" s="165"/>
    </row>
    <row r="3" spans="1:8" ht="24.95" customHeight="1" x14ac:dyDescent="0.25">
      <c r="A3" s="27" t="s">
        <v>512</v>
      </c>
      <c r="B3" s="27" t="s">
        <v>200</v>
      </c>
      <c r="C3" s="27" t="s">
        <v>1260</v>
      </c>
      <c r="D3" s="27" t="s">
        <v>1261</v>
      </c>
      <c r="E3" s="27" t="s">
        <v>1262</v>
      </c>
      <c r="F3" s="27" t="s">
        <v>128</v>
      </c>
      <c r="G3" s="27" t="s">
        <v>1263</v>
      </c>
      <c r="H3" s="27" t="s">
        <v>439</v>
      </c>
    </row>
    <row r="4" spans="1:8" ht="30" customHeight="1" x14ac:dyDescent="0.25">
      <c r="A4" s="1" t="s">
        <v>1264</v>
      </c>
      <c r="B4" s="1" t="s">
        <v>216</v>
      </c>
      <c r="C4" s="1" t="s">
        <v>1265</v>
      </c>
      <c r="D4" s="1" t="s">
        <v>1266</v>
      </c>
      <c r="E4" s="73" t="s">
        <v>1267</v>
      </c>
      <c r="F4" s="1" t="s">
        <v>1268</v>
      </c>
      <c r="G4" s="1" t="s">
        <v>1269</v>
      </c>
      <c r="H4" s="1" t="s">
        <v>1270</v>
      </c>
    </row>
    <row r="5" spans="1:8" ht="30" customHeight="1" x14ac:dyDescent="0.25">
      <c r="A5" s="1" t="s">
        <v>1264</v>
      </c>
      <c r="B5" s="1" t="s">
        <v>357</v>
      </c>
      <c r="C5" s="1" t="s">
        <v>1271</v>
      </c>
      <c r="D5" s="1" t="s">
        <v>1272</v>
      </c>
      <c r="E5" s="73" t="s">
        <v>1273</v>
      </c>
      <c r="F5" s="1" t="s">
        <v>1268</v>
      </c>
      <c r="G5" s="1" t="s">
        <v>1274</v>
      </c>
      <c r="H5" s="1" t="s">
        <v>1275</v>
      </c>
    </row>
    <row r="6" spans="1:8" x14ac:dyDescent="0.25">
      <c r="A6" s="33">
        <v>45967.788784722223</v>
      </c>
      <c r="B6" s="61" t="s">
        <v>244</v>
      </c>
      <c r="C6" s="61" t="s">
        <v>1276</v>
      </c>
    </row>
    <row r="7" spans="1:8" ht="30" x14ac:dyDescent="0.25">
      <c r="A7" s="33">
        <v>45967.801087962973</v>
      </c>
      <c r="B7" s="61" t="s">
        <v>244</v>
      </c>
      <c r="C7" s="96" t="s">
        <v>1277</v>
      </c>
    </row>
    <row r="8" spans="1:8" ht="30" x14ac:dyDescent="0.25">
      <c r="A8" s="33">
        <v>45967.803749999999</v>
      </c>
      <c r="B8" s="61" t="s">
        <v>244</v>
      </c>
      <c r="C8" s="96" t="s">
        <v>1278</v>
      </c>
    </row>
    <row r="9" spans="1:8" ht="30" x14ac:dyDescent="0.25">
      <c r="A9" s="33">
        <v>45967.80395833333</v>
      </c>
      <c r="B9" s="61" t="s">
        <v>244</v>
      </c>
      <c r="C9" s="96" t="s">
        <v>1279</v>
      </c>
    </row>
    <row r="10" spans="1:8" ht="30" x14ac:dyDescent="0.25">
      <c r="A10" s="33">
        <v>45967.804861111108</v>
      </c>
      <c r="B10" s="61" t="s">
        <v>244</v>
      </c>
      <c r="C10" s="96" t="s">
        <v>1279</v>
      </c>
    </row>
    <row r="11" spans="1:8" ht="30" x14ac:dyDescent="0.25">
      <c r="A11" s="33">
        <v>45967.804988425924</v>
      </c>
      <c r="B11" s="61" t="s">
        <v>244</v>
      </c>
      <c r="C11" s="96" t="s">
        <v>1280</v>
      </c>
    </row>
    <row r="12" spans="1:8" x14ac:dyDescent="0.25">
      <c r="A12" s="33">
        <v>45967.808391203696</v>
      </c>
      <c r="B12" s="61" t="s">
        <v>244</v>
      </c>
      <c r="C12" s="61" t="s">
        <v>1276</v>
      </c>
    </row>
    <row r="13" spans="1:8" ht="30" x14ac:dyDescent="0.25">
      <c r="A13" s="33">
        <v>45967.824050925927</v>
      </c>
      <c r="B13" s="61" t="s">
        <v>244</v>
      </c>
      <c r="C13" s="96" t="s">
        <v>1279</v>
      </c>
    </row>
    <row r="14" spans="1:8" ht="30" x14ac:dyDescent="0.25">
      <c r="A14" s="33">
        <v>45967.824155092603</v>
      </c>
      <c r="B14" s="61" t="s">
        <v>244</v>
      </c>
      <c r="C14" s="96" t="s">
        <v>1280</v>
      </c>
    </row>
    <row r="15" spans="1:8" ht="30" x14ac:dyDescent="0.25">
      <c r="A15" s="33">
        <v>45967.836273148147</v>
      </c>
      <c r="B15" s="61" t="s">
        <v>244</v>
      </c>
      <c r="C15" s="96" t="s">
        <v>1281</v>
      </c>
    </row>
    <row r="16" spans="1:8" ht="30" x14ac:dyDescent="0.25">
      <c r="A16" s="33">
        <v>45967.83630787037</v>
      </c>
      <c r="B16" s="61" t="s">
        <v>244</v>
      </c>
      <c r="C16" s="96" t="s">
        <v>1279</v>
      </c>
    </row>
    <row r="17" spans="1:4" ht="30" x14ac:dyDescent="0.25">
      <c r="A17" s="33">
        <v>45967.84474537037</v>
      </c>
      <c r="B17" s="61" t="s">
        <v>244</v>
      </c>
      <c r="C17" s="96" t="s">
        <v>1280</v>
      </c>
    </row>
    <row r="18" spans="1:4" ht="45" x14ac:dyDescent="0.25">
      <c r="A18" s="33">
        <v>45967.844872685193</v>
      </c>
      <c r="B18" s="61" t="s">
        <v>244</v>
      </c>
      <c r="C18" s="96" t="s">
        <v>1282</v>
      </c>
    </row>
    <row r="19" spans="1:4" ht="45" x14ac:dyDescent="0.25">
      <c r="A19" s="33">
        <v>45967.845185185193</v>
      </c>
      <c r="B19" s="61" t="s">
        <v>244</v>
      </c>
      <c r="C19" s="96" t="s">
        <v>1283</v>
      </c>
    </row>
    <row r="20" spans="1:4" ht="90" x14ac:dyDescent="0.25">
      <c r="A20" s="33">
        <v>45973.232418981483</v>
      </c>
      <c r="B20" s="61" t="s">
        <v>244</v>
      </c>
      <c r="C20" s="96" t="s">
        <v>1284</v>
      </c>
    </row>
    <row r="21" spans="1:4" ht="36" x14ac:dyDescent="0.25">
      <c r="A21" s="47">
        <v>45973.267442129632</v>
      </c>
      <c r="B21" s="97" t="s">
        <v>244</v>
      </c>
      <c r="C21" s="98" t="s">
        <v>1285</v>
      </c>
      <c r="D21" s="97" t="s">
        <v>1286</v>
      </c>
    </row>
    <row r="22" spans="1:4" ht="48" x14ac:dyDescent="0.25">
      <c r="A22" s="47">
        <v>45973.26803240741</v>
      </c>
      <c r="B22" s="97" t="s">
        <v>244</v>
      </c>
      <c r="C22" s="98" t="s">
        <v>1287</v>
      </c>
      <c r="D22" s="97" t="s">
        <v>1286</v>
      </c>
    </row>
    <row r="23" spans="1:4" ht="24" x14ac:dyDescent="0.25">
      <c r="A23" s="47">
        <v>45993.799097222232</v>
      </c>
      <c r="B23" s="97" t="s">
        <v>244</v>
      </c>
      <c r="C23" s="98" t="s">
        <v>1288</v>
      </c>
      <c r="D23" s="97" t="s">
        <v>1286</v>
      </c>
    </row>
    <row r="24" spans="1:4" ht="24" x14ac:dyDescent="0.25">
      <c r="A24" s="47">
        <v>46006.646018518521</v>
      </c>
      <c r="B24" s="97" t="s">
        <v>244</v>
      </c>
      <c r="C24" s="98" t="s">
        <v>1289</v>
      </c>
      <c r="D24" s="97" t="s">
        <v>1286</v>
      </c>
    </row>
    <row r="25" spans="1:4" ht="36" x14ac:dyDescent="0.25">
      <c r="A25" s="47">
        <v>46006.64644675926</v>
      </c>
      <c r="B25" s="97" t="s">
        <v>244</v>
      </c>
      <c r="C25" s="98" t="s">
        <v>1290</v>
      </c>
      <c r="D25" s="97" t="s">
        <v>1286</v>
      </c>
    </row>
    <row r="26" spans="1:4" x14ac:dyDescent="0.25">
      <c r="A26" s="244">
        <v>46006.696736111109</v>
      </c>
      <c r="B26" s="245" t="s">
        <v>244</v>
      </c>
      <c r="C26" s="245" t="s">
        <v>1290</v>
      </c>
      <c r="D26" s="245" t="s">
        <v>1286</v>
      </c>
    </row>
  </sheetData>
  <mergeCells count="1">
    <mergeCell ref="A1:H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53"/>
  <dimension ref="A1:E8"/>
  <sheetViews>
    <sheetView workbookViewId="0">
      <selection activeCell="E12" sqref="E12"/>
    </sheetView>
  </sheetViews>
  <sheetFormatPr baseColWidth="10" defaultColWidth="9.140625" defaultRowHeight="15" x14ac:dyDescent="0.25"/>
  <cols>
    <col min="1" max="1" width="12.140625" bestFit="1" customWidth="1"/>
    <col min="2" max="2" width="18.42578125" bestFit="1" customWidth="1"/>
    <col min="3" max="3" width="15.42578125" bestFit="1" customWidth="1"/>
    <col min="4" max="4" width="36.85546875" bestFit="1" customWidth="1"/>
    <col min="5" max="5" width="78.7109375" bestFit="1" customWidth="1"/>
  </cols>
  <sheetData>
    <row r="1" spans="1:5" ht="30" customHeight="1" x14ac:dyDescent="0.25">
      <c r="A1" s="52" t="s">
        <v>1291</v>
      </c>
      <c r="B1" s="52" t="s">
        <v>1292</v>
      </c>
      <c r="C1" s="52" t="s">
        <v>1293</v>
      </c>
      <c r="D1" s="52" t="s">
        <v>1294</v>
      </c>
      <c r="E1" s="52" t="s">
        <v>1295</v>
      </c>
    </row>
    <row r="2" spans="1:5" x14ac:dyDescent="0.25">
      <c r="A2" s="53">
        <v>1</v>
      </c>
      <c r="B2" s="53" t="s">
        <v>1296</v>
      </c>
      <c r="C2" s="53">
        <v>0.7</v>
      </c>
      <c r="D2" s="53" t="s">
        <v>1297</v>
      </c>
      <c r="E2" s="53" t="s">
        <v>1298</v>
      </c>
    </row>
    <row r="3" spans="1:5" x14ac:dyDescent="0.25">
      <c r="A3" s="53">
        <v>2</v>
      </c>
      <c r="B3" s="53" t="s">
        <v>1299</v>
      </c>
      <c r="C3" s="53">
        <v>0.85</v>
      </c>
      <c r="D3" s="53" t="s">
        <v>1300</v>
      </c>
      <c r="E3" s="53" t="s">
        <v>1301</v>
      </c>
    </row>
    <row r="4" spans="1:5" ht="39.950000000000003" customHeight="1" x14ac:dyDescent="0.25">
      <c r="A4" s="53">
        <v>3</v>
      </c>
      <c r="B4" s="53" t="s">
        <v>1302</v>
      </c>
      <c r="C4" s="53">
        <v>1</v>
      </c>
      <c r="D4" s="53" t="s">
        <v>1303</v>
      </c>
      <c r="E4" s="53" t="s">
        <v>1304</v>
      </c>
    </row>
    <row r="5" spans="1:5" ht="39.950000000000003" customHeight="1" x14ac:dyDescent="0.25">
      <c r="A5" s="53">
        <v>4</v>
      </c>
      <c r="B5" s="53" t="s">
        <v>1305</v>
      </c>
      <c r="C5" s="53">
        <v>1.1499999999999999</v>
      </c>
      <c r="D5" s="53" t="s">
        <v>1306</v>
      </c>
      <c r="E5" s="53" t="s">
        <v>1307</v>
      </c>
    </row>
    <row r="6" spans="1:5" ht="39.950000000000003" customHeight="1" x14ac:dyDescent="0.25">
      <c r="A6" s="53">
        <v>5</v>
      </c>
      <c r="B6" s="53" t="s">
        <v>1308</v>
      </c>
      <c r="C6" s="53">
        <v>1.3</v>
      </c>
      <c r="D6" s="53" t="s">
        <v>1309</v>
      </c>
      <c r="E6" s="53" t="s">
        <v>1310</v>
      </c>
    </row>
    <row r="7" spans="1:5" ht="39.950000000000003" customHeight="1" x14ac:dyDescent="0.25">
      <c r="A7" s="53"/>
      <c r="B7" s="53"/>
      <c r="C7" s="53"/>
      <c r="D7" s="53"/>
      <c r="E7" s="53"/>
    </row>
    <row r="8" spans="1:5" ht="39.950000000000003" customHeight="1" x14ac:dyDescent="0.25">
      <c r="A8" s="53"/>
      <c r="B8" s="53"/>
      <c r="C8" s="53"/>
      <c r="D8" s="53"/>
      <c r="E8" s="53"/>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48"/>
  <dimension ref="A1:J15"/>
  <sheetViews>
    <sheetView workbookViewId="0"/>
  </sheetViews>
  <sheetFormatPr baseColWidth="10" defaultColWidth="9.140625" defaultRowHeight="15" x14ac:dyDescent="0.25"/>
  <cols>
    <col min="1" max="1" width="10.7109375" bestFit="1" customWidth="1"/>
    <col min="2" max="2" width="34.28515625" bestFit="1" customWidth="1"/>
    <col min="3" max="3" width="60" customWidth="1"/>
    <col min="4" max="4" width="24.28515625" bestFit="1" customWidth="1"/>
  </cols>
  <sheetData>
    <row r="1" spans="1:10" ht="18.75" customHeight="1" x14ac:dyDescent="0.25">
      <c r="A1" s="44" t="s">
        <v>1311</v>
      </c>
      <c r="B1" s="45" t="s">
        <v>1312</v>
      </c>
      <c r="C1" s="45" t="s">
        <v>184</v>
      </c>
      <c r="D1" s="45" t="s">
        <v>1313</v>
      </c>
      <c r="E1" s="46"/>
      <c r="F1" s="46"/>
      <c r="G1" s="46"/>
      <c r="H1" s="46"/>
      <c r="I1" s="46"/>
      <c r="J1" s="46"/>
    </row>
    <row r="2" spans="1:10" ht="105" customHeight="1" x14ac:dyDescent="0.25">
      <c r="A2" s="36" t="s">
        <v>1314</v>
      </c>
      <c r="B2" s="36" t="s">
        <v>1315</v>
      </c>
      <c r="C2" s="36" t="s">
        <v>1316</v>
      </c>
      <c r="D2" s="36"/>
    </row>
    <row r="3" spans="1:10" ht="120" customHeight="1" x14ac:dyDescent="0.25">
      <c r="A3" s="36" t="s">
        <v>1317</v>
      </c>
      <c r="B3" s="36" t="s">
        <v>1318</v>
      </c>
      <c r="C3" s="36" t="s">
        <v>1319</v>
      </c>
      <c r="D3" s="36"/>
    </row>
    <row r="4" spans="1:10" ht="345" customHeight="1" x14ac:dyDescent="0.25">
      <c r="A4" s="36" t="s">
        <v>1320</v>
      </c>
      <c r="B4" s="36" t="s">
        <v>1321</v>
      </c>
      <c r="C4" s="36" t="s">
        <v>1322</v>
      </c>
      <c r="D4" s="36"/>
    </row>
    <row r="5" spans="1:10" ht="180" customHeight="1" x14ac:dyDescent="0.25">
      <c r="A5" s="36" t="s">
        <v>1323</v>
      </c>
      <c r="B5" s="36" t="s">
        <v>1324</v>
      </c>
      <c r="C5" s="36" t="s">
        <v>1325</v>
      </c>
      <c r="D5" s="36"/>
    </row>
    <row r="6" spans="1:10" ht="120" customHeight="1" x14ac:dyDescent="0.25">
      <c r="A6" s="36" t="s">
        <v>1326</v>
      </c>
      <c r="B6" s="36" t="s">
        <v>1327</v>
      </c>
      <c r="C6" s="36" t="s">
        <v>1328</v>
      </c>
      <c r="D6" s="36"/>
    </row>
    <row r="7" spans="1:10" ht="150" customHeight="1" x14ac:dyDescent="0.25">
      <c r="A7" s="36" t="s">
        <v>1329</v>
      </c>
      <c r="B7" s="36" t="s">
        <v>1330</v>
      </c>
      <c r="C7" s="36" t="s">
        <v>1331</v>
      </c>
      <c r="D7" s="36"/>
    </row>
    <row r="8" spans="1:10" ht="135" customHeight="1" x14ac:dyDescent="0.25">
      <c r="A8" s="36" t="s">
        <v>1332</v>
      </c>
      <c r="B8" s="36" t="s">
        <v>1333</v>
      </c>
      <c r="C8" s="36" t="s">
        <v>1334</v>
      </c>
      <c r="D8" s="36"/>
    </row>
    <row r="9" spans="1:10" ht="165" customHeight="1" x14ac:dyDescent="0.25">
      <c r="A9" s="36" t="s">
        <v>1335</v>
      </c>
      <c r="B9" s="36" t="s">
        <v>1336</v>
      </c>
      <c r="C9" s="36" t="s">
        <v>1337</v>
      </c>
      <c r="D9" s="36"/>
    </row>
    <row r="10" spans="1:10" ht="195" customHeight="1" x14ac:dyDescent="0.25">
      <c r="A10" s="36" t="s">
        <v>1338</v>
      </c>
      <c r="B10" s="36" t="s">
        <v>1339</v>
      </c>
      <c r="C10" s="36" t="s">
        <v>1340</v>
      </c>
      <c r="D10" s="36"/>
    </row>
    <row r="11" spans="1:10" ht="135" customHeight="1" x14ac:dyDescent="0.25">
      <c r="A11" s="36" t="s">
        <v>1341</v>
      </c>
      <c r="B11" s="36" t="s">
        <v>1342</v>
      </c>
      <c r="C11" s="36" t="s">
        <v>1343</v>
      </c>
      <c r="D11" s="36"/>
    </row>
    <row r="12" spans="1:10" ht="60" customHeight="1" x14ac:dyDescent="0.25">
      <c r="A12" s="36" t="s">
        <v>1344</v>
      </c>
      <c r="B12" s="36" t="s">
        <v>1345</v>
      </c>
      <c r="C12" s="36" t="s">
        <v>1346</v>
      </c>
      <c r="D12" s="36"/>
    </row>
    <row r="13" spans="1:10" ht="105" customHeight="1" x14ac:dyDescent="0.25">
      <c r="A13" s="36" t="s">
        <v>1347</v>
      </c>
      <c r="B13" s="36" t="s">
        <v>1348</v>
      </c>
      <c r="C13" s="36" t="s">
        <v>1349</v>
      </c>
      <c r="D13" s="36"/>
    </row>
    <row r="14" spans="1:10" ht="135" customHeight="1" x14ac:dyDescent="0.25">
      <c r="A14" s="36" t="s">
        <v>1350</v>
      </c>
      <c r="B14" s="36" t="s">
        <v>1351</v>
      </c>
      <c r="C14" s="36" t="s">
        <v>1352</v>
      </c>
      <c r="D14" s="36"/>
    </row>
    <row r="15" spans="1:10" ht="165" customHeight="1" x14ac:dyDescent="0.25">
      <c r="A15" s="36" t="s">
        <v>1353</v>
      </c>
      <c r="B15" s="36" t="s">
        <v>1354</v>
      </c>
      <c r="C15" s="36" t="s">
        <v>1355</v>
      </c>
      <c r="D15" s="36"/>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49"/>
  <dimension ref="A1:K39"/>
  <sheetViews>
    <sheetView workbookViewId="0">
      <selection sqref="A1:K1"/>
    </sheetView>
  </sheetViews>
  <sheetFormatPr baseColWidth="10" defaultColWidth="9.140625" defaultRowHeight="15" x14ac:dyDescent="0.25"/>
  <cols>
    <col min="1" max="1" width="20" customWidth="1"/>
    <col min="2" max="3" width="35" customWidth="1"/>
    <col min="4" max="5" width="10" customWidth="1"/>
    <col min="6" max="11" width="12" customWidth="1"/>
  </cols>
  <sheetData>
    <row r="1" spans="1:11" ht="30" customHeight="1" x14ac:dyDescent="0.25">
      <c r="A1" s="215" t="s">
        <v>1356</v>
      </c>
      <c r="B1" s="139"/>
      <c r="C1" s="139"/>
      <c r="D1" s="139"/>
      <c r="E1" s="139"/>
      <c r="F1" s="139"/>
      <c r="G1" s="139"/>
      <c r="H1" s="139"/>
      <c r="I1" s="139"/>
      <c r="J1" s="139"/>
      <c r="K1" s="139"/>
    </row>
    <row r="2" spans="1:11" x14ac:dyDescent="0.25">
      <c r="A2" s="217" t="s">
        <v>1357</v>
      </c>
      <c r="B2" s="139"/>
      <c r="C2" s="139"/>
      <c r="D2" s="139"/>
      <c r="E2" s="139"/>
      <c r="F2" s="139"/>
      <c r="G2" s="139"/>
      <c r="H2" s="139"/>
      <c r="I2" s="139"/>
      <c r="J2" s="139"/>
      <c r="K2" s="139"/>
    </row>
    <row r="4" spans="1:11" ht="24.95" customHeight="1" x14ac:dyDescent="0.25">
      <c r="A4" s="221" t="s">
        <v>1358</v>
      </c>
      <c r="B4" s="139"/>
      <c r="C4" s="139"/>
      <c r="D4" s="139"/>
      <c r="E4" s="139"/>
      <c r="F4" s="139"/>
      <c r="G4" s="139"/>
      <c r="H4" s="139"/>
      <c r="I4" s="139"/>
      <c r="J4" s="139"/>
      <c r="K4" s="139"/>
    </row>
    <row r="5" spans="1:11" ht="30" customHeight="1" x14ac:dyDescent="0.25">
      <c r="A5" s="38" t="s">
        <v>1359</v>
      </c>
      <c r="B5" s="38" t="s">
        <v>1360</v>
      </c>
      <c r="C5" s="38" t="s">
        <v>201</v>
      </c>
      <c r="D5" s="38" t="s">
        <v>537</v>
      </c>
      <c r="E5" s="38" t="s">
        <v>1361</v>
      </c>
      <c r="F5" s="38" t="s">
        <v>1362</v>
      </c>
      <c r="G5" s="38" t="s">
        <v>537</v>
      </c>
      <c r="H5" s="38" t="s">
        <v>1363</v>
      </c>
      <c r="I5" s="38" t="s">
        <v>1364</v>
      </c>
      <c r="J5" s="38" t="s">
        <v>537</v>
      </c>
      <c r="K5" s="38" t="s">
        <v>1363</v>
      </c>
    </row>
    <row r="6" spans="1:11" ht="30" customHeight="1" x14ac:dyDescent="0.25">
      <c r="A6" s="42" t="s">
        <v>1365</v>
      </c>
      <c r="B6" s="42" t="s">
        <v>1366</v>
      </c>
      <c r="C6" s="42" t="s">
        <v>1367</v>
      </c>
      <c r="D6" s="42" t="s">
        <v>1338</v>
      </c>
      <c r="E6" s="43">
        <v>95</v>
      </c>
      <c r="F6" s="42" t="s">
        <v>928</v>
      </c>
      <c r="G6" s="42" t="s">
        <v>927</v>
      </c>
      <c r="H6" s="43">
        <v>85</v>
      </c>
      <c r="I6" s="42" t="s">
        <v>923</v>
      </c>
      <c r="J6" s="42" t="s">
        <v>922</v>
      </c>
      <c r="K6" s="43">
        <v>80</v>
      </c>
    </row>
    <row r="7" spans="1:11" ht="60" customHeight="1" x14ac:dyDescent="0.25">
      <c r="A7" s="42" t="s">
        <v>1368</v>
      </c>
      <c r="B7" s="42" t="s">
        <v>1369</v>
      </c>
      <c r="C7" s="42" t="s">
        <v>1318</v>
      </c>
      <c r="D7" s="42" t="s">
        <v>1317</v>
      </c>
      <c r="E7" s="43">
        <v>90</v>
      </c>
      <c r="F7" s="42" t="s">
        <v>817</v>
      </c>
      <c r="G7" s="42" t="s">
        <v>816</v>
      </c>
      <c r="H7" s="43">
        <v>75</v>
      </c>
      <c r="I7" s="42" t="s">
        <v>808</v>
      </c>
      <c r="J7" s="42" t="s">
        <v>807</v>
      </c>
      <c r="K7" s="43">
        <v>70</v>
      </c>
    </row>
    <row r="8" spans="1:11" ht="45" customHeight="1" x14ac:dyDescent="0.25">
      <c r="A8" s="42" t="s">
        <v>1370</v>
      </c>
      <c r="B8" s="42" t="s">
        <v>1371</v>
      </c>
      <c r="C8" s="42" t="s">
        <v>1372</v>
      </c>
      <c r="D8" s="42" t="s">
        <v>1329</v>
      </c>
      <c r="E8" s="43">
        <v>95</v>
      </c>
      <c r="F8" s="42" t="s">
        <v>840</v>
      </c>
      <c r="G8" s="42" t="s">
        <v>839</v>
      </c>
      <c r="H8" s="43">
        <v>90</v>
      </c>
      <c r="I8" s="42" t="s">
        <v>796</v>
      </c>
      <c r="J8" s="42" t="s">
        <v>795</v>
      </c>
      <c r="K8" s="43">
        <v>75</v>
      </c>
    </row>
    <row r="9" spans="1:11" ht="45" customHeight="1" x14ac:dyDescent="0.25">
      <c r="A9" s="42" t="s">
        <v>1373</v>
      </c>
      <c r="B9" s="42" t="s">
        <v>1374</v>
      </c>
      <c r="C9" s="42" t="s">
        <v>1345</v>
      </c>
      <c r="D9" s="42" t="s">
        <v>1344</v>
      </c>
      <c r="E9" s="43">
        <v>85</v>
      </c>
      <c r="F9" s="42" t="s">
        <v>946</v>
      </c>
      <c r="G9" s="42" t="s">
        <v>940</v>
      </c>
      <c r="H9" s="43">
        <v>80</v>
      </c>
      <c r="I9" s="42" t="s">
        <v>704</v>
      </c>
      <c r="J9" s="42" t="s">
        <v>703</v>
      </c>
      <c r="K9" s="43">
        <v>75</v>
      </c>
    </row>
    <row r="10" spans="1:11" ht="45" customHeight="1" x14ac:dyDescent="0.25">
      <c r="A10" s="42" t="s">
        <v>1354</v>
      </c>
      <c r="B10" s="42" t="s">
        <v>1375</v>
      </c>
      <c r="C10" s="42" t="s">
        <v>1354</v>
      </c>
      <c r="D10" s="42" t="s">
        <v>1353</v>
      </c>
      <c r="E10" s="43">
        <v>95</v>
      </c>
      <c r="F10" s="42" t="s">
        <v>1376</v>
      </c>
      <c r="G10" s="42" t="s">
        <v>1377</v>
      </c>
      <c r="H10" s="43">
        <v>85</v>
      </c>
      <c r="I10" s="42" t="s">
        <v>1003</v>
      </c>
      <c r="J10" s="42" t="s">
        <v>1002</v>
      </c>
      <c r="K10" s="43">
        <v>70</v>
      </c>
    </row>
    <row r="13" spans="1:11" ht="24.95" customHeight="1" x14ac:dyDescent="0.25">
      <c r="A13" s="219" t="s">
        <v>1378</v>
      </c>
      <c r="B13" s="139"/>
      <c r="C13" s="139"/>
      <c r="D13" s="139"/>
      <c r="E13" s="139"/>
      <c r="F13" s="139"/>
      <c r="G13" s="139"/>
      <c r="H13" s="139"/>
      <c r="I13" s="139"/>
      <c r="J13" s="139"/>
      <c r="K13" s="139"/>
    </row>
    <row r="14" spans="1:11" x14ac:dyDescent="0.25">
      <c r="A14" s="38" t="s">
        <v>1379</v>
      </c>
      <c r="B14" s="38" t="s">
        <v>1380</v>
      </c>
      <c r="C14" s="38" t="s">
        <v>249</v>
      </c>
      <c r="D14" s="38" t="s">
        <v>537</v>
      </c>
      <c r="E14" s="38" t="s">
        <v>1363</v>
      </c>
      <c r="F14" s="38" t="s">
        <v>1381</v>
      </c>
      <c r="G14" s="38" t="s">
        <v>329</v>
      </c>
      <c r="H14" s="38" t="s">
        <v>1364</v>
      </c>
      <c r="I14" s="38" t="s">
        <v>537</v>
      </c>
      <c r="J14" s="38" t="s">
        <v>1363</v>
      </c>
      <c r="K14" s="38" t="s">
        <v>1381</v>
      </c>
    </row>
    <row r="15" spans="1:11" ht="45" customHeight="1" x14ac:dyDescent="0.25">
      <c r="A15" s="42" t="s">
        <v>1382</v>
      </c>
      <c r="B15" s="42" t="s">
        <v>1383</v>
      </c>
      <c r="C15" s="42" t="s">
        <v>923</v>
      </c>
      <c r="D15" s="42" t="s">
        <v>922</v>
      </c>
      <c r="E15" s="43">
        <v>90</v>
      </c>
      <c r="F15" s="42" t="s">
        <v>698</v>
      </c>
      <c r="G15" s="42" t="s">
        <v>1384</v>
      </c>
      <c r="H15" s="42" t="s">
        <v>928</v>
      </c>
      <c r="I15" s="42" t="s">
        <v>927</v>
      </c>
      <c r="J15" s="43">
        <v>85</v>
      </c>
      <c r="K15" s="42" t="s">
        <v>924</v>
      </c>
    </row>
    <row r="16" spans="1:11" ht="30" customHeight="1" x14ac:dyDescent="0.25">
      <c r="A16" s="42" t="s">
        <v>1385</v>
      </c>
      <c r="B16" s="42" t="s">
        <v>1386</v>
      </c>
      <c r="C16" s="42" t="s">
        <v>704</v>
      </c>
      <c r="D16" s="42" t="s">
        <v>703</v>
      </c>
      <c r="E16" s="43">
        <v>95</v>
      </c>
      <c r="F16" s="42" t="s">
        <v>705</v>
      </c>
      <c r="G16" s="42" t="s">
        <v>348</v>
      </c>
      <c r="H16" s="42" t="s">
        <v>946</v>
      </c>
      <c r="I16" s="42" t="s">
        <v>940</v>
      </c>
      <c r="J16" s="43">
        <v>85</v>
      </c>
      <c r="K16" s="42" t="s">
        <v>942</v>
      </c>
    </row>
    <row r="17" spans="1:11" ht="30" customHeight="1" x14ac:dyDescent="0.25">
      <c r="A17" s="42" t="s">
        <v>1387</v>
      </c>
      <c r="B17" s="42" t="s">
        <v>1388</v>
      </c>
      <c r="C17" s="42" t="s">
        <v>796</v>
      </c>
      <c r="D17" s="42" t="s">
        <v>795</v>
      </c>
      <c r="E17" s="43">
        <v>90</v>
      </c>
      <c r="F17" s="42" t="s">
        <v>767</v>
      </c>
      <c r="G17" s="42" t="s">
        <v>1384</v>
      </c>
      <c r="H17" s="42" t="s">
        <v>870</v>
      </c>
      <c r="I17" s="42" t="s">
        <v>869</v>
      </c>
      <c r="J17" s="43">
        <v>85</v>
      </c>
      <c r="K17" s="42" t="s">
        <v>767</v>
      </c>
    </row>
    <row r="18" spans="1:11" ht="30" customHeight="1" x14ac:dyDescent="0.25">
      <c r="A18" s="42" t="s">
        <v>1389</v>
      </c>
      <c r="B18" s="42" t="s">
        <v>1390</v>
      </c>
      <c r="C18" s="42" t="s">
        <v>1003</v>
      </c>
      <c r="D18" s="42" t="s">
        <v>1002</v>
      </c>
      <c r="E18" s="43">
        <v>85</v>
      </c>
      <c r="F18" s="42" t="s">
        <v>809</v>
      </c>
      <c r="G18" s="42" t="s">
        <v>348</v>
      </c>
      <c r="H18" s="42" t="s">
        <v>1041</v>
      </c>
      <c r="I18" s="42" t="s">
        <v>1040</v>
      </c>
      <c r="J18" s="43">
        <v>80</v>
      </c>
      <c r="K18" s="42" t="s">
        <v>723</v>
      </c>
    </row>
    <row r="19" spans="1:11" ht="30" customHeight="1" x14ac:dyDescent="0.25">
      <c r="A19" s="42" t="s">
        <v>1391</v>
      </c>
      <c r="B19" s="42" t="s">
        <v>1392</v>
      </c>
      <c r="C19" s="42" t="s">
        <v>844</v>
      </c>
      <c r="D19" s="42" t="s">
        <v>843</v>
      </c>
      <c r="E19" s="43">
        <v>95</v>
      </c>
      <c r="F19" s="42" t="s">
        <v>924</v>
      </c>
      <c r="G19" s="42" t="s">
        <v>1384</v>
      </c>
      <c r="H19" s="42" t="s">
        <v>1045</v>
      </c>
      <c r="I19" s="42" t="s">
        <v>1044</v>
      </c>
      <c r="J19" s="43">
        <v>85</v>
      </c>
      <c r="K19" s="42" t="s">
        <v>784</v>
      </c>
    </row>
    <row r="22" spans="1:11" ht="24.95" customHeight="1" x14ac:dyDescent="0.25">
      <c r="A22" s="220" t="s">
        <v>1393</v>
      </c>
      <c r="B22" s="139"/>
      <c r="C22" s="139"/>
      <c r="D22" s="139"/>
      <c r="E22" s="139"/>
      <c r="F22" s="139"/>
      <c r="G22" s="139"/>
      <c r="H22" s="139"/>
      <c r="I22" s="139"/>
      <c r="J22" s="139"/>
      <c r="K22" s="139"/>
    </row>
    <row r="23" spans="1:11" x14ac:dyDescent="0.25">
      <c r="A23" s="222" t="s">
        <v>1394</v>
      </c>
      <c r="B23" s="139"/>
      <c r="C23" s="139"/>
      <c r="D23" s="139"/>
      <c r="E23" s="139"/>
      <c r="F23" s="139"/>
      <c r="G23" s="139"/>
      <c r="H23" s="139"/>
      <c r="I23" s="139"/>
      <c r="J23" s="139"/>
      <c r="K23" s="139"/>
    </row>
    <row r="25" spans="1:11" x14ac:dyDescent="0.25">
      <c r="A25" s="38" t="s">
        <v>1395</v>
      </c>
      <c r="B25" s="38" t="s">
        <v>537</v>
      </c>
      <c r="C25" s="38" t="s">
        <v>1396</v>
      </c>
      <c r="D25" s="38" t="s">
        <v>1397</v>
      </c>
      <c r="E25" s="38" t="s">
        <v>1398</v>
      </c>
      <c r="F25" s="38" t="s">
        <v>1399</v>
      </c>
      <c r="G25" s="38" t="s">
        <v>1400</v>
      </c>
      <c r="H25" s="38" t="s">
        <v>1401</v>
      </c>
      <c r="I25" s="38" t="s">
        <v>1402</v>
      </c>
      <c r="J25" s="38" t="s">
        <v>329</v>
      </c>
      <c r="K25" s="38" t="s">
        <v>1403</v>
      </c>
    </row>
    <row r="26" spans="1:11" ht="45" customHeight="1" x14ac:dyDescent="0.25">
      <c r="A26" s="42" t="s">
        <v>1404</v>
      </c>
      <c r="B26" s="42" t="s">
        <v>1338</v>
      </c>
      <c r="C26" s="42" t="s">
        <v>1405</v>
      </c>
      <c r="D26" s="42" t="s">
        <v>927</v>
      </c>
      <c r="E26" s="42" t="s">
        <v>922</v>
      </c>
      <c r="F26" s="42" t="s">
        <v>961</v>
      </c>
      <c r="G26" s="42" t="s">
        <v>747</v>
      </c>
      <c r="H26" s="42" t="s">
        <v>917</v>
      </c>
      <c r="I26" s="42" t="s">
        <v>1406</v>
      </c>
      <c r="J26" s="42" t="s">
        <v>1407</v>
      </c>
      <c r="K26" s="42" t="s">
        <v>1408</v>
      </c>
    </row>
    <row r="27" spans="1:11" ht="30" customHeight="1" x14ac:dyDescent="0.25">
      <c r="A27" s="42" t="s">
        <v>1370</v>
      </c>
      <c r="B27" s="42" t="s">
        <v>1329</v>
      </c>
      <c r="C27" s="42" t="s">
        <v>1409</v>
      </c>
      <c r="D27" s="42" t="s">
        <v>839</v>
      </c>
      <c r="E27" s="42" t="s">
        <v>795</v>
      </c>
      <c r="F27" s="42" t="s">
        <v>897</v>
      </c>
      <c r="G27" s="42" t="s">
        <v>807</v>
      </c>
      <c r="H27" s="42" t="s">
        <v>816</v>
      </c>
      <c r="I27" s="42" t="s">
        <v>361</v>
      </c>
      <c r="J27" s="42" t="s">
        <v>1410</v>
      </c>
      <c r="K27" s="42" t="s">
        <v>1411</v>
      </c>
    </row>
    <row r="28" spans="1:11" ht="45" customHeight="1" x14ac:dyDescent="0.25">
      <c r="A28" s="42" t="s">
        <v>1318</v>
      </c>
      <c r="B28" s="42" t="s">
        <v>1317</v>
      </c>
      <c r="C28" s="42" t="s">
        <v>1412</v>
      </c>
      <c r="D28" s="42" t="s">
        <v>816</v>
      </c>
      <c r="E28" s="42" t="s">
        <v>830</v>
      </c>
      <c r="F28" s="42" t="s">
        <v>835</v>
      </c>
      <c r="G28" s="42" t="s">
        <v>807</v>
      </c>
      <c r="H28" s="42" t="s">
        <v>861</v>
      </c>
      <c r="I28" s="42" t="s">
        <v>1406</v>
      </c>
      <c r="J28" s="42" t="s">
        <v>1413</v>
      </c>
      <c r="K28" s="42" t="s">
        <v>1414</v>
      </c>
    </row>
    <row r="29" spans="1:11" ht="30" customHeight="1" x14ac:dyDescent="0.25">
      <c r="A29" s="42" t="s">
        <v>1324</v>
      </c>
      <c r="B29" s="42" t="s">
        <v>1323</v>
      </c>
      <c r="C29" s="42" t="s">
        <v>1415</v>
      </c>
      <c r="D29" s="42" t="s">
        <v>774</v>
      </c>
      <c r="E29" s="42" t="s">
        <v>778</v>
      </c>
      <c r="F29" s="42" t="s">
        <v>715</v>
      </c>
      <c r="G29" s="42" t="s">
        <v>703</v>
      </c>
      <c r="H29" s="42" t="s">
        <v>799</v>
      </c>
      <c r="I29" s="42" t="s">
        <v>346</v>
      </c>
      <c r="J29" s="42" t="s">
        <v>1416</v>
      </c>
      <c r="K29" s="42" t="s">
        <v>1417</v>
      </c>
    </row>
    <row r="30" spans="1:11" ht="45" customHeight="1" x14ac:dyDescent="0.25">
      <c r="A30" s="42" t="s">
        <v>1354</v>
      </c>
      <c r="B30" s="42" t="s">
        <v>1353</v>
      </c>
      <c r="C30" s="42" t="s">
        <v>1418</v>
      </c>
      <c r="D30" s="42" t="s">
        <v>1377</v>
      </c>
      <c r="E30" s="42" t="s">
        <v>1002</v>
      </c>
      <c r="F30" s="42" t="s">
        <v>807</v>
      </c>
      <c r="G30" s="42" t="s">
        <v>752</v>
      </c>
      <c r="H30" s="42" t="s">
        <v>839</v>
      </c>
      <c r="I30" s="42" t="s">
        <v>361</v>
      </c>
      <c r="J30" s="42" t="s">
        <v>1419</v>
      </c>
      <c r="K30" s="42" t="s">
        <v>1420</v>
      </c>
    </row>
    <row r="33" spans="1:11" ht="15.75" customHeight="1" x14ac:dyDescent="0.25">
      <c r="A33" s="218" t="s">
        <v>1421</v>
      </c>
      <c r="B33" s="139"/>
      <c r="C33" s="139"/>
      <c r="D33" s="139"/>
      <c r="E33" s="139"/>
      <c r="F33" s="139"/>
      <c r="G33" s="139"/>
      <c r="H33" s="139"/>
      <c r="I33" s="139"/>
      <c r="J33" s="139"/>
      <c r="K33" s="139"/>
    </row>
    <row r="34" spans="1:11" ht="24.95" customHeight="1" x14ac:dyDescent="0.25">
      <c r="A34" s="216" t="s">
        <v>1422</v>
      </c>
      <c r="B34" s="139"/>
      <c r="C34" s="139"/>
      <c r="D34" s="139"/>
      <c r="E34" s="139"/>
      <c r="F34" s="139"/>
      <c r="G34" s="139"/>
      <c r="H34" s="139"/>
      <c r="I34" s="139"/>
      <c r="J34" s="139"/>
      <c r="K34" s="139"/>
    </row>
    <row r="35" spans="1:11" ht="24.95" customHeight="1" x14ac:dyDescent="0.25">
      <c r="A35" s="216" t="s">
        <v>1423</v>
      </c>
      <c r="B35" s="139"/>
      <c r="C35" s="139"/>
      <c r="D35" s="139"/>
      <c r="E35" s="139"/>
      <c r="F35" s="139"/>
      <c r="G35" s="139"/>
      <c r="H35" s="139"/>
      <c r="I35" s="139"/>
      <c r="J35" s="139"/>
      <c r="K35" s="139"/>
    </row>
    <row r="36" spans="1:11" ht="24.95" customHeight="1" x14ac:dyDescent="0.25">
      <c r="A36" s="216" t="s">
        <v>1424</v>
      </c>
      <c r="B36" s="139"/>
      <c r="C36" s="139"/>
      <c r="D36" s="139"/>
      <c r="E36" s="139"/>
      <c r="F36" s="139"/>
      <c r="G36" s="139"/>
      <c r="H36" s="139"/>
      <c r="I36" s="139"/>
      <c r="J36" s="139"/>
      <c r="K36" s="139"/>
    </row>
    <row r="37" spans="1:11" ht="24.95" customHeight="1" x14ac:dyDescent="0.25">
      <c r="A37" s="216" t="s">
        <v>1425</v>
      </c>
      <c r="B37" s="139"/>
      <c r="C37" s="139"/>
      <c r="D37" s="139"/>
      <c r="E37" s="139"/>
      <c r="F37" s="139"/>
      <c r="G37" s="139"/>
      <c r="H37" s="139"/>
      <c r="I37" s="139"/>
      <c r="J37" s="139"/>
      <c r="K37" s="139"/>
    </row>
    <row r="38" spans="1:11" ht="24.95" customHeight="1" x14ac:dyDescent="0.25">
      <c r="A38" s="216" t="s">
        <v>1426</v>
      </c>
      <c r="B38" s="139"/>
      <c r="C38" s="139"/>
      <c r="D38" s="139"/>
      <c r="E38" s="139"/>
      <c r="F38" s="139"/>
      <c r="G38" s="139"/>
      <c r="H38" s="139"/>
      <c r="I38" s="139"/>
      <c r="J38" s="139"/>
      <c r="K38" s="139"/>
    </row>
    <row r="39" spans="1:11" ht="24.95" customHeight="1" x14ac:dyDescent="0.25">
      <c r="A39" s="216" t="s">
        <v>1427</v>
      </c>
      <c r="B39" s="139"/>
      <c r="C39" s="139"/>
      <c r="D39" s="139"/>
      <c r="E39" s="139"/>
      <c r="F39" s="139"/>
      <c r="G39" s="139"/>
      <c r="H39" s="139"/>
      <c r="I39" s="139"/>
      <c r="J39" s="139"/>
      <c r="K39" s="139"/>
    </row>
  </sheetData>
  <mergeCells count="13">
    <mergeCell ref="A1:K1"/>
    <mergeCell ref="A37:K37"/>
    <mergeCell ref="A39:K39"/>
    <mergeCell ref="A36:K36"/>
    <mergeCell ref="A38:K38"/>
    <mergeCell ref="A2:K2"/>
    <mergeCell ref="A33:K33"/>
    <mergeCell ref="A13:K13"/>
    <mergeCell ref="A22:K22"/>
    <mergeCell ref="A34:K34"/>
    <mergeCell ref="A35:K35"/>
    <mergeCell ref="A4:K4"/>
    <mergeCell ref="A23:K23"/>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50"/>
  <dimension ref="A1:E41"/>
  <sheetViews>
    <sheetView topLeftCell="A6" workbookViewId="0">
      <selection sqref="A1:E1"/>
    </sheetView>
  </sheetViews>
  <sheetFormatPr baseColWidth="10" defaultColWidth="9.140625" defaultRowHeight="15" x14ac:dyDescent="0.25"/>
  <cols>
    <col min="1" max="1" width="15" customWidth="1"/>
    <col min="2" max="2" width="35" customWidth="1"/>
    <col min="3" max="3" width="50" customWidth="1"/>
    <col min="4" max="4" width="12" customWidth="1"/>
    <col min="5" max="5" width="40" customWidth="1"/>
  </cols>
  <sheetData>
    <row r="1" spans="1:5" ht="30" customHeight="1" x14ac:dyDescent="0.25">
      <c r="A1" s="215" t="s">
        <v>1428</v>
      </c>
      <c r="B1" s="139"/>
      <c r="C1" s="139"/>
      <c r="D1" s="139"/>
      <c r="E1" s="139"/>
    </row>
    <row r="2" spans="1:5" x14ac:dyDescent="0.25">
      <c r="A2" s="217" t="s">
        <v>1429</v>
      </c>
      <c r="B2" s="139"/>
      <c r="C2" s="139"/>
      <c r="D2" s="139"/>
      <c r="E2" s="139"/>
    </row>
    <row r="4" spans="1:5" x14ac:dyDescent="0.25">
      <c r="A4" s="223" t="s">
        <v>1430</v>
      </c>
      <c r="B4" s="139"/>
      <c r="C4" s="139"/>
      <c r="D4" s="139"/>
      <c r="E4" s="139"/>
    </row>
    <row r="5" spans="1:5" x14ac:dyDescent="0.25">
      <c r="A5" s="38" t="s">
        <v>1431</v>
      </c>
      <c r="B5" s="38" t="s">
        <v>1432</v>
      </c>
      <c r="C5" s="38" t="s">
        <v>1433</v>
      </c>
      <c r="D5" s="38" t="s">
        <v>1402</v>
      </c>
      <c r="E5" s="38" t="s">
        <v>542</v>
      </c>
    </row>
    <row r="6" spans="1:5" ht="30" customHeight="1" x14ac:dyDescent="0.25">
      <c r="A6" s="36" t="s">
        <v>1338</v>
      </c>
      <c r="B6" s="36" t="s">
        <v>1434</v>
      </c>
      <c r="C6" s="36" t="s">
        <v>1435</v>
      </c>
      <c r="D6" s="36" t="s">
        <v>361</v>
      </c>
      <c r="E6" s="36" t="s">
        <v>1436</v>
      </c>
    </row>
    <row r="7" spans="1:5" ht="30" customHeight="1" x14ac:dyDescent="0.25">
      <c r="A7" s="36" t="s">
        <v>1329</v>
      </c>
      <c r="B7" s="36" t="s">
        <v>1437</v>
      </c>
      <c r="C7" s="36" t="s">
        <v>1438</v>
      </c>
      <c r="D7" s="36" t="s">
        <v>361</v>
      </c>
      <c r="E7" s="36" t="s">
        <v>1439</v>
      </c>
    </row>
    <row r="8" spans="1:5" ht="30" customHeight="1" x14ac:dyDescent="0.25">
      <c r="A8" s="36" t="s">
        <v>1353</v>
      </c>
      <c r="B8" s="36" t="s">
        <v>1440</v>
      </c>
      <c r="C8" s="36" t="s">
        <v>1441</v>
      </c>
      <c r="D8" s="36" t="s">
        <v>346</v>
      </c>
      <c r="E8" s="36" t="s">
        <v>1442</v>
      </c>
    </row>
    <row r="9" spans="1:5" x14ac:dyDescent="0.25">
      <c r="A9" s="36" t="s">
        <v>1341</v>
      </c>
      <c r="B9" s="36" t="s">
        <v>1443</v>
      </c>
      <c r="C9" s="36" t="s">
        <v>1444</v>
      </c>
      <c r="D9" s="36" t="s">
        <v>361</v>
      </c>
      <c r="E9" s="36" t="s">
        <v>1445</v>
      </c>
    </row>
    <row r="10" spans="1:5" ht="30" customHeight="1" x14ac:dyDescent="0.25">
      <c r="A10" s="36" t="s">
        <v>1317</v>
      </c>
      <c r="B10" s="36" t="s">
        <v>1446</v>
      </c>
      <c r="C10" s="36" t="s">
        <v>1447</v>
      </c>
      <c r="D10" s="36" t="s">
        <v>361</v>
      </c>
      <c r="E10" s="36" t="s">
        <v>1448</v>
      </c>
    </row>
    <row r="11" spans="1:5" ht="30" customHeight="1" x14ac:dyDescent="0.25">
      <c r="A11" s="36" t="s">
        <v>1344</v>
      </c>
      <c r="B11" s="36" t="s">
        <v>1449</v>
      </c>
      <c r="C11" s="36" t="s">
        <v>1450</v>
      </c>
      <c r="D11" s="36" t="s">
        <v>346</v>
      </c>
      <c r="E11" s="36" t="s">
        <v>1451</v>
      </c>
    </row>
    <row r="12" spans="1:5" ht="30" customHeight="1" x14ac:dyDescent="0.25">
      <c r="A12" s="36" t="s">
        <v>1323</v>
      </c>
      <c r="B12" s="36" t="s">
        <v>1452</v>
      </c>
      <c r="C12" s="36" t="s">
        <v>1453</v>
      </c>
      <c r="D12" s="36" t="s">
        <v>346</v>
      </c>
      <c r="E12" s="36" t="s">
        <v>1454</v>
      </c>
    </row>
    <row r="13" spans="1:5" x14ac:dyDescent="0.25">
      <c r="A13" s="36" t="s">
        <v>1314</v>
      </c>
      <c r="B13" s="36" t="s">
        <v>1315</v>
      </c>
      <c r="C13" s="36" t="s">
        <v>1455</v>
      </c>
      <c r="D13" s="36" t="s">
        <v>346</v>
      </c>
      <c r="E13" s="36" t="s">
        <v>1456</v>
      </c>
    </row>
    <row r="14" spans="1:5" x14ac:dyDescent="0.25">
      <c r="A14" s="36" t="s">
        <v>1332</v>
      </c>
      <c r="B14" s="36" t="s">
        <v>1457</v>
      </c>
      <c r="C14" s="36" t="s">
        <v>1458</v>
      </c>
      <c r="D14" s="36" t="s">
        <v>1459</v>
      </c>
      <c r="E14" s="36" t="s">
        <v>1460</v>
      </c>
    </row>
    <row r="15" spans="1:5" x14ac:dyDescent="0.25">
      <c r="A15" s="36" t="s">
        <v>1320</v>
      </c>
      <c r="B15" s="36" t="s">
        <v>1461</v>
      </c>
      <c r="C15" s="36" t="s">
        <v>1462</v>
      </c>
      <c r="D15" s="36" t="s">
        <v>1459</v>
      </c>
      <c r="E15" s="36" t="s">
        <v>1463</v>
      </c>
    </row>
    <row r="16" spans="1:5" x14ac:dyDescent="0.25">
      <c r="A16" s="36" t="s">
        <v>1350</v>
      </c>
      <c r="B16" s="36" t="s">
        <v>1464</v>
      </c>
      <c r="C16" s="36" t="s">
        <v>1465</v>
      </c>
      <c r="D16" s="36" t="s">
        <v>1459</v>
      </c>
      <c r="E16" s="36" t="s">
        <v>1466</v>
      </c>
    </row>
    <row r="17" spans="1:5" x14ac:dyDescent="0.25">
      <c r="A17" s="36" t="s">
        <v>1326</v>
      </c>
      <c r="B17" s="36" t="s">
        <v>1467</v>
      </c>
      <c r="C17" s="36" t="s">
        <v>1468</v>
      </c>
      <c r="D17" s="36" t="s">
        <v>1459</v>
      </c>
      <c r="E17" s="36" t="s">
        <v>1469</v>
      </c>
    </row>
    <row r="20" spans="1:5" x14ac:dyDescent="0.25">
      <c r="A20" s="224" t="s">
        <v>1470</v>
      </c>
      <c r="B20" s="139"/>
      <c r="C20" s="139"/>
      <c r="D20" s="139"/>
      <c r="E20" s="139"/>
    </row>
    <row r="21" spans="1:5" x14ac:dyDescent="0.25">
      <c r="A21" s="38" t="s">
        <v>1471</v>
      </c>
      <c r="B21" s="38" t="s">
        <v>687</v>
      </c>
      <c r="C21" s="38" t="s">
        <v>1433</v>
      </c>
      <c r="D21" s="38" t="s">
        <v>1381</v>
      </c>
      <c r="E21" s="38" t="s">
        <v>329</v>
      </c>
    </row>
    <row r="22" spans="1:5" ht="30" customHeight="1" x14ac:dyDescent="0.25">
      <c r="A22" s="36" t="s">
        <v>703</v>
      </c>
      <c r="B22" s="36" t="s">
        <v>704</v>
      </c>
      <c r="C22" s="36" t="s">
        <v>1472</v>
      </c>
      <c r="D22" s="36" t="s">
        <v>705</v>
      </c>
      <c r="E22" s="36" t="s">
        <v>348</v>
      </c>
    </row>
    <row r="23" spans="1:5" ht="30" customHeight="1" x14ac:dyDescent="0.25">
      <c r="A23" s="36" t="s">
        <v>922</v>
      </c>
      <c r="B23" s="36" t="s">
        <v>923</v>
      </c>
      <c r="C23" s="36" t="s">
        <v>1473</v>
      </c>
      <c r="D23" s="36" t="s">
        <v>1474</v>
      </c>
      <c r="E23" s="36" t="s">
        <v>1384</v>
      </c>
    </row>
    <row r="24" spans="1:5" ht="30" customHeight="1" x14ac:dyDescent="0.25">
      <c r="A24" s="36" t="s">
        <v>927</v>
      </c>
      <c r="B24" s="36" t="s">
        <v>928</v>
      </c>
      <c r="C24" s="36" t="s">
        <v>1475</v>
      </c>
      <c r="D24" s="36" t="s">
        <v>924</v>
      </c>
      <c r="E24" s="36" t="s">
        <v>1384</v>
      </c>
    </row>
    <row r="25" spans="1:5" ht="30" customHeight="1" x14ac:dyDescent="0.25">
      <c r="A25" s="36" t="s">
        <v>710</v>
      </c>
      <c r="B25" s="36" t="s">
        <v>711</v>
      </c>
      <c r="C25" s="36" t="s">
        <v>1476</v>
      </c>
      <c r="D25" s="36" t="s">
        <v>1474</v>
      </c>
      <c r="E25" s="36" t="s">
        <v>348</v>
      </c>
    </row>
    <row r="26" spans="1:5" ht="30" customHeight="1" x14ac:dyDescent="0.25">
      <c r="A26" s="36" t="s">
        <v>807</v>
      </c>
      <c r="B26" s="36" t="s">
        <v>808</v>
      </c>
      <c r="C26" s="36" t="s">
        <v>1477</v>
      </c>
      <c r="D26" s="36" t="s">
        <v>809</v>
      </c>
      <c r="E26" s="36" t="s">
        <v>1478</v>
      </c>
    </row>
    <row r="27" spans="1:5" ht="30" customHeight="1" x14ac:dyDescent="0.25">
      <c r="A27" s="36" t="s">
        <v>816</v>
      </c>
      <c r="B27" s="36" t="s">
        <v>817</v>
      </c>
      <c r="C27" s="36" t="s">
        <v>1479</v>
      </c>
      <c r="D27" s="36" t="s">
        <v>809</v>
      </c>
      <c r="E27" s="36" t="s">
        <v>348</v>
      </c>
    </row>
    <row r="28" spans="1:5" ht="30" customHeight="1" x14ac:dyDescent="0.25">
      <c r="A28" s="36" t="s">
        <v>835</v>
      </c>
      <c r="B28" s="36" t="s">
        <v>836</v>
      </c>
      <c r="C28" s="36" t="s">
        <v>1480</v>
      </c>
      <c r="D28" s="36" t="s">
        <v>809</v>
      </c>
      <c r="E28" s="36" t="s">
        <v>1478</v>
      </c>
    </row>
    <row r="29" spans="1:5" ht="30" customHeight="1" x14ac:dyDescent="0.25">
      <c r="A29" s="36" t="s">
        <v>843</v>
      </c>
      <c r="B29" s="36" t="s">
        <v>844</v>
      </c>
      <c r="C29" s="36" t="s">
        <v>1481</v>
      </c>
      <c r="D29" s="36" t="s">
        <v>924</v>
      </c>
      <c r="E29" s="36" t="s">
        <v>1384</v>
      </c>
    </row>
    <row r="30" spans="1:5" ht="30" customHeight="1" x14ac:dyDescent="0.25">
      <c r="A30" s="36" t="s">
        <v>1002</v>
      </c>
      <c r="B30" s="36" t="s">
        <v>1003</v>
      </c>
      <c r="C30" s="36" t="s">
        <v>1482</v>
      </c>
      <c r="D30" s="36" t="s">
        <v>809</v>
      </c>
      <c r="E30" s="36" t="s">
        <v>348</v>
      </c>
    </row>
    <row r="31" spans="1:5" ht="30" customHeight="1" x14ac:dyDescent="0.25">
      <c r="A31" s="36" t="s">
        <v>747</v>
      </c>
      <c r="B31" s="36" t="s">
        <v>748</v>
      </c>
      <c r="C31" s="36" t="s">
        <v>1483</v>
      </c>
      <c r="D31" s="36" t="s">
        <v>723</v>
      </c>
      <c r="E31" s="36" t="s">
        <v>348</v>
      </c>
    </row>
    <row r="32" spans="1:5" x14ac:dyDescent="0.25">
      <c r="A32" s="36" t="s">
        <v>752</v>
      </c>
      <c r="B32" s="36" t="s">
        <v>753</v>
      </c>
      <c r="C32" s="36" t="s">
        <v>1484</v>
      </c>
      <c r="D32" s="36" t="s">
        <v>723</v>
      </c>
      <c r="E32" s="36" t="s">
        <v>1478</v>
      </c>
    </row>
    <row r="33" spans="1:5" x14ac:dyDescent="0.25">
      <c r="A33" s="36" t="s">
        <v>839</v>
      </c>
      <c r="B33" s="36" t="s">
        <v>840</v>
      </c>
      <c r="C33" s="36" t="s">
        <v>1485</v>
      </c>
      <c r="D33" s="36" t="s">
        <v>723</v>
      </c>
      <c r="E33" s="36" t="s">
        <v>1478</v>
      </c>
    </row>
    <row r="34" spans="1:5" ht="30" customHeight="1" x14ac:dyDescent="0.25">
      <c r="A34" s="36" t="s">
        <v>795</v>
      </c>
      <c r="B34" s="36" t="s">
        <v>796</v>
      </c>
      <c r="C34" s="36" t="s">
        <v>1486</v>
      </c>
      <c r="D34" s="36" t="s">
        <v>767</v>
      </c>
      <c r="E34" s="36" t="s">
        <v>348</v>
      </c>
    </row>
    <row r="35" spans="1:5" ht="30" customHeight="1" x14ac:dyDescent="0.25">
      <c r="A35" s="36" t="s">
        <v>869</v>
      </c>
      <c r="B35" s="36" t="s">
        <v>870</v>
      </c>
      <c r="C35" s="36" t="s">
        <v>1487</v>
      </c>
      <c r="D35" s="36" t="s">
        <v>767</v>
      </c>
      <c r="E35" s="36" t="s">
        <v>1384</v>
      </c>
    </row>
    <row r="36" spans="1:5" ht="30" customHeight="1" x14ac:dyDescent="0.25">
      <c r="A36" s="36" t="s">
        <v>787</v>
      </c>
      <c r="B36" s="36" t="s">
        <v>788</v>
      </c>
      <c r="C36" s="36" t="s">
        <v>1488</v>
      </c>
      <c r="D36" s="36" t="s">
        <v>767</v>
      </c>
      <c r="E36" s="36" t="s">
        <v>1384</v>
      </c>
    </row>
    <row r="37" spans="1:5" ht="30" customHeight="1" x14ac:dyDescent="0.25">
      <c r="A37" s="36" t="s">
        <v>940</v>
      </c>
      <c r="B37" s="36" t="s">
        <v>946</v>
      </c>
      <c r="C37" s="36" t="s">
        <v>1489</v>
      </c>
      <c r="D37" s="36" t="s">
        <v>942</v>
      </c>
      <c r="E37" s="36" t="s">
        <v>1478</v>
      </c>
    </row>
    <row r="38" spans="1:5" ht="30" customHeight="1" x14ac:dyDescent="0.25">
      <c r="A38" s="36" t="s">
        <v>715</v>
      </c>
      <c r="B38" s="36" t="s">
        <v>716</v>
      </c>
      <c r="C38" s="36" t="s">
        <v>1490</v>
      </c>
      <c r="D38" s="36" t="s">
        <v>705</v>
      </c>
      <c r="E38" s="36" t="s">
        <v>1478</v>
      </c>
    </row>
    <row r="39" spans="1:5" ht="30" customHeight="1" x14ac:dyDescent="0.25">
      <c r="A39" s="36" t="s">
        <v>917</v>
      </c>
      <c r="B39" s="36" t="s">
        <v>918</v>
      </c>
      <c r="C39" s="36" t="s">
        <v>1491</v>
      </c>
      <c r="D39" s="36" t="s">
        <v>1492</v>
      </c>
      <c r="E39" s="36" t="s">
        <v>348</v>
      </c>
    </row>
    <row r="40" spans="1:5" ht="30" customHeight="1" x14ac:dyDescent="0.25">
      <c r="A40" s="36" t="s">
        <v>830</v>
      </c>
      <c r="B40" s="36" t="s">
        <v>1493</v>
      </c>
      <c r="C40" s="36" t="s">
        <v>1494</v>
      </c>
      <c r="D40" s="36" t="s">
        <v>784</v>
      </c>
      <c r="E40" s="36" t="s">
        <v>348</v>
      </c>
    </row>
    <row r="41" spans="1:5" ht="30" customHeight="1" x14ac:dyDescent="0.25">
      <c r="A41" s="36" t="s">
        <v>1044</v>
      </c>
      <c r="B41" s="36" t="s">
        <v>1045</v>
      </c>
      <c r="C41" s="36" t="s">
        <v>1495</v>
      </c>
      <c r="D41" s="36" t="s">
        <v>784</v>
      </c>
      <c r="E41" s="36" t="s">
        <v>1478</v>
      </c>
    </row>
  </sheetData>
  <mergeCells count="4">
    <mergeCell ref="A2:E2"/>
    <mergeCell ref="A1:E1"/>
    <mergeCell ref="A4:E4"/>
    <mergeCell ref="A20:E20"/>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51"/>
  <dimension ref="A1:F44"/>
  <sheetViews>
    <sheetView workbookViewId="0">
      <selection sqref="A1:F1"/>
    </sheetView>
  </sheetViews>
  <sheetFormatPr baseColWidth="10" defaultColWidth="9.140625" defaultRowHeight="15" x14ac:dyDescent="0.25"/>
  <cols>
    <col min="1" max="1" width="15" customWidth="1"/>
    <col min="2" max="2" width="80" customWidth="1"/>
  </cols>
  <sheetData>
    <row r="1" spans="1:6" ht="30" customHeight="1" x14ac:dyDescent="0.25">
      <c r="A1" s="215" t="s">
        <v>1496</v>
      </c>
      <c r="B1" s="139"/>
      <c r="C1" s="139"/>
      <c r="D1" s="139"/>
      <c r="E1" s="139"/>
      <c r="F1" s="139"/>
    </row>
    <row r="4" spans="1:6" ht="24.95" customHeight="1" x14ac:dyDescent="0.25">
      <c r="A4" s="220" t="s">
        <v>1497</v>
      </c>
      <c r="B4" s="139"/>
      <c r="C4" s="139"/>
      <c r="D4" s="139"/>
      <c r="E4" s="139"/>
      <c r="F4" s="139"/>
    </row>
    <row r="5" spans="1:6" ht="20.100000000000001" customHeight="1" x14ac:dyDescent="0.25">
      <c r="B5" s="225" t="s">
        <v>1498</v>
      </c>
      <c r="C5" s="139"/>
      <c r="D5" s="139"/>
      <c r="E5" s="139"/>
      <c r="F5" s="139"/>
    </row>
    <row r="6" spans="1:6" ht="20.100000000000001" customHeight="1" x14ac:dyDescent="0.25">
      <c r="B6" s="225" t="s">
        <v>1499</v>
      </c>
      <c r="C6" s="139"/>
      <c r="D6" s="139"/>
      <c r="E6" s="139"/>
      <c r="F6" s="139"/>
    </row>
    <row r="7" spans="1:6" ht="20.100000000000001" customHeight="1" x14ac:dyDescent="0.25">
      <c r="B7" s="225" t="s">
        <v>1500</v>
      </c>
      <c r="C7" s="139"/>
      <c r="D7" s="139"/>
      <c r="E7" s="139"/>
      <c r="F7" s="139"/>
    </row>
    <row r="9" spans="1:6" ht="20.100000000000001" customHeight="1" x14ac:dyDescent="0.25">
      <c r="B9" s="225" t="s">
        <v>1501</v>
      </c>
      <c r="C9" s="139"/>
      <c r="D9" s="139"/>
      <c r="E9" s="139"/>
      <c r="F9" s="139"/>
    </row>
    <row r="11" spans="1:6" ht="24.95" customHeight="1" x14ac:dyDescent="0.25">
      <c r="A11" s="220" t="s">
        <v>1502</v>
      </c>
      <c r="B11" s="139"/>
      <c r="C11" s="139"/>
      <c r="D11" s="139"/>
      <c r="E11" s="139"/>
      <c r="F11" s="139"/>
    </row>
    <row r="12" spans="1:6" ht="20.100000000000001" customHeight="1" x14ac:dyDescent="0.25">
      <c r="A12" t="s">
        <v>1503</v>
      </c>
      <c r="B12" s="225" t="s">
        <v>1504</v>
      </c>
      <c r="C12" s="139"/>
      <c r="D12" s="139"/>
      <c r="E12" s="139"/>
      <c r="F12" s="139"/>
    </row>
    <row r="13" spans="1:6" ht="20.100000000000001" customHeight="1" x14ac:dyDescent="0.25">
      <c r="A13" t="s">
        <v>1505</v>
      </c>
      <c r="B13" s="225" t="s">
        <v>1506</v>
      </c>
      <c r="C13" s="139"/>
      <c r="D13" s="139"/>
      <c r="E13" s="139"/>
      <c r="F13" s="139"/>
    </row>
    <row r="14" spans="1:6" ht="20.100000000000001" customHeight="1" x14ac:dyDescent="0.25">
      <c r="A14" t="s">
        <v>1507</v>
      </c>
      <c r="B14" s="225" t="s">
        <v>1508</v>
      </c>
      <c r="C14" s="139"/>
      <c r="D14" s="139"/>
      <c r="E14" s="139"/>
      <c r="F14" s="139"/>
    </row>
    <row r="15" spans="1:6" ht="20.100000000000001" customHeight="1" x14ac:dyDescent="0.25">
      <c r="A15" t="s">
        <v>1509</v>
      </c>
      <c r="B15" s="225" t="s">
        <v>1510</v>
      </c>
      <c r="C15" s="139"/>
      <c r="D15" s="139"/>
      <c r="E15" s="139"/>
      <c r="F15" s="139"/>
    </row>
    <row r="17" spans="1:6" ht="24.95" customHeight="1" x14ac:dyDescent="0.25">
      <c r="A17" s="220" t="s">
        <v>1511</v>
      </c>
      <c r="B17" s="139"/>
      <c r="C17" s="139"/>
      <c r="D17" s="139"/>
      <c r="E17" s="139"/>
      <c r="F17" s="139"/>
    </row>
    <row r="18" spans="1:6" ht="20.100000000000001" customHeight="1" x14ac:dyDescent="0.25">
      <c r="A18" t="s">
        <v>1503</v>
      </c>
      <c r="B18" s="225" t="s">
        <v>1512</v>
      </c>
      <c r="C18" s="139"/>
      <c r="D18" s="139"/>
      <c r="E18" s="139"/>
      <c r="F18" s="139"/>
    </row>
    <row r="19" spans="1:6" ht="20.100000000000001" customHeight="1" x14ac:dyDescent="0.25">
      <c r="A19" t="s">
        <v>1505</v>
      </c>
      <c r="B19" s="225" t="s">
        <v>1513</v>
      </c>
      <c r="C19" s="139"/>
      <c r="D19" s="139"/>
      <c r="E19" s="139"/>
      <c r="F19" s="139"/>
    </row>
    <row r="20" spans="1:6" ht="20.100000000000001" customHeight="1" x14ac:dyDescent="0.25">
      <c r="A20" t="s">
        <v>1507</v>
      </c>
      <c r="B20" s="225" t="s">
        <v>1514</v>
      </c>
      <c r="C20" s="139"/>
      <c r="D20" s="139"/>
      <c r="E20" s="139"/>
      <c r="F20" s="139"/>
    </row>
    <row r="21" spans="1:6" ht="20.100000000000001" customHeight="1" x14ac:dyDescent="0.25">
      <c r="A21" t="s">
        <v>1509</v>
      </c>
      <c r="B21" s="225" t="s">
        <v>1515</v>
      </c>
      <c r="C21" s="139"/>
      <c r="D21" s="139"/>
      <c r="E21" s="139"/>
      <c r="F21" s="139"/>
    </row>
    <row r="23" spans="1:6" ht="24.95" customHeight="1" x14ac:dyDescent="0.25">
      <c r="A23" s="220" t="s">
        <v>1516</v>
      </c>
      <c r="B23" s="139"/>
      <c r="C23" s="139"/>
      <c r="D23" s="139"/>
      <c r="E23" s="139"/>
      <c r="F23" s="139"/>
    </row>
    <row r="24" spans="1:6" ht="20.100000000000001" customHeight="1" x14ac:dyDescent="0.25">
      <c r="B24" s="225" t="s">
        <v>1517</v>
      </c>
      <c r="C24" s="139"/>
      <c r="D24" s="139"/>
      <c r="E24" s="139"/>
      <c r="F24" s="139"/>
    </row>
    <row r="25" spans="1:6" ht="20.100000000000001" customHeight="1" x14ac:dyDescent="0.25">
      <c r="A25" t="s">
        <v>1518</v>
      </c>
      <c r="B25" s="225" t="s">
        <v>1519</v>
      </c>
      <c r="C25" s="139"/>
      <c r="D25" s="139"/>
      <c r="E25" s="139"/>
      <c r="F25" s="139"/>
    </row>
    <row r="26" spans="1:6" ht="20.100000000000001" customHeight="1" x14ac:dyDescent="0.25">
      <c r="A26" t="s">
        <v>1520</v>
      </c>
      <c r="B26" s="225" t="s">
        <v>1521</v>
      </c>
      <c r="C26" s="139"/>
      <c r="D26" s="139"/>
      <c r="E26" s="139"/>
      <c r="F26" s="139"/>
    </row>
    <row r="28" spans="1:6" ht="24.95" customHeight="1" x14ac:dyDescent="0.25">
      <c r="A28" s="220" t="s">
        <v>1522</v>
      </c>
      <c r="B28" s="139"/>
      <c r="C28" s="139"/>
      <c r="D28" s="139"/>
      <c r="E28" s="139"/>
      <c r="F28" s="139"/>
    </row>
    <row r="29" spans="1:6" ht="20.100000000000001" customHeight="1" x14ac:dyDescent="0.25">
      <c r="A29" t="s">
        <v>1523</v>
      </c>
      <c r="B29" s="225" t="s">
        <v>1524</v>
      </c>
      <c r="C29" s="139"/>
      <c r="D29" s="139"/>
      <c r="E29" s="139"/>
      <c r="F29" s="139"/>
    </row>
    <row r="30" spans="1:6" ht="20.100000000000001" customHeight="1" x14ac:dyDescent="0.25">
      <c r="A30" t="s">
        <v>1525</v>
      </c>
      <c r="B30" s="225" t="s">
        <v>1526</v>
      </c>
      <c r="C30" s="139"/>
      <c r="D30" s="139"/>
      <c r="E30" s="139"/>
      <c r="F30" s="139"/>
    </row>
    <row r="31" spans="1:6" ht="20.100000000000001" customHeight="1" x14ac:dyDescent="0.25">
      <c r="A31" t="s">
        <v>1527</v>
      </c>
      <c r="B31" s="225" t="s">
        <v>1528</v>
      </c>
      <c r="C31" s="139"/>
      <c r="D31" s="139"/>
      <c r="E31" s="139"/>
      <c r="F31" s="139"/>
    </row>
    <row r="32" spans="1:6" ht="20.100000000000001" customHeight="1" x14ac:dyDescent="0.25">
      <c r="A32" t="s">
        <v>1529</v>
      </c>
      <c r="B32" s="225" t="s">
        <v>1530</v>
      </c>
      <c r="C32" s="139"/>
      <c r="D32" s="139"/>
      <c r="E32" s="139"/>
      <c r="F32" s="139"/>
    </row>
    <row r="33" spans="1:6" ht="20.100000000000001" customHeight="1" x14ac:dyDescent="0.25">
      <c r="A33" t="s">
        <v>1531</v>
      </c>
      <c r="B33" s="225" t="s">
        <v>1532</v>
      </c>
      <c r="C33" s="139"/>
      <c r="D33" s="139"/>
      <c r="E33" s="139"/>
      <c r="F33" s="139"/>
    </row>
    <row r="35" spans="1:6" ht="24.95" customHeight="1" x14ac:dyDescent="0.25">
      <c r="A35" s="220" t="s">
        <v>1533</v>
      </c>
      <c r="B35" s="139"/>
      <c r="C35" s="139"/>
      <c r="D35" s="139"/>
      <c r="E35" s="139"/>
      <c r="F35" s="139"/>
    </row>
    <row r="36" spans="1:6" ht="20.100000000000001" customHeight="1" x14ac:dyDescent="0.25">
      <c r="A36" t="s">
        <v>213</v>
      </c>
      <c r="B36" s="225" t="s">
        <v>1534</v>
      </c>
      <c r="C36" s="139"/>
      <c r="D36" s="139"/>
      <c r="E36" s="139"/>
      <c r="F36" s="139"/>
    </row>
    <row r="37" spans="1:6" ht="20.100000000000001" customHeight="1" x14ac:dyDescent="0.25">
      <c r="A37" t="s">
        <v>1535</v>
      </c>
      <c r="B37" s="225" t="s">
        <v>1536</v>
      </c>
      <c r="C37" s="139"/>
      <c r="D37" s="139"/>
      <c r="E37" s="139"/>
      <c r="F37" s="139"/>
    </row>
    <row r="38" spans="1:6" ht="20.100000000000001" customHeight="1" x14ac:dyDescent="0.25">
      <c r="A38" t="s">
        <v>1260</v>
      </c>
      <c r="B38" s="225" t="s">
        <v>1537</v>
      </c>
      <c r="C38" s="139"/>
      <c r="D38" s="139"/>
      <c r="E38" s="139"/>
      <c r="F38" s="139"/>
    </row>
    <row r="39" spans="1:6" ht="20.100000000000001" customHeight="1" x14ac:dyDescent="0.25">
      <c r="A39" t="s">
        <v>1538</v>
      </c>
      <c r="B39" s="225" t="s">
        <v>1539</v>
      </c>
      <c r="C39" s="139"/>
      <c r="D39" s="139"/>
      <c r="E39" s="139"/>
      <c r="F39" s="139"/>
    </row>
    <row r="41" spans="1:6" ht="20.100000000000001" customHeight="1" x14ac:dyDescent="0.25">
      <c r="A41" t="s">
        <v>1540</v>
      </c>
      <c r="B41" s="225" t="s">
        <v>1541</v>
      </c>
      <c r="C41" s="139"/>
      <c r="D41" s="139"/>
      <c r="E41" s="139"/>
      <c r="F41" s="139"/>
    </row>
    <row r="42" spans="1:6" ht="20.100000000000001" customHeight="1" x14ac:dyDescent="0.25">
      <c r="A42" t="s">
        <v>1535</v>
      </c>
      <c r="B42" s="225" t="s">
        <v>1542</v>
      </c>
      <c r="C42" s="139"/>
      <c r="D42" s="139"/>
      <c r="E42" s="139"/>
      <c r="F42" s="139"/>
    </row>
    <row r="43" spans="1:6" ht="20.100000000000001" customHeight="1" x14ac:dyDescent="0.25">
      <c r="A43" t="s">
        <v>1260</v>
      </c>
      <c r="B43" s="225" t="s">
        <v>1543</v>
      </c>
      <c r="C43" s="139"/>
      <c r="D43" s="139"/>
      <c r="E43" s="139"/>
      <c r="F43" s="139"/>
    </row>
    <row r="44" spans="1:6" ht="20.100000000000001" customHeight="1" x14ac:dyDescent="0.25">
      <c r="A44" t="s">
        <v>1538</v>
      </c>
      <c r="B44" s="225" t="s">
        <v>1544</v>
      </c>
      <c r="C44" s="139"/>
      <c r="D44" s="139"/>
      <c r="E44" s="139"/>
      <c r="F44" s="139"/>
    </row>
  </sheetData>
  <mergeCells count="35">
    <mergeCell ref="B44:F44"/>
    <mergeCell ref="B29:F29"/>
    <mergeCell ref="A28:F28"/>
    <mergeCell ref="B38:F38"/>
    <mergeCell ref="B19:F19"/>
    <mergeCell ref="B37:F37"/>
    <mergeCell ref="B30:F30"/>
    <mergeCell ref="B24:F24"/>
    <mergeCell ref="B20:F20"/>
    <mergeCell ref="B43:F43"/>
    <mergeCell ref="B39:F39"/>
    <mergeCell ref="B42:F42"/>
    <mergeCell ref="A23:F23"/>
    <mergeCell ref="B41:F41"/>
    <mergeCell ref="A1:F1"/>
    <mergeCell ref="B5:F5"/>
    <mergeCell ref="B36:F36"/>
    <mergeCell ref="B32:F32"/>
    <mergeCell ref="B26:F26"/>
    <mergeCell ref="A4:F4"/>
    <mergeCell ref="B14:F14"/>
    <mergeCell ref="B13:F13"/>
    <mergeCell ref="B9:F9"/>
    <mergeCell ref="A11:F11"/>
    <mergeCell ref="B6:F6"/>
    <mergeCell ref="B15:F15"/>
    <mergeCell ref="B12:F12"/>
    <mergeCell ref="B31:F31"/>
    <mergeCell ref="B18:F18"/>
    <mergeCell ref="A17:F17"/>
    <mergeCell ref="B7:F7"/>
    <mergeCell ref="B25:F25"/>
    <mergeCell ref="A35:F35"/>
    <mergeCell ref="B33:F33"/>
    <mergeCell ref="B21:F2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52"/>
  <dimension ref="A1:J18"/>
  <sheetViews>
    <sheetView workbookViewId="0">
      <selection activeCell="A16" sqref="A16:J16"/>
    </sheetView>
  </sheetViews>
  <sheetFormatPr baseColWidth="10" defaultColWidth="9.140625" defaultRowHeight="15" x14ac:dyDescent="0.25"/>
  <cols>
    <col min="1" max="1" width="30" customWidth="1"/>
    <col min="2" max="2" width="40" customWidth="1"/>
    <col min="3" max="3" width="35" customWidth="1"/>
    <col min="4" max="4" width="10" customWidth="1"/>
    <col min="5" max="10" width="15" customWidth="1"/>
  </cols>
  <sheetData>
    <row r="1" spans="1:10" ht="18.75" customHeight="1" x14ac:dyDescent="0.25">
      <c r="A1" s="215" t="s">
        <v>1545</v>
      </c>
      <c r="B1" s="139"/>
      <c r="C1" s="139"/>
      <c r="D1" s="139"/>
      <c r="E1" s="139"/>
      <c r="F1" s="139"/>
      <c r="G1" s="139"/>
      <c r="H1" s="139"/>
      <c r="I1" s="139"/>
      <c r="J1" s="139"/>
    </row>
    <row r="2" spans="1:10" x14ac:dyDescent="0.25">
      <c r="A2" s="217" t="s">
        <v>1546</v>
      </c>
      <c r="B2" s="139"/>
      <c r="C2" s="139"/>
      <c r="D2" s="139"/>
      <c r="E2" s="139"/>
      <c r="F2" s="139"/>
      <c r="G2" s="139"/>
      <c r="H2" s="139"/>
      <c r="I2" s="139"/>
      <c r="J2" s="139"/>
    </row>
    <row r="4" spans="1:10" ht="15.75" customHeight="1" x14ac:dyDescent="0.25">
      <c r="A4" s="221" t="s">
        <v>1547</v>
      </c>
      <c r="B4" s="139"/>
      <c r="C4" s="139"/>
      <c r="D4" s="139"/>
      <c r="E4" s="139"/>
      <c r="F4" s="139"/>
      <c r="G4" s="139"/>
      <c r="H4" s="139"/>
      <c r="I4" s="139"/>
      <c r="J4" s="139"/>
    </row>
    <row r="5" spans="1:10" ht="30" customHeight="1" x14ac:dyDescent="0.25">
      <c r="A5" s="38" t="s">
        <v>213</v>
      </c>
      <c r="B5" s="38" t="s">
        <v>184</v>
      </c>
      <c r="C5" s="38" t="s">
        <v>1548</v>
      </c>
      <c r="D5" s="38" t="s">
        <v>1549</v>
      </c>
      <c r="E5" s="38" t="s">
        <v>1362</v>
      </c>
      <c r="F5" s="38" t="s">
        <v>1363</v>
      </c>
      <c r="G5" s="38" t="s">
        <v>1364</v>
      </c>
      <c r="H5" s="38" t="s">
        <v>1363</v>
      </c>
      <c r="I5" s="38" t="s">
        <v>1550</v>
      </c>
      <c r="J5" s="38" t="s">
        <v>1363</v>
      </c>
    </row>
    <row r="8" spans="1:10" ht="15.75" customHeight="1" x14ac:dyDescent="0.25">
      <c r="A8" s="219" t="s">
        <v>1551</v>
      </c>
      <c r="B8" s="139"/>
      <c r="C8" s="139"/>
      <c r="D8" s="139"/>
      <c r="E8" s="139"/>
      <c r="F8" s="139"/>
      <c r="G8" s="139"/>
      <c r="H8" s="139"/>
      <c r="I8" s="139"/>
      <c r="J8" s="139"/>
    </row>
    <row r="9" spans="1:10" ht="30" customHeight="1" x14ac:dyDescent="0.25">
      <c r="A9" s="38" t="s">
        <v>1540</v>
      </c>
      <c r="B9" s="38" t="s">
        <v>184</v>
      </c>
      <c r="C9" s="38" t="s">
        <v>1362</v>
      </c>
      <c r="D9" s="38" t="s">
        <v>1363</v>
      </c>
      <c r="E9" s="38" t="s">
        <v>1364</v>
      </c>
      <c r="F9" s="38" t="s">
        <v>1363</v>
      </c>
      <c r="G9" s="38" t="s">
        <v>1550</v>
      </c>
      <c r="H9" s="38" t="s">
        <v>1363</v>
      </c>
      <c r="I9" s="38" t="s">
        <v>1552</v>
      </c>
      <c r="J9" s="38" t="s">
        <v>329</v>
      </c>
    </row>
    <row r="12" spans="1:10" x14ac:dyDescent="0.25">
      <c r="A12" s="226" t="s">
        <v>1553</v>
      </c>
      <c r="B12" s="139"/>
      <c r="C12" s="139"/>
      <c r="D12" s="139"/>
      <c r="E12" s="139"/>
      <c r="F12" s="139"/>
      <c r="G12" s="139"/>
      <c r="H12" s="139"/>
      <c r="I12" s="139"/>
      <c r="J12" s="139"/>
    </row>
    <row r="13" spans="1:10" x14ac:dyDescent="0.25">
      <c r="A13" s="39" t="s">
        <v>1554</v>
      </c>
      <c r="C13" s="40" t="s">
        <v>1555</v>
      </c>
      <c r="E13" s="41" t="s">
        <v>1556</v>
      </c>
    </row>
    <row r="16" spans="1:10" x14ac:dyDescent="0.25">
      <c r="A16" s="226" t="s">
        <v>1557</v>
      </c>
      <c r="B16" s="139"/>
      <c r="C16" s="139"/>
      <c r="D16" s="139"/>
      <c r="E16" s="139"/>
      <c r="F16" s="139"/>
      <c r="G16" s="139"/>
      <c r="H16" s="139"/>
      <c r="I16" s="139"/>
      <c r="J16" s="139"/>
    </row>
    <row r="17" spans="1:5" x14ac:dyDescent="0.25">
      <c r="A17" t="s">
        <v>1558</v>
      </c>
      <c r="C17" t="s">
        <v>1559</v>
      </c>
      <c r="E17" t="s">
        <v>1560</v>
      </c>
    </row>
    <row r="18" spans="1:5" x14ac:dyDescent="0.25">
      <c r="A18" t="s">
        <v>1561</v>
      </c>
    </row>
  </sheetData>
  <mergeCells count="6">
    <mergeCell ref="A1:J1"/>
    <mergeCell ref="A8:J8"/>
    <mergeCell ref="A16:J16"/>
    <mergeCell ref="A12:J12"/>
    <mergeCell ref="A4:J4"/>
    <mergeCell ref="A2:J2"/>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
    <tabColor rgb="FF2E75B5"/>
  </sheetPr>
  <dimension ref="A1:K5"/>
  <sheetViews>
    <sheetView showGridLines="0" workbookViewId="0">
      <pane ySplit="1" topLeftCell="A2" activePane="bottomLeft" state="frozen"/>
      <selection pane="bottomLeft" sqref="A1:K1"/>
    </sheetView>
  </sheetViews>
  <sheetFormatPr baseColWidth="10" defaultColWidth="9.140625" defaultRowHeight="15" x14ac:dyDescent="0.25"/>
  <cols>
    <col min="1" max="1" width="32" customWidth="1"/>
    <col min="2" max="2" width="30" customWidth="1"/>
    <col min="3" max="3" width="15" customWidth="1"/>
    <col min="4" max="4" width="8" customWidth="1"/>
    <col min="5" max="7" width="12" customWidth="1"/>
    <col min="8" max="8" width="10" customWidth="1"/>
    <col min="9" max="9" width="25" customWidth="1"/>
    <col min="10" max="10" width="12" customWidth="1"/>
    <col min="11" max="11" width="22" customWidth="1"/>
  </cols>
  <sheetData>
    <row r="1" spans="1:11" ht="30" customHeight="1" x14ac:dyDescent="0.25">
      <c r="A1" s="186" t="s">
        <v>1562</v>
      </c>
      <c r="B1" s="164"/>
      <c r="C1" s="164"/>
      <c r="D1" s="164"/>
      <c r="E1" s="164"/>
      <c r="F1" s="164"/>
      <c r="G1" s="164"/>
      <c r="H1" s="164"/>
      <c r="I1" s="164"/>
      <c r="J1" s="164"/>
      <c r="K1" s="165"/>
    </row>
    <row r="3" spans="1:11" ht="30" customHeight="1" x14ac:dyDescent="0.25">
      <c r="A3" s="79" t="s">
        <v>1563</v>
      </c>
      <c r="B3" s="79" t="s">
        <v>513</v>
      </c>
      <c r="C3" s="79" t="s">
        <v>205</v>
      </c>
      <c r="D3" s="79" t="s">
        <v>695</v>
      </c>
      <c r="E3" s="79" t="s">
        <v>1564</v>
      </c>
      <c r="F3" s="79" t="s">
        <v>1565</v>
      </c>
      <c r="G3" s="79" t="s">
        <v>1566</v>
      </c>
      <c r="H3" s="79" t="s">
        <v>128</v>
      </c>
      <c r="I3" s="79" t="s">
        <v>1567</v>
      </c>
      <c r="J3" s="79" t="s">
        <v>1568</v>
      </c>
      <c r="K3" s="79" t="s">
        <v>188</v>
      </c>
    </row>
    <row r="4" spans="1:11" x14ac:dyDescent="0.25">
      <c r="A4" s="1" t="s">
        <v>1569</v>
      </c>
      <c r="B4" s="1" t="s">
        <v>1570</v>
      </c>
      <c r="C4" s="1" t="s">
        <v>1571</v>
      </c>
      <c r="D4" s="1" t="s">
        <v>709</v>
      </c>
      <c r="E4" s="1" t="s">
        <v>214</v>
      </c>
      <c r="F4" s="1" t="s">
        <v>357</v>
      </c>
      <c r="G4" s="1" t="s">
        <v>685</v>
      </c>
      <c r="H4" s="1" t="s">
        <v>1572</v>
      </c>
      <c r="I4" s="1" t="s">
        <v>1573</v>
      </c>
      <c r="J4" s="1" t="s">
        <v>1574</v>
      </c>
      <c r="K4" s="1" t="s">
        <v>1575</v>
      </c>
    </row>
    <row r="5" spans="1:11" ht="30" customHeight="1" x14ac:dyDescent="0.25">
      <c r="A5" s="1" t="s">
        <v>1576</v>
      </c>
      <c r="B5" s="1" t="s">
        <v>1577</v>
      </c>
      <c r="C5" s="1" t="s">
        <v>1578</v>
      </c>
      <c r="D5" s="1" t="s">
        <v>1579</v>
      </c>
      <c r="E5" s="1" t="s">
        <v>1580</v>
      </c>
      <c r="F5" s="1" t="s">
        <v>318</v>
      </c>
      <c r="G5" s="1" t="s">
        <v>357</v>
      </c>
      <c r="H5" s="1" t="s">
        <v>1572</v>
      </c>
      <c r="I5" s="1" t="s">
        <v>1581</v>
      </c>
      <c r="J5" s="1" t="s">
        <v>1582</v>
      </c>
      <c r="K5" s="1" t="s">
        <v>1583</v>
      </c>
    </row>
  </sheetData>
  <mergeCells count="1">
    <mergeCell ref="A1:K1"/>
  </mergeCells>
  <dataValidations count="2">
    <dataValidation type="list" sqref="C4:C1000" xr:uid="{00000000-0002-0000-1B00-000000000000}">
      <formula1>"Política,Procedimiento,Instrucción,Registro,Formulario,Otro"</formula1>
    </dataValidation>
    <dataValidation type="list" sqref="H4:H1000" xr:uid="{00000000-0002-0000-1B00-000001000000}">
      <formula1>"Vigente,En Revisión,Obsoleto,Borrador"</formula1>
    </dataValidation>
  </dataValidation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4">
    <tabColor rgb="FFC65911"/>
  </sheetPr>
  <dimension ref="A1:F23"/>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 min="2" max="2" width="35" customWidth="1"/>
    <col min="3" max="3" width="30" customWidth="1"/>
    <col min="4" max="4" width="8" customWidth="1"/>
    <col min="5" max="6" width="15" customWidth="1"/>
  </cols>
  <sheetData>
    <row r="1" spans="1:6" ht="30" customHeight="1" x14ac:dyDescent="0.25">
      <c r="A1" s="186" t="s">
        <v>1584</v>
      </c>
      <c r="B1" s="164"/>
      <c r="C1" s="164"/>
      <c r="D1" s="164"/>
      <c r="E1" s="164"/>
      <c r="F1" s="165"/>
    </row>
    <row r="3" spans="1:6" ht="15.75" customHeight="1" x14ac:dyDescent="0.25">
      <c r="A3" s="227" t="s">
        <v>1585</v>
      </c>
      <c r="B3" s="139"/>
      <c r="C3" s="139"/>
      <c r="D3" s="139"/>
      <c r="E3" s="139"/>
      <c r="F3" s="139"/>
    </row>
    <row r="5" spans="1:6" x14ac:dyDescent="0.25">
      <c r="A5" s="25" t="s">
        <v>126</v>
      </c>
      <c r="B5" s="25" t="s">
        <v>184</v>
      </c>
      <c r="C5" s="25" t="s">
        <v>1219</v>
      </c>
      <c r="D5" s="25" t="s">
        <v>1586</v>
      </c>
    </row>
    <row r="6" spans="1:6" x14ac:dyDescent="0.25">
      <c r="A6" s="1" t="s">
        <v>1587</v>
      </c>
      <c r="B6" s="1" t="s">
        <v>1588</v>
      </c>
      <c r="C6" s="1" t="s">
        <v>1589</v>
      </c>
      <c r="D6" s="1" t="s">
        <v>479</v>
      </c>
    </row>
    <row r="7" spans="1:6" x14ac:dyDescent="0.25">
      <c r="A7" s="1" t="s">
        <v>211</v>
      </c>
      <c r="B7" s="1" t="s">
        <v>1590</v>
      </c>
      <c r="C7" s="1" t="s">
        <v>1591</v>
      </c>
      <c r="D7" s="1" t="s">
        <v>355</v>
      </c>
    </row>
    <row r="8" spans="1:6" x14ac:dyDescent="0.25">
      <c r="A8" s="1" t="s">
        <v>525</v>
      </c>
      <c r="B8" s="1" t="s">
        <v>1592</v>
      </c>
      <c r="C8" s="1" t="s">
        <v>1593</v>
      </c>
      <c r="D8" s="1" t="s">
        <v>350</v>
      </c>
    </row>
    <row r="9" spans="1:6" x14ac:dyDescent="0.25">
      <c r="A9" s="1" t="s">
        <v>624</v>
      </c>
      <c r="B9" s="1" t="s">
        <v>1594</v>
      </c>
      <c r="C9" s="1" t="s">
        <v>1595</v>
      </c>
      <c r="D9" s="1" t="s">
        <v>354</v>
      </c>
    </row>
    <row r="10" spans="1:6" x14ac:dyDescent="0.25">
      <c r="A10" s="1" t="s">
        <v>1596</v>
      </c>
      <c r="B10" s="1" t="s">
        <v>1597</v>
      </c>
      <c r="C10" s="1" t="s">
        <v>1598</v>
      </c>
      <c r="D10" s="1" t="s">
        <v>494</v>
      </c>
    </row>
    <row r="13" spans="1:6" ht="15.75" customHeight="1" x14ac:dyDescent="0.25">
      <c r="A13" s="227" t="s">
        <v>1599</v>
      </c>
      <c r="B13" s="139"/>
      <c r="C13" s="139"/>
      <c r="D13" s="139"/>
      <c r="E13" s="139"/>
      <c r="F13" s="139"/>
    </row>
    <row r="15" spans="1:6" x14ac:dyDescent="0.25">
      <c r="A15" s="25" t="s">
        <v>126</v>
      </c>
      <c r="B15" s="25" t="s">
        <v>184</v>
      </c>
      <c r="C15" s="25" t="s">
        <v>1600</v>
      </c>
      <c r="D15" s="25" t="s">
        <v>1586</v>
      </c>
    </row>
    <row r="16" spans="1:6" x14ac:dyDescent="0.25">
      <c r="A16" s="1" t="s">
        <v>634</v>
      </c>
      <c r="B16" s="1" t="s">
        <v>1601</v>
      </c>
      <c r="C16" s="73" t="s">
        <v>1602</v>
      </c>
      <c r="D16" s="1" t="s">
        <v>479</v>
      </c>
    </row>
    <row r="17" spans="1:6" x14ac:dyDescent="0.25">
      <c r="A17" s="1" t="s">
        <v>134</v>
      </c>
      <c r="B17" s="1" t="s">
        <v>1603</v>
      </c>
      <c r="C17" s="1" t="s">
        <v>1604</v>
      </c>
      <c r="D17" s="1" t="s">
        <v>355</v>
      </c>
    </row>
    <row r="18" spans="1:6" x14ac:dyDescent="0.25">
      <c r="A18" s="1" t="s">
        <v>136</v>
      </c>
      <c r="B18" s="1" t="s">
        <v>1605</v>
      </c>
      <c r="C18" s="1" t="s">
        <v>1606</v>
      </c>
      <c r="D18" s="1" t="s">
        <v>350</v>
      </c>
    </row>
    <row r="19" spans="1:6" x14ac:dyDescent="0.25">
      <c r="A19" s="1" t="s">
        <v>139</v>
      </c>
      <c r="B19" s="1" t="s">
        <v>1607</v>
      </c>
      <c r="C19" s="1" t="s">
        <v>1608</v>
      </c>
      <c r="D19" s="1" t="s">
        <v>354</v>
      </c>
    </row>
    <row r="20" spans="1:6" x14ac:dyDescent="0.25">
      <c r="A20" s="1" t="s">
        <v>1609</v>
      </c>
      <c r="B20" s="1" t="s">
        <v>1610</v>
      </c>
      <c r="C20" s="1" t="s">
        <v>1611</v>
      </c>
      <c r="D20" s="1" t="s">
        <v>494</v>
      </c>
    </row>
    <row r="23" spans="1:6" x14ac:dyDescent="0.25">
      <c r="A23" s="228" t="s">
        <v>1612</v>
      </c>
      <c r="B23" s="139"/>
      <c r="C23" s="139"/>
      <c r="D23" s="139"/>
      <c r="E23" s="139"/>
      <c r="F23" s="139"/>
    </row>
  </sheetData>
  <mergeCells count="4">
    <mergeCell ref="A3:F3"/>
    <mergeCell ref="A13:F13"/>
    <mergeCell ref="A1:F1"/>
    <mergeCell ref="A23:F23"/>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5">
    <tabColor rgb="FF548235"/>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1613</v>
      </c>
      <c r="B1" s="164"/>
      <c r="C1" s="164"/>
      <c r="D1" s="164"/>
      <c r="E1" s="164"/>
      <c r="F1" s="165"/>
    </row>
    <row r="3" spans="1:6" x14ac:dyDescent="0.25">
      <c r="A3" s="229" t="s">
        <v>1614</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6">
    <tabColor rgb="FF7030A0"/>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1616</v>
      </c>
      <c r="B1" s="164"/>
      <c r="C1" s="164"/>
      <c r="D1" s="164"/>
      <c r="E1" s="164"/>
      <c r="F1" s="165"/>
    </row>
    <row r="3" spans="1:6" x14ac:dyDescent="0.25">
      <c r="A3" s="229" t="s">
        <v>1617</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7">
    <tabColor rgb="FF203764"/>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1618</v>
      </c>
      <c r="B1" s="164"/>
      <c r="C1" s="164"/>
      <c r="D1" s="164"/>
      <c r="E1" s="164"/>
      <c r="F1" s="165"/>
    </row>
    <row r="3" spans="1:6" x14ac:dyDescent="0.25">
      <c r="A3" s="229" t="s">
        <v>1619</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8">
    <tabColor rgb="FFC65911"/>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1620</v>
      </c>
      <c r="B1" s="164"/>
      <c r="C1" s="164"/>
      <c r="D1" s="164"/>
      <c r="E1" s="164"/>
      <c r="F1" s="165"/>
    </row>
    <row r="3" spans="1:6" x14ac:dyDescent="0.25">
      <c r="A3" s="229" t="s">
        <v>1621</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9">
    <tabColor rgb="FF70AD47"/>
    <pageSetUpPr fitToPage="1"/>
  </sheetPr>
  <dimension ref="A1:D28"/>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 min="2" max="2" width="5" customWidth="1"/>
    <col min="3" max="3" width="25" customWidth="1"/>
    <col min="4" max="4" width="15" customWidth="1"/>
  </cols>
  <sheetData>
    <row r="1" spans="1:4" ht="30" customHeight="1" x14ac:dyDescent="0.25">
      <c r="A1" s="186" t="s">
        <v>1622</v>
      </c>
      <c r="B1" s="164"/>
      <c r="C1" s="164"/>
      <c r="D1" s="165"/>
    </row>
    <row r="3" spans="1:4" ht="15.75" customHeight="1" x14ac:dyDescent="0.25">
      <c r="A3" s="231" t="s">
        <v>1623</v>
      </c>
      <c r="B3" s="139"/>
      <c r="C3" s="139"/>
      <c r="D3" s="139"/>
    </row>
    <row r="5" spans="1:4" x14ac:dyDescent="0.25">
      <c r="A5" s="99" t="s">
        <v>1624</v>
      </c>
      <c r="C5" s="99" t="s">
        <v>1586</v>
      </c>
    </row>
    <row r="6" spans="1:4" x14ac:dyDescent="0.25">
      <c r="A6" s="83" t="s">
        <v>1625</v>
      </c>
      <c r="C6" s="1" t="s">
        <v>1626</v>
      </c>
    </row>
    <row r="7" spans="1:4" x14ac:dyDescent="0.25">
      <c r="A7" s="83" t="s">
        <v>1627</v>
      </c>
      <c r="C7" s="1" t="s">
        <v>1628</v>
      </c>
    </row>
    <row r="8" spans="1:4" x14ac:dyDescent="0.25">
      <c r="A8" s="83" t="s">
        <v>1629</v>
      </c>
      <c r="C8" s="1" t="s">
        <v>1630</v>
      </c>
    </row>
    <row r="9" spans="1:4" x14ac:dyDescent="0.25">
      <c r="A9" s="83" t="s">
        <v>1631</v>
      </c>
      <c r="C9" s="1" t="s">
        <v>1632</v>
      </c>
    </row>
    <row r="10" spans="1:4" x14ac:dyDescent="0.25">
      <c r="A10" s="83" t="s">
        <v>1633</v>
      </c>
      <c r="C10" s="1" t="s">
        <v>1634</v>
      </c>
    </row>
    <row r="11" spans="1:4" x14ac:dyDescent="0.25">
      <c r="A11" s="83" t="s">
        <v>1635</v>
      </c>
      <c r="C11" s="1" t="s">
        <v>1636</v>
      </c>
    </row>
    <row r="12" spans="1:4" x14ac:dyDescent="0.25">
      <c r="A12" s="83" t="s">
        <v>1637</v>
      </c>
      <c r="C12" s="1" t="s">
        <v>1638</v>
      </c>
    </row>
    <row r="13" spans="1:4" x14ac:dyDescent="0.25">
      <c r="A13" s="83" t="s">
        <v>1639</v>
      </c>
      <c r="C13" s="1" t="s">
        <v>1640</v>
      </c>
    </row>
    <row r="14" spans="1:4" x14ac:dyDescent="0.25">
      <c r="A14" s="83" t="s">
        <v>1641</v>
      </c>
      <c r="C14" s="1" t="s">
        <v>1642</v>
      </c>
    </row>
    <row r="16" spans="1:4" ht="15.75" customHeight="1" x14ac:dyDescent="0.25">
      <c r="A16" s="231" t="s">
        <v>1643</v>
      </c>
      <c r="B16" s="139"/>
      <c r="C16" s="139"/>
      <c r="D16" s="139"/>
    </row>
    <row r="18" spans="1:4" x14ac:dyDescent="0.25">
      <c r="A18" s="83" t="s">
        <v>1644</v>
      </c>
      <c r="C18" s="1" t="s">
        <v>1645</v>
      </c>
    </row>
    <row r="19" spans="1:4" x14ac:dyDescent="0.25">
      <c r="A19" s="83" t="s">
        <v>1646</v>
      </c>
      <c r="C19" s="1" t="s">
        <v>1647</v>
      </c>
    </row>
    <row r="20" spans="1:4" x14ac:dyDescent="0.25">
      <c r="A20" s="83" t="s">
        <v>1639</v>
      </c>
      <c r="C20" s="1" t="s">
        <v>1640</v>
      </c>
    </row>
    <row r="21" spans="1:4" x14ac:dyDescent="0.25">
      <c r="A21" s="83" t="s">
        <v>1637</v>
      </c>
      <c r="C21" s="1" t="s">
        <v>1638</v>
      </c>
    </row>
    <row r="23" spans="1:4" ht="15.75" customHeight="1" x14ac:dyDescent="0.25">
      <c r="A23" s="231" t="s">
        <v>1648</v>
      </c>
      <c r="B23" s="139"/>
      <c r="C23" s="139"/>
      <c r="D23" s="139"/>
    </row>
    <row r="25" spans="1:4" x14ac:dyDescent="0.25">
      <c r="A25" s="193" t="s">
        <v>1649</v>
      </c>
      <c r="B25" s="232"/>
      <c r="C25" s="232"/>
      <c r="D25" s="233"/>
    </row>
    <row r="26" spans="1:4" x14ac:dyDescent="0.25">
      <c r="A26" s="234"/>
      <c r="B26" s="139"/>
      <c r="C26" s="139"/>
      <c r="D26" s="235"/>
    </row>
    <row r="27" spans="1:4" x14ac:dyDescent="0.25">
      <c r="A27" s="234"/>
      <c r="B27" s="139"/>
      <c r="C27" s="139"/>
      <c r="D27" s="235"/>
    </row>
    <row r="28" spans="1:4" x14ac:dyDescent="0.25">
      <c r="A28" s="236"/>
      <c r="B28" s="237"/>
      <c r="C28" s="237"/>
      <c r="D28" s="238"/>
    </row>
  </sheetData>
  <mergeCells count="5">
    <mergeCell ref="A1:D1"/>
    <mergeCell ref="A23:D23"/>
    <mergeCell ref="A3:D3"/>
    <mergeCell ref="A16:D16"/>
    <mergeCell ref="A25:D28"/>
  </mergeCells>
  <printOptions gridLines="1"/>
  <pageMargins left="0.5" right="0.5" top="0.5" bottom="0.5" header="0.29921259842519687" footer="0.29921259842519687"/>
  <pageSetup fitToHeight="0" orientation="portrait"/>
  <headerFooter>
    <oddHeader>&amp;L&amp;"Segoe UI,Bold"&amp;14 Datos_Organizacion&amp;R&amp;"Segoe UI"&amp;10 Fecha: &amp;D</oddHeader>
    <oddFooter>&amp;L&amp;"Segoe UI"&amp;9 SGSI - ISO 27001:2022&amp;R&amp;"Segoe UI"&amp;9 Página &amp;P de &amp;N</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11">
    <tabColor rgb="FF8E44AD"/>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1650</v>
      </c>
      <c r="B1" s="164"/>
      <c r="C1" s="164"/>
      <c r="D1" s="164"/>
      <c r="E1" s="164"/>
      <c r="F1" s="165"/>
    </row>
    <row r="3" spans="1:6" x14ac:dyDescent="0.25">
      <c r="A3" s="229" t="s">
        <v>1651</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12">
    <tabColor rgb="FFE74C3C"/>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1652</v>
      </c>
      <c r="B1" s="164"/>
      <c r="C1" s="164"/>
      <c r="D1" s="164"/>
      <c r="E1" s="164"/>
      <c r="F1" s="165"/>
    </row>
    <row r="3" spans="1:6" x14ac:dyDescent="0.25">
      <c r="A3" s="229" t="s">
        <v>1653</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13">
    <tabColor rgb="FFF39C12"/>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1654</v>
      </c>
      <c r="B1" s="164"/>
      <c r="C1" s="164"/>
      <c r="D1" s="164"/>
      <c r="E1" s="164"/>
      <c r="F1" s="165"/>
    </row>
    <row r="3" spans="1:6" x14ac:dyDescent="0.25">
      <c r="A3" s="229" t="s">
        <v>1655</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14">
    <tabColor rgb="FF1ABC9C"/>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1656</v>
      </c>
      <c r="B1" s="164"/>
      <c r="C1" s="164"/>
      <c r="D1" s="164"/>
      <c r="E1" s="164"/>
      <c r="F1" s="165"/>
    </row>
    <row r="3" spans="1:6" x14ac:dyDescent="0.25">
      <c r="A3" s="229" t="s">
        <v>1657</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15">
    <tabColor rgb="FF16A085"/>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1658</v>
      </c>
      <c r="B1" s="164"/>
      <c r="C1" s="164"/>
      <c r="D1" s="164"/>
      <c r="E1" s="164"/>
      <c r="F1" s="165"/>
    </row>
    <row r="3" spans="1:6" x14ac:dyDescent="0.25">
      <c r="A3" s="229" t="s">
        <v>1659</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16">
    <tabColor rgb="FF9B59B6"/>
  </sheetPr>
  <dimension ref="A1:F5"/>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50" customWidth="1"/>
  </cols>
  <sheetData>
    <row r="1" spans="1:6" ht="30" customHeight="1" x14ac:dyDescent="0.25">
      <c r="A1" s="186" t="s">
        <v>1660</v>
      </c>
      <c r="B1" s="164"/>
      <c r="C1" s="164"/>
      <c r="D1" s="164"/>
      <c r="E1" s="164"/>
      <c r="F1" s="165"/>
    </row>
    <row r="3" spans="1:6" x14ac:dyDescent="0.25">
      <c r="A3" s="229" t="s">
        <v>1661</v>
      </c>
      <c r="B3" s="139"/>
      <c r="C3" s="139"/>
      <c r="D3" s="139"/>
      <c r="E3" s="139"/>
      <c r="F3" s="139"/>
    </row>
    <row r="5" spans="1:6" x14ac:dyDescent="0.25">
      <c r="A5" s="230" t="s">
        <v>1615</v>
      </c>
      <c r="B5" s="139"/>
      <c r="C5" s="139"/>
      <c r="D5" s="139"/>
      <c r="E5" s="139"/>
      <c r="F5" s="139"/>
    </row>
  </sheetData>
  <mergeCells count="3">
    <mergeCell ref="A3:F3"/>
    <mergeCell ref="A1:F1"/>
    <mergeCell ref="A5:F5"/>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17">
    <tabColor rgb="FF2980B9"/>
  </sheetPr>
  <dimension ref="A1:H3"/>
  <sheetViews>
    <sheetView showGridLines="0" workbookViewId="0">
      <pane ySplit="1" topLeftCell="A2" activePane="bottomLeft" state="frozen"/>
      <selection pane="bottomLeft" sqref="A1:H1"/>
    </sheetView>
  </sheetViews>
  <sheetFormatPr baseColWidth="10" defaultColWidth="9.140625" defaultRowHeight="15" x14ac:dyDescent="0.25"/>
  <cols>
    <col min="1" max="1" width="35" customWidth="1"/>
  </cols>
  <sheetData>
    <row r="1" spans="1:8" ht="30" customHeight="1" x14ac:dyDescent="0.25">
      <c r="A1" s="186" t="s">
        <v>1662</v>
      </c>
      <c r="B1" s="164"/>
      <c r="C1" s="164"/>
      <c r="D1" s="164"/>
      <c r="E1" s="164"/>
      <c r="F1" s="164"/>
      <c r="G1" s="164"/>
      <c r="H1" s="165"/>
    </row>
    <row r="3" spans="1:8" x14ac:dyDescent="0.25">
      <c r="A3" s="26" t="s">
        <v>1663</v>
      </c>
      <c r="B3" s="26" t="s">
        <v>1664</v>
      </c>
      <c r="C3" s="26" t="s">
        <v>205</v>
      </c>
      <c r="D3" s="26" t="s">
        <v>189</v>
      </c>
      <c r="E3" s="26" t="s">
        <v>128</v>
      </c>
      <c r="F3" s="26" t="s">
        <v>695</v>
      </c>
      <c r="G3" s="26" t="s">
        <v>188</v>
      </c>
      <c r="H3" s="26" t="s">
        <v>1665</v>
      </c>
    </row>
  </sheetData>
  <mergeCells count="1">
    <mergeCell ref="A1:H1"/>
  </mergeCells>
  <dataValidations count="2">
    <dataValidation type="list" sqref="C4:C1000" xr:uid="{00000000-0002-0000-2800-000000000000}">
      <formula1>"Hardware,Software,Servicio,Red,Aplicación"</formula1>
    </dataValidation>
    <dataValidation type="list" sqref="E4:E1000" xr:uid="{00000000-0002-0000-2800-000001000000}">
      <formula1>"Activo,Inactivo,En Mantenimiento,Obsoleto"</formula1>
    </dataValidation>
  </dataValidation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18">
    <tabColor rgb="FF34495E"/>
  </sheetPr>
  <dimension ref="A1:F1"/>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28" customWidth="1"/>
  </cols>
  <sheetData>
    <row r="1" spans="1:6" ht="30" customHeight="1" x14ac:dyDescent="0.25">
      <c r="A1" s="186" t="s">
        <v>1666</v>
      </c>
      <c r="B1" s="164"/>
      <c r="C1" s="164"/>
      <c r="D1" s="164"/>
      <c r="E1" s="164"/>
      <c r="F1" s="165"/>
    </row>
  </sheetData>
  <mergeCells count="1">
    <mergeCell ref="A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19">
    <tabColor rgb="FF34495E"/>
  </sheetPr>
  <dimension ref="A1:F1"/>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33" customWidth="1"/>
  </cols>
  <sheetData>
    <row r="1" spans="1:6" ht="30" customHeight="1" x14ac:dyDescent="0.25">
      <c r="A1" s="186" t="s">
        <v>1667</v>
      </c>
      <c r="B1" s="164"/>
      <c r="C1" s="164"/>
      <c r="D1" s="164"/>
      <c r="E1" s="164"/>
      <c r="F1" s="165"/>
    </row>
  </sheetData>
  <mergeCells count="1">
    <mergeCell ref="A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20">
    <tabColor rgb="FF34495E"/>
  </sheetPr>
  <dimension ref="A1:F1"/>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33" customWidth="1"/>
  </cols>
  <sheetData>
    <row r="1" spans="1:6" ht="30" customHeight="1" x14ac:dyDescent="0.25">
      <c r="A1" s="186" t="s">
        <v>1668</v>
      </c>
      <c r="B1" s="164"/>
      <c r="C1" s="164"/>
      <c r="D1" s="164"/>
      <c r="E1" s="164"/>
      <c r="F1" s="165"/>
    </row>
  </sheetData>
  <mergeCells count="1">
    <mergeCell ref="A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21">
    <tabColor rgb="FF34495E"/>
  </sheetPr>
  <dimension ref="A1:F1"/>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26" customWidth="1"/>
  </cols>
  <sheetData>
    <row r="1" spans="1:6" ht="30" customHeight="1" x14ac:dyDescent="0.25">
      <c r="A1" s="186" t="s">
        <v>1669</v>
      </c>
      <c r="B1" s="164"/>
      <c r="C1" s="164"/>
      <c r="D1" s="164"/>
      <c r="E1" s="164"/>
      <c r="F1" s="165"/>
    </row>
  </sheetData>
  <mergeCells count="1">
    <mergeCell ref="A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22">
    <tabColor rgb="FF34495E"/>
  </sheetPr>
  <dimension ref="A1:F1"/>
  <sheetViews>
    <sheetView showGridLines="0" workbookViewId="0">
      <pane ySplit="1" topLeftCell="A2" activePane="bottomLeft" state="frozen"/>
      <selection pane="bottomLeft" sqref="A1:F1"/>
    </sheetView>
  </sheetViews>
  <sheetFormatPr baseColWidth="10" defaultColWidth="9.140625" defaultRowHeight="15" x14ac:dyDescent="0.25"/>
  <cols>
    <col min="1" max="1" width="28" customWidth="1"/>
  </cols>
  <sheetData>
    <row r="1" spans="1:6" ht="30" customHeight="1" x14ac:dyDescent="0.25">
      <c r="A1" s="186" t="s">
        <v>1670</v>
      </c>
      <c r="B1" s="164"/>
      <c r="C1" s="164"/>
      <c r="D1" s="164"/>
      <c r="E1" s="164"/>
      <c r="F1" s="165"/>
    </row>
  </sheetData>
  <mergeCells count="1">
    <mergeCell ref="A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35">
    <tabColor rgb="FF1F4E78"/>
  </sheetPr>
  <dimension ref="A1:J8"/>
  <sheetViews>
    <sheetView showGridLines="0" workbookViewId="0">
      <pane ySplit="1" topLeftCell="A2" activePane="bottomLeft" state="frozen"/>
      <selection pane="bottomLeft" sqref="A1:J1"/>
    </sheetView>
  </sheetViews>
  <sheetFormatPr baseColWidth="10" defaultColWidth="9.140625" defaultRowHeight="15" x14ac:dyDescent="0.25"/>
  <cols>
    <col min="1" max="1" width="42" customWidth="1"/>
    <col min="2" max="2" width="28" customWidth="1"/>
    <col min="3" max="3" width="35" customWidth="1"/>
    <col min="4" max="4" width="8" customWidth="1"/>
    <col min="5" max="7" width="12" customWidth="1"/>
    <col min="8" max="8" width="10" customWidth="1"/>
    <col min="9" max="9" width="20" customWidth="1"/>
    <col min="10" max="10" width="12" customWidth="1"/>
  </cols>
  <sheetData>
    <row r="1" spans="1:10" ht="30" customHeight="1" x14ac:dyDescent="0.25">
      <c r="A1" s="186" t="s">
        <v>1671</v>
      </c>
      <c r="B1" s="164"/>
      <c r="C1" s="164"/>
      <c r="D1" s="164"/>
      <c r="E1" s="164"/>
      <c r="F1" s="164"/>
      <c r="G1" s="164"/>
      <c r="H1" s="164"/>
      <c r="I1" s="164"/>
      <c r="J1" s="165"/>
    </row>
    <row r="3" spans="1:10" ht="30" customHeight="1" x14ac:dyDescent="0.25">
      <c r="A3" s="100" t="s">
        <v>537</v>
      </c>
      <c r="B3" s="100" t="s">
        <v>1672</v>
      </c>
      <c r="C3" s="100" t="s">
        <v>184</v>
      </c>
      <c r="D3" s="100" t="s">
        <v>695</v>
      </c>
      <c r="E3" s="100" t="s">
        <v>1673</v>
      </c>
      <c r="F3" s="100" t="s">
        <v>1674</v>
      </c>
      <c r="G3" s="100" t="s">
        <v>1675</v>
      </c>
      <c r="H3" s="100" t="s">
        <v>128</v>
      </c>
      <c r="I3" s="100" t="s">
        <v>1676</v>
      </c>
      <c r="J3" s="100" t="s">
        <v>1677</v>
      </c>
    </row>
    <row r="4" spans="1:10" x14ac:dyDescent="0.25">
      <c r="A4" s="1" t="s">
        <v>414</v>
      </c>
      <c r="B4" s="1" t="s">
        <v>1678</v>
      </c>
      <c r="C4" s="1" t="s">
        <v>1679</v>
      </c>
      <c r="D4" s="1" t="s">
        <v>709</v>
      </c>
      <c r="E4" s="1" t="s">
        <v>214</v>
      </c>
      <c r="F4" s="1" t="s">
        <v>685</v>
      </c>
      <c r="G4" s="1" t="s">
        <v>1574</v>
      </c>
      <c r="H4" s="5" t="s">
        <v>1572</v>
      </c>
      <c r="I4" s="1" t="s">
        <v>1575</v>
      </c>
      <c r="J4" s="1" t="s">
        <v>371</v>
      </c>
    </row>
    <row r="5" spans="1:10" x14ac:dyDescent="0.25">
      <c r="A5" s="1" t="s">
        <v>1680</v>
      </c>
      <c r="B5" s="1" t="s">
        <v>1681</v>
      </c>
      <c r="C5" s="73" t="s">
        <v>1682</v>
      </c>
      <c r="D5" s="1" t="s">
        <v>1579</v>
      </c>
      <c r="E5" s="1" t="s">
        <v>1683</v>
      </c>
      <c r="F5" s="1" t="s">
        <v>357</v>
      </c>
      <c r="G5" s="1" t="s">
        <v>1684</v>
      </c>
      <c r="H5" s="5" t="s">
        <v>1572</v>
      </c>
      <c r="I5" s="1" t="s">
        <v>1575</v>
      </c>
      <c r="J5" s="1" t="s">
        <v>1685</v>
      </c>
    </row>
    <row r="6" spans="1:10" x14ac:dyDescent="0.25">
      <c r="A6" s="1" t="s">
        <v>421</v>
      </c>
      <c r="B6" s="1" t="s">
        <v>1686</v>
      </c>
      <c r="C6" s="1" t="s">
        <v>1687</v>
      </c>
      <c r="D6" s="1" t="s">
        <v>402</v>
      </c>
      <c r="E6" s="1" t="s">
        <v>1688</v>
      </c>
      <c r="F6" s="1" t="s">
        <v>357</v>
      </c>
      <c r="G6" s="1" t="s">
        <v>1689</v>
      </c>
      <c r="H6" s="5" t="s">
        <v>1572</v>
      </c>
      <c r="I6" s="1" t="s">
        <v>1575</v>
      </c>
      <c r="J6" s="1" t="s">
        <v>392</v>
      </c>
    </row>
    <row r="7" spans="1:10" x14ac:dyDescent="0.25">
      <c r="A7" s="1" t="s">
        <v>1690</v>
      </c>
      <c r="B7" s="1" t="s">
        <v>506</v>
      </c>
      <c r="C7" s="1" t="s">
        <v>1691</v>
      </c>
      <c r="D7" s="1" t="s">
        <v>402</v>
      </c>
      <c r="E7" s="1" t="s">
        <v>1692</v>
      </c>
      <c r="F7" s="1" t="s">
        <v>685</v>
      </c>
      <c r="G7" s="1" t="s">
        <v>1693</v>
      </c>
      <c r="H7" s="5" t="s">
        <v>1572</v>
      </c>
      <c r="I7" s="1" t="s">
        <v>1575</v>
      </c>
      <c r="J7" s="1" t="s">
        <v>1694</v>
      </c>
    </row>
    <row r="8" spans="1:10" x14ac:dyDescent="0.25">
      <c r="A8" s="1" t="s">
        <v>1695</v>
      </c>
      <c r="B8" s="1" t="s">
        <v>1696</v>
      </c>
      <c r="C8" s="73" t="s">
        <v>1697</v>
      </c>
      <c r="D8" s="1" t="s">
        <v>714</v>
      </c>
      <c r="E8" s="1" t="s">
        <v>1698</v>
      </c>
      <c r="F8" s="1" t="s">
        <v>357</v>
      </c>
      <c r="G8" s="1" t="s">
        <v>1699</v>
      </c>
      <c r="H8" s="5" t="s">
        <v>1572</v>
      </c>
      <c r="I8" s="1" t="s">
        <v>1575</v>
      </c>
      <c r="J8" s="1" t="s">
        <v>1700</v>
      </c>
    </row>
  </sheetData>
  <mergeCells count="1">
    <mergeCell ref="A1:J1"/>
  </mergeCells>
  <dataValidations count="1">
    <dataValidation type="list" sqref="H4:H1000" xr:uid="{00000000-0002-0000-2E00-000000000000}">
      <formula1>"Vigente,En Revisión,Aprobada,Pendiente,Obsoleta"</formula1>
    </dataValidation>
  </dataValidation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36">
    <tabColor rgb="FF548235"/>
  </sheetPr>
  <dimension ref="A1:I8"/>
  <sheetViews>
    <sheetView showGridLines="0" workbookViewId="0">
      <pane ySplit="1" topLeftCell="A2" activePane="bottomLeft" state="frozen"/>
      <selection pane="bottomLeft" sqref="A1:I1"/>
    </sheetView>
  </sheetViews>
  <sheetFormatPr baseColWidth="10" defaultColWidth="9.140625" defaultRowHeight="15" x14ac:dyDescent="0.25"/>
  <cols>
    <col min="1" max="1" width="29" customWidth="1"/>
    <col min="2" max="2" width="30" customWidth="1"/>
    <col min="3" max="3" width="35" customWidth="1"/>
    <col min="4" max="4" width="8" customWidth="1"/>
    <col min="5" max="5" width="12" customWidth="1"/>
    <col min="6" max="6" width="15" customWidth="1"/>
    <col min="7" max="7" width="10" customWidth="1"/>
    <col min="8" max="8" width="22" customWidth="1"/>
    <col min="9" max="9" width="15" customWidth="1"/>
  </cols>
  <sheetData>
    <row r="1" spans="1:9" ht="30" customHeight="1" x14ac:dyDescent="0.25">
      <c r="A1" s="186" t="s">
        <v>1701</v>
      </c>
      <c r="B1" s="164"/>
      <c r="C1" s="164"/>
      <c r="D1" s="164"/>
      <c r="E1" s="164"/>
      <c r="F1" s="164"/>
      <c r="G1" s="164"/>
      <c r="H1" s="164"/>
      <c r="I1" s="165"/>
    </row>
    <row r="3" spans="1:9" ht="30" customHeight="1" x14ac:dyDescent="0.25">
      <c r="A3" s="101" t="s">
        <v>537</v>
      </c>
      <c r="B3" s="101" t="s">
        <v>1702</v>
      </c>
      <c r="C3" s="101" t="s">
        <v>184</v>
      </c>
      <c r="D3" s="101" t="s">
        <v>695</v>
      </c>
      <c r="E3" s="101" t="s">
        <v>1703</v>
      </c>
      <c r="F3" s="101" t="s">
        <v>207</v>
      </c>
      <c r="G3" s="101" t="s">
        <v>128</v>
      </c>
      <c r="H3" s="101" t="s">
        <v>188</v>
      </c>
      <c r="I3" s="101" t="s">
        <v>1704</v>
      </c>
    </row>
    <row r="4" spans="1:9" ht="30" customHeight="1" x14ac:dyDescent="0.25">
      <c r="A4" s="1" t="s">
        <v>1705</v>
      </c>
      <c r="B4" s="1" t="s">
        <v>1706</v>
      </c>
      <c r="C4" s="73" t="s">
        <v>1707</v>
      </c>
      <c r="D4" s="1" t="s">
        <v>402</v>
      </c>
      <c r="E4" s="1" t="s">
        <v>1708</v>
      </c>
      <c r="F4" s="1" t="s">
        <v>318</v>
      </c>
      <c r="G4" s="5" t="s">
        <v>213</v>
      </c>
      <c r="H4" s="1" t="s">
        <v>1583</v>
      </c>
      <c r="I4" s="1" t="s">
        <v>1680</v>
      </c>
    </row>
    <row r="5" spans="1:9" ht="30" customHeight="1" x14ac:dyDescent="0.25">
      <c r="A5" s="1" t="s">
        <v>1709</v>
      </c>
      <c r="B5" s="1" t="s">
        <v>1710</v>
      </c>
      <c r="C5" s="73" t="s">
        <v>1711</v>
      </c>
      <c r="D5" s="1" t="s">
        <v>402</v>
      </c>
      <c r="E5" s="1" t="s">
        <v>1708</v>
      </c>
      <c r="F5" s="1" t="s">
        <v>318</v>
      </c>
      <c r="G5" s="5" t="s">
        <v>213</v>
      </c>
      <c r="H5" s="1" t="s">
        <v>1583</v>
      </c>
      <c r="I5" s="1" t="s">
        <v>1680</v>
      </c>
    </row>
    <row r="6" spans="1:9" ht="30" customHeight="1" x14ac:dyDescent="0.25">
      <c r="A6" s="1" t="s">
        <v>1712</v>
      </c>
      <c r="B6" s="1" t="s">
        <v>1713</v>
      </c>
      <c r="C6" s="73" t="s">
        <v>1714</v>
      </c>
      <c r="D6" s="1" t="s">
        <v>709</v>
      </c>
      <c r="E6" s="1" t="s">
        <v>1715</v>
      </c>
      <c r="F6" s="1" t="s">
        <v>1716</v>
      </c>
      <c r="G6" s="5" t="s">
        <v>213</v>
      </c>
      <c r="H6" s="1" t="s">
        <v>1583</v>
      </c>
      <c r="I6" s="1" t="s">
        <v>1690</v>
      </c>
    </row>
    <row r="7" spans="1:9" ht="30" customHeight="1" x14ac:dyDescent="0.25">
      <c r="A7" s="1" t="s">
        <v>1717</v>
      </c>
      <c r="B7" s="1" t="s">
        <v>1718</v>
      </c>
      <c r="C7" s="73" t="s">
        <v>1719</v>
      </c>
      <c r="D7" s="1" t="s">
        <v>1579</v>
      </c>
      <c r="E7" s="1" t="s">
        <v>1720</v>
      </c>
      <c r="F7" s="1" t="s">
        <v>357</v>
      </c>
      <c r="G7" s="5" t="s">
        <v>213</v>
      </c>
      <c r="H7" s="1" t="s">
        <v>1583</v>
      </c>
      <c r="I7" s="1" t="s">
        <v>1695</v>
      </c>
    </row>
    <row r="8" spans="1:9" ht="30" customHeight="1" x14ac:dyDescent="0.25">
      <c r="A8" s="1" t="s">
        <v>1721</v>
      </c>
      <c r="B8" s="1" t="s">
        <v>1722</v>
      </c>
      <c r="C8" s="1" t="s">
        <v>1723</v>
      </c>
      <c r="D8" s="1" t="s">
        <v>402</v>
      </c>
      <c r="E8" s="1" t="s">
        <v>1724</v>
      </c>
      <c r="F8" s="1" t="s">
        <v>1716</v>
      </c>
      <c r="G8" s="5" t="s">
        <v>213</v>
      </c>
      <c r="H8" s="1" t="s">
        <v>1583</v>
      </c>
      <c r="I8" s="1" t="s">
        <v>414</v>
      </c>
    </row>
  </sheetData>
  <mergeCells count="1">
    <mergeCell ref="A1:I1"/>
  </mergeCells>
  <dataValidations count="1">
    <dataValidation type="list" sqref="G4:G1000" xr:uid="{00000000-0002-0000-2F00-000000000000}">
      <formula1>"Vigente,En Revisión,Aprobado,Pendiente,Obsoleto"</formula1>
    </dataValidation>
  </dataValidation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37">
    <tabColor rgb="FF7030A0"/>
  </sheetPr>
  <dimension ref="A1:L6"/>
  <sheetViews>
    <sheetView showGridLines="0" workbookViewId="0">
      <pane ySplit="1" topLeftCell="A2" activePane="bottomLeft" state="frozen"/>
      <selection pane="bottomLeft" sqref="A1:L1"/>
    </sheetView>
  </sheetViews>
  <sheetFormatPr baseColWidth="10" defaultColWidth="9.140625" defaultRowHeight="15" x14ac:dyDescent="0.25"/>
  <cols>
    <col min="1" max="1" width="32" customWidth="1"/>
    <col min="2" max="2" width="12" customWidth="1"/>
    <col min="3" max="3" width="10" customWidth="1"/>
    <col min="4" max="4" width="22" customWidth="1"/>
    <col min="5" max="5" width="18" customWidth="1"/>
    <col min="6" max="6" width="12" customWidth="1"/>
    <col min="7" max="7" width="10" customWidth="1"/>
    <col min="8" max="9" width="12" customWidth="1"/>
    <col min="10" max="10" width="18" customWidth="1"/>
    <col min="11" max="12" width="12" customWidth="1"/>
  </cols>
  <sheetData>
    <row r="1" spans="1:12" ht="30" customHeight="1" x14ac:dyDescent="0.25">
      <c r="A1" s="186" t="s">
        <v>1725</v>
      </c>
      <c r="B1" s="164"/>
      <c r="C1" s="164"/>
      <c r="D1" s="164"/>
      <c r="E1" s="164"/>
      <c r="F1" s="164"/>
      <c r="G1" s="164"/>
      <c r="H1" s="164"/>
      <c r="I1" s="164"/>
      <c r="J1" s="164"/>
      <c r="K1" s="164"/>
      <c r="L1" s="165"/>
    </row>
    <row r="3" spans="1:12" ht="30" customHeight="1" x14ac:dyDescent="0.25">
      <c r="A3" s="102" t="s">
        <v>1726</v>
      </c>
      <c r="B3" s="102" t="s">
        <v>1727</v>
      </c>
      <c r="C3" s="102" t="s">
        <v>205</v>
      </c>
      <c r="D3" s="102" t="s">
        <v>1728</v>
      </c>
      <c r="E3" s="102" t="s">
        <v>1729</v>
      </c>
      <c r="F3" s="102" t="s">
        <v>128</v>
      </c>
      <c r="G3" s="102" t="s">
        <v>1730</v>
      </c>
      <c r="H3" s="102" t="s">
        <v>1731</v>
      </c>
      <c r="I3" s="102" t="s">
        <v>439</v>
      </c>
      <c r="J3" s="102" t="s">
        <v>1732</v>
      </c>
      <c r="K3" s="102" t="s">
        <v>1733</v>
      </c>
      <c r="L3" s="102" t="s">
        <v>1538</v>
      </c>
    </row>
    <row r="4" spans="1:12" x14ac:dyDescent="0.25">
      <c r="A4" s="1" t="s">
        <v>1734</v>
      </c>
      <c r="B4" s="1" t="s">
        <v>1683</v>
      </c>
      <c r="C4" s="1" t="s">
        <v>1735</v>
      </c>
      <c r="D4" s="1" t="s">
        <v>1736</v>
      </c>
      <c r="E4" s="1" t="s">
        <v>1737</v>
      </c>
      <c r="F4" s="5" t="s">
        <v>1738</v>
      </c>
      <c r="G4" s="1" t="s">
        <v>486</v>
      </c>
      <c r="H4" s="1" t="s">
        <v>354</v>
      </c>
      <c r="I4" s="1" t="s">
        <v>350</v>
      </c>
      <c r="J4" s="1" t="s">
        <v>1739</v>
      </c>
      <c r="K4" s="1" t="s">
        <v>1740</v>
      </c>
      <c r="L4" s="5" t="s">
        <v>1741</v>
      </c>
    </row>
    <row r="5" spans="1:12" x14ac:dyDescent="0.25">
      <c r="A5" s="1" t="s">
        <v>1742</v>
      </c>
      <c r="B5" s="1" t="s">
        <v>1743</v>
      </c>
      <c r="C5" s="1" t="s">
        <v>1744</v>
      </c>
      <c r="D5" s="1" t="s">
        <v>1745</v>
      </c>
      <c r="E5" s="1" t="s">
        <v>1746</v>
      </c>
      <c r="F5" s="21" t="s">
        <v>1747</v>
      </c>
      <c r="G5" s="1" t="s">
        <v>487</v>
      </c>
      <c r="H5" s="1" t="s">
        <v>122</v>
      </c>
      <c r="I5" s="1" t="s">
        <v>479</v>
      </c>
      <c r="J5" s="1" t="s">
        <v>1748</v>
      </c>
      <c r="K5" s="1" t="s">
        <v>1749</v>
      </c>
      <c r="L5" s="82" t="s">
        <v>1750</v>
      </c>
    </row>
    <row r="6" spans="1:12" x14ac:dyDescent="0.25">
      <c r="A6" s="1" t="s">
        <v>1751</v>
      </c>
      <c r="B6" s="1" t="s">
        <v>1752</v>
      </c>
      <c r="C6" s="1" t="s">
        <v>1735</v>
      </c>
      <c r="D6" s="1" t="s">
        <v>1696</v>
      </c>
      <c r="E6" s="1" t="s">
        <v>1737</v>
      </c>
      <c r="F6" s="1" t="s">
        <v>1753</v>
      </c>
      <c r="G6" s="2"/>
      <c r="H6" s="2"/>
      <c r="I6" s="2"/>
      <c r="J6" s="2"/>
      <c r="K6" s="2"/>
      <c r="L6" s="1" t="s">
        <v>138</v>
      </c>
    </row>
  </sheetData>
  <mergeCells count="1">
    <mergeCell ref="A1:L1"/>
  </mergeCells>
  <dataValidations count="2">
    <dataValidation type="list" sqref="C4:C1000" xr:uid="{00000000-0002-0000-3000-000000000000}">
      <formula1>"Interna,Externa,Certificación,Seguimiento"</formula1>
    </dataValidation>
    <dataValidation type="list" sqref="F4:F1000" xr:uid="{00000000-0002-0000-3000-000001000000}">
      <formula1>"Abierto,En Proceso,Completado,Cerrado,Cancelado"</formula1>
    </dataValidation>
  </dataValidation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38">
    <tabColor rgb="FFF4B183"/>
  </sheetPr>
  <dimension ref="A1:J6"/>
  <sheetViews>
    <sheetView showGridLines="0" workbookViewId="0">
      <pane ySplit="1" topLeftCell="A2" activePane="bottomLeft" state="frozen"/>
      <selection pane="bottomLeft" sqref="A1:J1"/>
    </sheetView>
  </sheetViews>
  <sheetFormatPr baseColWidth="10" defaultColWidth="9.140625" defaultRowHeight="15" x14ac:dyDescent="0.25"/>
  <cols>
    <col min="1" max="1" width="40" customWidth="1"/>
    <col min="2" max="2" width="12" customWidth="1"/>
    <col min="3" max="3" width="30" customWidth="1"/>
    <col min="4" max="4" width="18" customWidth="1"/>
    <col min="5" max="6" width="10" customWidth="1"/>
    <col min="7" max="7" width="15" customWidth="1"/>
    <col min="8" max="8" width="12" customWidth="1"/>
    <col min="9" max="9" width="10" customWidth="1"/>
    <col min="10" max="10" width="18" customWidth="1"/>
  </cols>
  <sheetData>
    <row r="1" spans="1:10" ht="30" customHeight="1" x14ac:dyDescent="0.25">
      <c r="A1" s="186" t="s">
        <v>1754</v>
      </c>
      <c r="B1" s="164"/>
      <c r="C1" s="164"/>
      <c r="D1" s="164"/>
      <c r="E1" s="164"/>
      <c r="F1" s="164"/>
      <c r="G1" s="164"/>
      <c r="H1" s="164"/>
      <c r="I1" s="164"/>
      <c r="J1" s="165"/>
    </row>
    <row r="3" spans="1:10" ht="30" customHeight="1" x14ac:dyDescent="0.25">
      <c r="A3" s="103" t="s">
        <v>1755</v>
      </c>
      <c r="B3" s="103" t="s">
        <v>1727</v>
      </c>
      <c r="C3" s="103" t="s">
        <v>1756</v>
      </c>
      <c r="D3" s="103" t="s">
        <v>1757</v>
      </c>
      <c r="E3" s="103" t="s">
        <v>1758</v>
      </c>
      <c r="F3" s="103" t="s">
        <v>1759</v>
      </c>
      <c r="G3" s="103" t="s">
        <v>1760</v>
      </c>
      <c r="H3" s="103" t="s">
        <v>205</v>
      </c>
      <c r="I3" s="103" t="s">
        <v>1761</v>
      </c>
      <c r="J3" s="103" t="s">
        <v>1762</v>
      </c>
    </row>
    <row r="4" spans="1:10" ht="30" customHeight="1" x14ac:dyDescent="0.25">
      <c r="A4" s="1" t="s">
        <v>1763</v>
      </c>
      <c r="B4" s="1" t="s">
        <v>1715</v>
      </c>
      <c r="C4" s="1" t="s">
        <v>1764</v>
      </c>
      <c r="D4" s="1" t="s">
        <v>357</v>
      </c>
      <c r="E4" s="1" t="s">
        <v>354</v>
      </c>
      <c r="F4" s="1" t="s">
        <v>1765</v>
      </c>
      <c r="G4" s="1" t="s">
        <v>1766</v>
      </c>
      <c r="H4" s="1" t="s">
        <v>1767</v>
      </c>
      <c r="I4" s="1" t="s">
        <v>1249</v>
      </c>
      <c r="J4" s="1" t="s">
        <v>1768</v>
      </c>
    </row>
    <row r="5" spans="1:10" ht="30" customHeight="1" x14ac:dyDescent="0.25">
      <c r="A5" s="1" t="s">
        <v>1769</v>
      </c>
      <c r="B5" s="1" t="s">
        <v>1688</v>
      </c>
      <c r="C5" s="1" t="s">
        <v>1770</v>
      </c>
      <c r="D5" s="1" t="s">
        <v>1771</v>
      </c>
      <c r="E5" s="1" t="s">
        <v>350</v>
      </c>
      <c r="F5" s="1" t="s">
        <v>1772</v>
      </c>
      <c r="G5" s="1" t="s">
        <v>391</v>
      </c>
      <c r="H5" s="1" t="s">
        <v>1773</v>
      </c>
      <c r="I5" s="1" t="s">
        <v>1774</v>
      </c>
      <c r="J5" s="1" t="s">
        <v>1775</v>
      </c>
    </row>
    <row r="6" spans="1:10" ht="30" customHeight="1" x14ac:dyDescent="0.25">
      <c r="A6" s="1" t="s">
        <v>1776</v>
      </c>
      <c r="B6" s="1" t="s">
        <v>1777</v>
      </c>
      <c r="C6" s="1" t="s">
        <v>1778</v>
      </c>
      <c r="D6" s="1" t="s">
        <v>1779</v>
      </c>
      <c r="E6" s="1" t="s">
        <v>355</v>
      </c>
      <c r="F6" s="1" t="s">
        <v>487</v>
      </c>
      <c r="G6" s="1" t="s">
        <v>590</v>
      </c>
      <c r="H6" s="1" t="s">
        <v>256</v>
      </c>
      <c r="I6" s="1" t="s">
        <v>1780</v>
      </c>
      <c r="J6" s="1" t="s">
        <v>1781</v>
      </c>
    </row>
  </sheetData>
  <mergeCells count="1">
    <mergeCell ref="A1:J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40">
    <tabColor rgb="FF34495E"/>
  </sheetPr>
  <dimension ref="A1:K5"/>
  <sheetViews>
    <sheetView showGridLines="0" workbookViewId="0">
      <pane ySplit="1" topLeftCell="A2" activePane="bottomLeft" state="frozen"/>
      <selection pane="bottomLeft" sqref="A1:K1"/>
    </sheetView>
  </sheetViews>
  <sheetFormatPr baseColWidth="10" defaultColWidth="9.140625" defaultRowHeight="15" x14ac:dyDescent="0.25"/>
  <cols>
    <col min="1" max="1" width="34" customWidth="1"/>
    <col min="2" max="2" width="14" customWidth="1"/>
    <col min="3" max="3" width="18" customWidth="1"/>
    <col min="4" max="4" width="15" customWidth="1"/>
    <col min="5" max="5" width="20" customWidth="1"/>
    <col min="6" max="6" width="35" customWidth="1"/>
    <col min="7" max="7" width="10" customWidth="1"/>
    <col min="8" max="9" width="12" customWidth="1"/>
    <col min="10" max="10" width="15" customWidth="1"/>
    <col min="11" max="11" width="30" customWidth="1"/>
  </cols>
  <sheetData>
    <row r="1" spans="1:11" ht="30" customHeight="1" x14ac:dyDescent="0.25">
      <c r="A1" s="186" t="s">
        <v>1782</v>
      </c>
      <c r="B1" s="164"/>
      <c r="C1" s="164"/>
      <c r="D1" s="164"/>
      <c r="E1" s="164"/>
      <c r="F1" s="164"/>
      <c r="G1" s="164"/>
      <c r="H1" s="164"/>
      <c r="I1" s="164"/>
      <c r="J1" s="164"/>
      <c r="K1" s="165"/>
    </row>
    <row r="3" spans="1:11" ht="30" customHeight="1" x14ac:dyDescent="0.25">
      <c r="A3" s="104" t="s">
        <v>1783</v>
      </c>
      <c r="B3" s="104" t="s">
        <v>512</v>
      </c>
      <c r="C3" s="104" t="s">
        <v>1784</v>
      </c>
      <c r="D3" s="104" t="s">
        <v>251</v>
      </c>
      <c r="E3" s="104" t="s">
        <v>1785</v>
      </c>
      <c r="F3" s="104" t="s">
        <v>184</v>
      </c>
      <c r="G3" s="104" t="s">
        <v>297</v>
      </c>
      <c r="H3" s="104" t="s">
        <v>128</v>
      </c>
      <c r="I3" s="104" t="s">
        <v>1786</v>
      </c>
      <c r="J3" s="104" t="s">
        <v>516</v>
      </c>
      <c r="K3" s="104" t="s">
        <v>439</v>
      </c>
    </row>
    <row r="4" spans="1:11" ht="30" customHeight="1" x14ac:dyDescent="0.25">
      <c r="A4" s="1" t="s">
        <v>1787</v>
      </c>
      <c r="B4" s="1" t="s">
        <v>1788</v>
      </c>
      <c r="C4" s="1" t="s">
        <v>1789</v>
      </c>
      <c r="D4" s="1" t="s">
        <v>1790</v>
      </c>
      <c r="E4" s="1" t="s">
        <v>1791</v>
      </c>
      <c r="F4" s="1" t="s">
        <v>1792</v>
      </c>
      <c r="G4" s="1" t="s">
        <v>525</v>
      </c>
      <c r="H4" s="1" t="s">
        <v>1793</v>
      </c>
      <c r="I4" s="1" t="s">
        <v>390</v>
      </c>
      <c r="J4" s="1" t="s">
        <v>318</v>
      </c>
      <c r="K4" s="1" t="s">
        <v>1794</v>
      </c>
    </row>
    <row r="5" spans="1:11" ht="30" customHeight="1" x14ac:dyDescent="0.25">
      <c r="A5" s="1" t="s">
        <v>1795</v>
      </c>
      <c r="B5" s="1" t="s">
        <v>1796</v>
      </c>
      <c r="C5" s="1" t="s">
        <v>1797</v>
      </c>
      <c r="D5" s="1" t="s">
        <v>313</v>
      </c>
      <c r="E5" s="1" t="s">
        <v>1798</v>
      </c>
      <c r="F5" s="1" t="s">
        <v>1799</v>
      </c>
      <c r="G5" s="1" t="s">
        <v>211</v>
      </c>
      <c r="H5" s="1" t="s">
        <v>1800</v>
      </c>
      <c r="I5" s="1" t="s">
        <v>375</v>
      </c>
      <c r="J5" s="1" t="s">
        <v>357</v>
      </c>
      <c r="K5" s="1" t="s">
        <v>1801</v>
      </c>
    </row>
  </sheetData>
  <mergeCells count="1">
    <mergeCell ref="A1:K1"/>
  </mergeCells>
  <dataValidations count="3">
    <dataValidation type="list" sqref="C4:C1000" xr:uid="{00000000-0002-0000-3200-000000000000}">
      <formula1>"Login,Logout,Acceso,Modificación,Error,Alerta,Crítico"</formula1>
    </dataValidation>
    <dataValidation type="list" sqref="G4:G1000" xr:uid="{00000000-0002-0000-3200-000001000000}">
      <formula1>"Crítica,Alta,Media,Baja"</formula1>
    </dataValidation>
    <dataValidation type="list" sqref="H4:H1000" xr:uid="{00000000-0002-0000-3200-000002000000}">
      <formula1>"Nuevo,Revisado,Investigando,Cerrado"</formula1>
    </dataValidation>
  </dataValidation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Hoja42">
    <tabColor rgb="FF8E44AD"/>
  </sheetPr>
  <dimension ref="A1:J31"/>
  <sheetViews>
    <sheetView showGridLines="0" workbookViewId="0">
      <pane ySplit="1" topLeftCell="A2" activePane="bottomLeft" state="frozen"/>
      <selection pane="bottomLeft" sqref="A1:J1"/>
    </sheetView>
  </sheetViews>
  <sheetFormatPr baseColWidth="10" defaultColWidth="9.140625" defaultRowHeight="15" x14ac:dyDescent="0.25"/>
  <cols>
    <col min="1" max="1" width="50" customWidth="1"/>
    <col min="2" max="2" width="22" customWidth="1"/>
    <col min="3" max="3" width="30" customWidth="1"/>
    <col min="4" max="4" width="12" customWidth="1"/>
    <col min="5" max="7" width="10" customWidth="1"/>
    <col min="8" max="8" width="15" customWidth="1"/>
    <col min="9" max="9" width="35" customWidth="1"/>
    <col min="10" max="10" width="30" customWidth="1"/>
  </cols>
  <sheetData>
    <row r="1" spans="1:10" ht="30" customHeight="1" x14ac:dyDescent="0.25">
      <c r="A1" s="186" t="s">
        <v>1802</v>
      </c>
      <c r="B1" s="164"/>
      <c r="C1" s="164"/>
      <c r="D1" s="164"/>
      <c r="E1" s="164"/>
      <c r="F1" s="164"/>
      <c r="G1" s="164"/>
      <c r="H1" s="164"/>
      <c r="I1" s="164"/>
      <c r="J1" s="165"/>
    </row>
    <row r="3" spans="1:10" ht="30" customHeight="1" x14ac:dyDescent="0.25">
      <c r="A3" s="105" t="s">
        <v>1803</v>
      </c>
      <c r="B3" s="105" t="s">
        <v>1804</v>
      </c>
      <c r="C3" s="105" t="s">
        <v>184</v>
      </c>
      <c r="D3" s="105" t="s">
        <v>328</v>
      </c>
      <c r="E3" s="105" t="s">
        <v>329</v>
      </c>
      <c r="F3" s="105" t="s">
        <v>1805</v>
      </c>
      <c r="G3" s="105" t="s">
        <v>1806</v>
      </c>
      <c r="H3" s="105" t="s">
        <v>207</v>
      </c>
      <c r="I3" s="105" t="s">
        <v>1807</v>
      </c>
      <c r="J3" s="105" t="s">
        <v>1808</v>
      </c>
    </row>
    <row r="4" spans="1:10" ht="30" customHeight="1" x14ac:dyDescent="0.25">
      <c r="A4" s="1" t="s">
        <v>1809</v>
      </c>
      <c r="B4" s="1" t="s">
        <v>1810</v>
      </c>
      <c r="C4" s="73" t="s">
        <v>1811</v>
      </c>
      <c r="D4" s="1" t="s">
        <v>525</v>
      </c>
      <c r="E4" s="1" t="s">
        <v>134</v>
      </c>
      <c r="F4" s="1" t="s">
        <v>574</v>
      </c>
      <c r="G4" s="1" t="s">
        <v>546</v>
      </c>
      <c r="H4" s="1" t="s">
        <v>1716</v>
      </c>
      <c r="I4" s="73" t="s">
        <v>1812</v>
      </c>
      <c r="J4" s="1" t="s">
        <v>1813</v>
      </c>
    </row>
    <row r="5" spans="1:10" x14ac:dyDescent="0.25">
      <c r="A5" s="1" t="s">
        <v>1814</v>
      </c>
      <c r="B5" s="1" t="s">
        <v>359</v>
      </c>
      <c r="C5" s="1" t="s">
        <v>1815</v>
      </c>
      <c r="D5" s="1" t="s">
        <v>624</v>
      </c>
      <c r="E5" s="1" t="s">
        <v>131</v>
      </c>
      <c r="F5" s="1" t="s">
        <v>608</v>
      </c>
      <c r="G5" s="1" t="s">
        <v>574</v>
      </c>
      <c r="H5" s="1" t="s">
        <v>357</v>
      </c>
      <c r="I5" s="73" t="s">
        <v>1816</v>
      </c>
      <c r="J5" s="1" t="s">
        <v>1817</v>
      </c>
    </row>
    <row r="6" spans="1:10" x14ac:dyDescent="0.25">
      <c r="A6" s="1" t="s">
        <v>1818</v>
      </c>
      <c r="B6" s="1" t="s">
        <v>1819</v>
      </c>
      <c r="C6" s="1" t="s">
        <v>1820</v>
      </c>
      <c r="D6" s="1" t="s">
        <v>1821</v>
      </c>
      <c r="E6" s="1" t="s">
        <v>131</v>
      </c>
      <c r="F6" s="1" t="s">
        <v>1822</v>
      </c>
      <c r="G6" s="1" t="s">
        <v>608</v>
      </c>
      <c r="H6" s="1" t="s">
        <v>675</v>
      </c>
      <c r="I6" s="73" t="s">
        <v>1823</v>
      </c>
      <c r="J6" s="1" t="s">
        <v>1824</v>
      </c>
    </row>
    <row r="30" spans="1:10" x14ac:dyDescent="0.25">
      <c r="A30" s="198" t="s">
        <v>1825</v>
      </c>
      <c r="B30" s="139"/>
      <c r="C30" s="139"/>
      <c r="D30" s="139"/>
      <c r="E30" s="139"/>
      <c r="F30" s="139"/>
      <c r="G30" s="139"/>
      <c r="H30" s="139"/>
      <c r="I30" s="139"/>
      <c r="J30" s="139"/>
    </row>
    <row r="31" spans="1:10" x14ac:dyDescent="0.25">
      <c r="A31" s="198" t="s">
        <v>1826</v>
      </c>
      <c r="B31" s="139"/>
      <c r="C31" s="139"/>
      <c r="D31" s="139"/>
      <c r="E31" s="139"/>
      <c r="F31" s="139"/>
      <c r="G31" s="139"/>
      <c r="H31" s="139"/>
      <c r="I31" s="139"/>
      <c r="J31" s="139"/>
    </row>
  </sheetData>
  <mergeCells count="3">
    <mergeCell ref="A1:J1"/>
    <mergeCell ref="A31:J31"/>
    <mergeCell ref="A30:J30"/>
  </mergeCells>
  <dataValidations count="2">
    <dataValidation type="list" sqref="D4:D1000" xr:uid="{00000000-0002-0000-3300-000000000000}">
      <formula1>"Muy Alta,Alta,Media,Baja,Muy Baja"</formula1>
    </dataValidation>
    <dataValidation type="list" sqref="E4:E1000" xr:uid="{00000000-0002-0000-3300-000001000000}">
      <formula1>"Muy Alto,Alto,Medio,Bajo,Muy Bajo"</formula1>
    </dataValidation>
  </dataValidation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52</vt:i4>
      </vt:variant>
      <vt:variant>
        <vt:lpstr>Rangos con nombre</vt:lpstr>
      </vt:variant>
      <vt:variant>
        <vt:i4>6</vt:i4>
      </vt:variant>
    </vt:vector>
  </HeadingPairs>
  <TitlesOfParts>
    <vt:vector size="58" baseType="lpstr">
      <vt:lpstr>Portada</vt:lpstr>
      <vt:lpstr>Panel_Control</vt:lpstr>
      <vt:lpstr>Dashboard</vt:lpstr>
      <vt:lpstr>Instrucciones</vt:lpstr>
      <vt:lpstr>Activos</vt:lpstr>
      <vt:lpstr>Inventario_Amenazas</vt:lpstr>
      <vt:lpstr>Inventario_Vulnerabilidades</vt:lpstr>
      <vt:lpstr>Matriz_Riesgos</vt:lpstr>
      <vt:lpstr>Controles_ISO27001</vt:lpstr>
      <vt:lpstr>Declaracion_Aplicabilidad</vt:lpstr>
      <vt:lpstr>Plan_Tratamiento</vt:lpstr>
      <vt:lpstr>Analisis_Riesgos</vt:lpstr>
      <vt:lpstr>Gestion_Incidentes</vt:lpstr>
      <vt:lpstr>Clasificacion_Incidentes</vt:lpstr>
      <vt:lpstr>Config_Clases</vt:lpstr>
      <vt:lpstr>Config_Categorias</vt:lpstr>
      <vt:lpstr>Config_Areas</vt:lpstr>
      <vt:lpstr>MITRE_Ataques</vt:lpstr>
      <vt:lpstr>MITRE_Mitigaciones</vt:lpstr>
      <vt:lpstr>Metricas_KPI</vt:lpstr>
      <vt:lpstr>Log_Acciones</vt:lpstr>
      <vt:lpstr>Config_Tuning</vt:lpstr>
      <vt:lpstr>MITRE_Assets_ICS</vt:lpstr>
      <vt:lpstr>MITRE_Ejemplos_Mapeo</vt:lpstr>
      <vt:lpstr>MITRE_Reglas_Auto</vt:lpstr>
      <vt:lpstr>MITRE_Como_Usar_Auto</vt:lpstr>
      <vt:lpstr>MITRE_Mapeo_Inteligente</vt:lpstr>
      <vt:lpstr>Control_Documentos</vt:lpstr>
      <vt:lpstr>Metodologia_Riesgos</vt:lpstr>
      <vt:lpstr>SoA</vt:lpstr>
      <vt:lpstr>Plan_Auditoria</vt:lpstr>
      <vt:lpstr>Revision_Direccion</vt:lpstr>
      <vt:lpstr>Plan_Proyecto_SGSI</vt:lpstr>
      <vt:lpstr>Datos_Organizacion</vt:lpstr>
      <vt:lpstr>Plan_Continuidad</vt:lpstr>
      <vt:lpstr>BIA</vt:lpstr>
      <vt:lpstr>Plan_Formacion</vt:lpstr>
      <vt:lpstr>NDA_Proveedores</vt:lpstr>
      <vt:lpstr>NDA_Empleados</vt:lpstr>
      <vt:lpstr>Comite_Seguridad</vt:lpstr>
      <vt:lpstr>CMDB</vt:lpstr>
      <vt:lpstr>Procedimiento_Hardening</vt:lpstr>
      <vt:lpstr>Plan_Director_Ciber</vt:lpstr>
      <vt:lpstr>DRP_Pruebas</vt:lpstr>
      <vt:lpstr>DRP_Informes</vt:lpstr>
      <vt:lpstr>DRP_Mantenimiento</vt:lpstr>
      <vt:lpstr>Politicas_Seguridad</vt:lpstr>
      <vt:lpstr>Procedimientos</vt:lpstr>
      <vt:lpstr>Auditorias</vt:lpstr>
      <vt:lpstr>Registro_Formacion</vt:lpstr>
      <vt:lpstr>Registro_Eventos</vt:lpstr>
      <vt:lpstr>Plan_Contingencia</vt:lpstr>
      <vt:lpstr>Activos!Títulos_a_imprimir</vt:lpstr>
      <vt:lpstr>Analisis_Riesgos!Títulos_a_imprimir</vt:lpstr>
      <vt:lpstr>Dashboard!Títulos_a_imprimir</vt:lpstr>
      <vt:lpstr>Datos_Organizacion!Títulos_a_imprimir</vt:lpstr>
      <vt:lpstr>Panel_Control!Títulos_a_imprimir</vt:lpstr>
      <vt:lpstr>Plan_Tratamiento!Títulos_a_imprimir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ñanculeo</cp:lastModifiedBy>
  <cp:lastPrinted>2025-11-12T09:25:57Z</cp:lastPrinted>
  <dcterms:created xsi:type="dcterms:W3CDTF">2025-11-06T17:50:33Z</dcterms:created>
  <dcterms:modified xsi:type="dcterms:W3CDTF">2025-12-15T19:44:45Z</dcterms:modified>
</cp:coreProperties>
</file>