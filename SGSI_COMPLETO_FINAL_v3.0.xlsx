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d.docs.live.net/ee6a4c2e81ec943c/Escritorio/sgsi ciberseguridad/"/>
    </mc:Choice>
  </mc:AlternateContent>
  <xr:revisionPtr revIDLastSave="20" documentId="11_ABE19E5C5EF5737497B5A6F7A6C20DABC685246D" xr6:coauthVersionLast="47" xr6:coauthVersionMax="47" xr10:uidLastSave="{245679EB-5087-4B6F-A384-EA52A85B86BF}"/>
  <bookViews>
    <workbookView xWindow="-120" yWindow="-120" windowWidth="29040" windowHeight="15720" firstSheet="3" activeTab="9" xr2:uid="{00000000-000D-0000-FFFF-FFFF00000000}"/>
  </bookViews>
  <sheets>
    <sheet name="Panel_Control" sheetId="1" r:id="rId1"/>
    <sheet name="Control_Documentos" sheetId="2" r:id="rId2"/>
    <sheet name="Politicas_Seguridad" sheetId="3" r:id="rId3"/>
    <sheet name="Metodologia_Riesgos" sheetId="4" r:id="rId4"/>
    <sheet name="SoA" sheetId="5" r:id="rId5"/>
    <sheet name="Plan_Auditoria" sheetId="6" r:id="rId6"/>
    <sheet name="Revision_Direccion" sheetId="7" r:id="rId7"/>
    <sheet name="Plan_Proyecto_SGSI" sheetId="8" r:id="rId8"/>
    <sheet name="Gestion_Incidentes" sheetId="9" r:id="rId9"/>
    <sheet name="Plan_Continuidad" sheetId="10" r:id="rId10"/>
    <sheet name="BIA" sheetId="11" r:id="rId11"/>
    <sheet name="Plan_Formacion" sheetId="12" r:id="rId12"/>
    <sheet name="NDA_Proveedores" sheetId="13" r:id="rId13"/>
    <sheet name="NDA_Empleados" sheetId="14" r:id="rId14"/>
    <sheet name="Comite_Seguridad" sheetId="15" r:id="rId15"/>
    <sheet name="CMDB" sheetId="16" r:id="rId16"/>
    <sheet name="Procedimiento_Hardening" sheetId="17" r:id="rId17"/>
    <sheet name="Plan_Director_Ciber" sheetId="18" r:id="rId18"/>
    <sheet name="DRP_Pruebas" sheetId="19" r:id="rId19"/>
    <sheet name="DRP_Informes" sheetId="20" r:id="rId20"/>
    <sheet name="DRP_Mantenimiento" sheetId="21" r:id="rId21"/>
    <sheet name="Portada" sheetId="22" r:id="rId22"/>
    <sheet name="Datos_Organizacion" sheetId="23" r:id="rId23"/>
    <sheet name="Instrucciones" sheetId="24" r:id="rId24"/>
    <sheet name="Activos" sheetId="25" r:id="rId25"/>
    <sheet name="Matriz_Riesgos" sheetId="26" r:id="rId26"/>
    <sheet name="MITRE_Ataques" sheetId="27" r:id="rId27"/>
    <sheet name="Analisis_Riesgos" sheetId="28" r:id="rId28"/>
    <sheet name="Plan_Tratamiento" sheetId="29" r:id="rId29"/>
    <sheet name="Dashboard" sheetId="30" r:id="rId30"/>
    <sheet name="Config_Categorias" sheetId="31" r:id="rId31"/>
    <sheet name="Config_Areas" sheetId="32" r:id="rId32"/>
    <sheet name="Config_Clases" sheetId="33" r:id="rId33"/>
    <sheet name="Log_Acciones" sheetId="34" r:id="rId3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30" l="1"/>
  <c r="C18" i="30"/>
  <c r="C17" i="30"/>
  <c r="C23" i="30" s="1"/>
  <c r="C16" i="30"/>
  <c r="C13" i="30"/>
  <c r="C12" i="30"/>
  <c r="C11" i="30"/>
  <c r="C10" i="30"/>
  <c r="C7" i="30"/>
  <c r="C6" i="30"/>
  <c r="C5" i="30"/>
  <c r="C25" i="30" s="1"/>
  <c r="M1000" i="28"/>
  <c r="I1000" i="28"/>
  <c r="M999" i="28"/>
  <c r="I999" i="28"/>
  <c r="M998" i="28"/>
  <c r="I998" i="28"/>
  <c r="M997" i="28"/>
  <c r="I997" i="28"/>
  <c r="M996" i="28"/>
  <c r="I996" i="28"/>
  <c r="M995" i="28"/>
  <c r="I995" i="28"/>
  <c r="M994" i="28"/>
  <c r="I994" i="28"/>
  <c r="M993" i="28"/>
  <c r="I993" i="28"/>
  <c r="M992" i="28"/>
  <c r="I992" i="28"/>
  <c r="M991" i="28"/>
  <c r="I991" i="28"/>
  <c r="M990" i="28"/>
  <c r="I990" i="28"/>
  <c r="M989" i="28"/>
  <c r="I989" i="28"/>
  <c r="M988" i="28"/>
  <c r="I988" i="28"/>
  <c r="M987" i="28"/>
  <c r="I987" i="28"/>
  <c r="M986" i="28"/>
  <c r="I986" i="28"/>
  <c r="M985" i="28"/>
  <c r="I985" i="28"/>
  <c r="M984" i="28"/>
  <c r="I984" i="28"/>
  <c r="M983" i="28"/>
  <c r="I983" i="28"/>
  <c r="M982" i="28"/>
  <c r="I982" i="28"/>
  <c r="M981" i="28"/>
  <c r="I981" i="28"/>
  <c r="M980" i="28"/>
  <c r="I980" i="28"/>
  <c r="M979" i="28"/>
  <c r="I979" i="28"/>
  <c r="M978" i="28"/>
  <c r="I978" i="28"/>
  <c r="M977" i="28"/>
  <c r="I977" i="28"/>
  <c r="M976" i="28"/>
  <c r="I976" i="28"/>
  <c r="M975" i="28"/>
  <c r="I975" i="28"/>
  <c r="M974" i="28"/>
  <c r="I974" i="28"/>
  <c r="M973" i="28"/>
  <c r="I973" i="28"/>
  <c r="M972" i="28"/>
  <c r="I972" i="28"/>
  <c r="M971" i="28"/>
  <c r="I971" i="28"/>
  <c r="M970" i="28"/>
  <c r="I970" i="28"/>
  <c r="M969" i="28"/>
  <c r="I969" i="28"/>
  <c r="M968" i="28"/>
  <c r="I968" i="28"/>
  <c r="M967" i="28"/>
  <c r="I967" i="28"/>
  <c r="M966" i="28"/>
  <c r="I966" i="28"/>
  <c r="M965" i="28"/>
  <c r="I965" i="28"/>
  <c r="M964" i="28"/>
  <c r="I964" i="28"/>
  <c r="M963" i="28"/>
  <c r="I963" i="28"/>
  <c r="M962" i="28"/>
  <c r="I962" i="28"/>
  <c r="M961" i="28"/>
  <c r="I961" i="28"/>
  <c r="M960" i="28"/>
  <c r="I960" i="28"/>
  <c r="M959" i="28"/>
  <c r="I959" i="28"/>
  <c r="M958" i="28"/>
  <c r="I958" i="28"/>
  <c r="M957" i="28"/>
  <c r="I957" i="28"/>
  <c r="M956" i="28"/>
  <c r="I956" i="28"/>
  <c r="M955" i="28"/>
  <c r="I955" i="28"/>
  <c r="M954" i="28"/>
  <c r="I954" i="28"/>
  <c r="M953" i="28"/>
  <c r="I953" i="28"/>
  <c r="M952" i="28"/>
  <c r="I952" i="28"/>
  <c r="M951" i="28"/>
  <c r="I951" i="28"/>
  <c r="M950" i="28"/>
  <c r="I950" i="28"/>
  <c r="M949" i="28"/>
  <c r="I949" i="28"/>
  <c r="M948" i="28"/>
  <c r="I948" i="28"/>
  <c r="M947" i="28"/>
  <c r="I947" i="28"/>
  <c r="M946" i="28"/>
  <c r="I946" i="28"/>
  <c r="M945" i="28"/>
  <c r="I945" i="28"/>
  <c r="M944" i="28"/>
  <c r="I944" i="28"/>
  <c r="M943" i="28"/>
  <c r="I943" i="28"/>
  <c r="M942" i="28"/>
  <c r="I942" i="28"/>
  <c r="M941" i="28"/>
  <c r="I941" i="28"/>
  <c r="M940" i="28"/>
  <c r="I940" i="28"/>
  <c r="M939" i="28"/>
  <c r="I939" i="28"/>
  <c r="M938" i="28"/>
  <c r="I938" i="28"/>
  <c r="M937" i="28"/>
  <c r="I937" i="28"/>
  <c r="M936" i="28"/>
  <c r="I936" i="28"/>
  <c r="M935" i="28"/>
  <c r="I935" i="28"/>
  <c r="M934" i="28"/>
  <c r="I934" i="28"/>
  <c r="M933" i="28"/>
  <c r="I933" i="28"/>
  <c r="M932" i="28"/>
  <c r="I932" i="28"/>
  <c r="M931" i="28"/>
  <c r="I931" i="28"/>
  <c r="M930" i="28"/>
  <c r="I930" i="28"/>
  <c r="M929" i="28"/>
  <c r="I929" i="28"/>
  <c r="M928" i="28"/>
  <c r="I928" i="28"/>
  <c r="M927" i="28"/>
  <c r="I927" i="28"/>
  <c r="M926" i="28"/>
  <c r="I926" i="28"/>
  <c r="M925" i="28"/>
  <c r="I925" i="28"/>
  <c r="M924" i="28"/>
  <c r="I924" i="28"/>
  <c r="M923" i="28"/>
  <c r="I923" i="28"/>
  <c r="M922" i="28"/>
  <c r="I922" i="28"/>
  <c r="M921" i="28"/>
  <c r="I921" i="28"/>
  <c r="M920" i="28"/>
  <c r="I920" i="28"/>
  <c r="M919" i="28"/>
  <c r="I919" i="28"/>
  <c r="M918" i="28"/>
  <c r="I918" i="28"/>
  <c r="M917" i="28"/>
  <c r="I917" i="28"/>
  <c r="M916" i="28"/>
  <c r="I916" i="28"/>
  <c r="M915" i="28"/>
  <c r="I915" i="28"/>
  <c r="M914" i="28"/>
  <c r="I914" i="28"/>
  <c r="M913" i="28"/>
  <c r="I913" i="28"/>
  <c r="M912" i="28"/>
  <c r="I912" i="28"/>
  <c r="M911" i="28"/>
  <c r="I911" i="28"/>
  <c r="M910" i="28"/>
  <c r="I910" i="28"/>
  <c r="M909" i="28"/>
  <c r="I909" i="28"/>
  <c r="M908" i="28"/>
  <c r="I908" i="28"/>
  <c r="M907" i="28"/>
  <c r="I907" i="28"/>
  <c r="M906" i="28"/>
  <c r="I906" i="28"/>
  <c r="M905" i="28"/>
  <c r="I905" i="28"/>
  <c r="M904" i="28"/>
  <c r="I904" i="28"/>
  <c r="M903" i="28"/>
  <c r="I903" i="28"/>
  <c r="M902" i="28"/>
  <c r="I902" i="28"/>
  <c r="M901" i="28"/>
  <c r="I901" i="28"/>
  <c r="M900" i="28"/>
  <c r="I900" i="28"/>
  <c r="M899" i="28"/>
  <c r="I899" i="28"/>
  <c r="M898" i="28"/>
  <c r="I898" i="28"/>
  <c r="M897" i="28"/>
  <c r="I897" i="28"/>
  <c r="M896" i="28"/>
  <c r="I896" i="28"/>
  <c r="M895" i="28"/>
  <c r="I895" i="28"/>
  <c r="M894" i="28"/>
  <c r="I894" i="28"/>
  <c r="M893" i="28"/>
  <c r="I893" i="28"/>
  <c r="M892" i="28"/>
  <c r="I892" i="28"/>
  <c r="M891" i="28"/>
  <c r="I891" i="28"/>
  <c r="M890" i="28"/>
  <c r="I890" i="28"/>
  <c r="M889" i="28"/>
  <c r="I889" i="28"/>
  <c r="M888" i="28"/>
  <c r="I888" i="28"/>
  <c r="M887" i="28"/>
  <c r="I887" i="28"/>
  <c r="M886" i="28"/>
  <c r="I886" i="28"/>
  <c r="M885" i="28"/>
  <c r="I885" i="28"/>
  <c r="M884" i="28"/>
  <c r="I884" i="28"/>
  <c r="M883" i="28"/>
  <c r="I883" i="28"/>
  <c r="M882" i="28"/>
  <c r="I882" i="28"/>
  <c r="M881" i="28"/>
  <c r="I881" i="28"/>
  <c r="M880" i="28"/>
  <c r="I880" i="28"/>
  <c r="M879" i="28"/>
  <c r="I879" i="28"/>
  <c r="M878" i="28"/>
  <c r="I878" i="28"/>
  <c r="M877" i="28"/>
  <c r="I877" i="28"/>
  <c r="M876" i="28"/>
  <c r="I876" i="28"/>
  <c r="M875" i="28"/>
  <c r="I875" i="28"/>
  <c r="M874" i="28"/>
  <c r="I874" i="28"/>
  <c r="M873" i="28"/>
  <c r="I873" i="28"/>
  <c r="M872" i="28"/>
  <c r="I872" i="28"/>
  <c r="M871" i="28"/>
  <c r="I871" i="28"/>
  <c r="M870" i="28"/>
  <c r="I870" i="28"/>
  <c r="M869" i="28"/>
  <c r="I869" i="28"/>
  <c r="M868" i="28"/>
  <c r="I868" i="28"/>
  <c r="M867" i="28"/>
  <c r="I867" i="28"/>
  <c r="M866" i="28"/>
  <c r="I866" i="28"/>
  <c r="M865" i="28"/>
  <c r="I865" i="28"/>
  <c r="M864" i="28"/>
  <c r="I864" i="28"/>
  <c r="M863" i="28"/>
  <c r="I863" i="28"/>
  <c r="M862" i="28"/>
  <c r="I862" i="28"/>
  <c r="M861" i="28"/>
  <c r="I861" i="28"/>
  <c r="M860" i="28"/>
  <c r="I860" i="28"/>
  <c r="M859" i="28"/>
  <c r="I859" i="28"/>
  <c r="M858" i="28"/>
  <c r="I858" i="28"/>
  <c r="M857" i="28"/>
  <c r="I857" i="28"/>
  <c r="M856" i="28"/>
  <c r="I856" i="28"/>
  <c r="M855" i="28"/>
  <c r="I855" i="28"/>
  <c r="M854" i="28"/>
  <c r="I854" i="28"/>
  <c r="M853" i="28"/>
  <c r="I853" i="28"/>
  <c r="M852" i="28"/>
  <c r="I852" i="28"/>
  <c r="M851" i="28"/>
  <c r="I851" i="28"/>
  <c r="M850" i="28"/>
  <c r="I850" i="28"/>
  <c r="M849" i="28"/>
  <c r="I849" i="28"/>
  <c r="M848" i="28"/>
  <c r="I848" i="28"/>
  <c r="M847" i="28"/>
  <c r="I847" i="28"/>
  <c r="M846" i="28"/>
  <c r="I846" i="28"/>
  <c r="M845" i="28"/>
  <c r="I845" i="28"/>
  <c r="M844" i="28"/>
  <c r="I844" i="28"/>
  <c r="M843" i="28"/>
  <c r="I843" i="28"/>
  <c r="M842" i="28"/>
  <c r="I842" i="28"/>
  <c r="M841" i="28"/>
  <c r="I841" i="28"/>
  <c r="M840" i="28"/>
  <c r="I840" i="28"/>
  <c r="M839" i="28"/>
  <c r="I839" i="28"/>
  <c r="M838" i="28"/>
  <c r="I838" i="28"/>
  <c r="M837" i="28"/>
  <c r="I837" i="28"/>
  <c r="M836" i="28"/>
  <c r="I836" i="28"/>
  <c r="M835" i="28"/>
  <c r="I835" i="28"/>
  <c r="M834" i="28"/>
  <c r="I834" i="28"/>
  <c r="M833" i="28"/>
  <c r="I833" i="28"/>
  <c r="M832" i="28"/>
  <c r="I832" i="28"/>
  <c r="M831" i="28"/>
  <c r="I831" i="28"/>
  <c r="M830" i="28"/>
  <c r="I830" i="28"/>
  <c r="M829" i="28"/>
  <c r="I829" i="28"/>
  <c r="M828" i="28"/>
  <c r="I828" i="28"/>
  <c r="M827" i="28"/>
  <c r="I827" i="28"/>
  <c r="M826" i="28"/>
  <c r="I826" i="28"/>
  <c r="M825" i="28"/>
  <c r="I825" i="28"/>
  <c r="M824" i="28"/>
  <c r="I824" i="28"/>
  <c r="M823" i="28"/>
  <c r="I823" i="28"/>
  <c r="M822" i="28"/>
  <c r="I822" i="28"/>
  <c r="M821" i="28"/>
  <c r="I821" i="28"/>
  <c r="M820" i="28"/>
  <c r="I820" i="28"/>
  <c r="M819" i="28"/>
  <c r="I819" i="28"/>
  <c r="M818" i="28"/>
  <c r="I818" i="28"/>
  <c r="M817" i="28"/>
  <c r="I817" i="28"/>
  <c r="M816" i="28"/>
  <c r="I816" i="28"/>
  <c r="M815" i="28"/>
  <c r="I815" i="28"/>
  <c r="M814" i="28"/>
  <c r="I814" i="28"/>
  <c r="M813" i="28"/>
  <c r="I813" i="28"/>
  <c r="M812" i="28"/>
  <c r="I812" i="28"/>
  <c r="M811" i="28"/>
  <c r="I811" i="28"/>
  <c r="M810" i="28"/>
  <c r="I810" i="28"/>
  <c r="M809" i="28"/>
  <c r="I809" i="28"/>
  <c r="M808" i="28"/>
  <c r="I808" i="28"/>
  <c r="M807" i="28"/>
  <c r="I807" i="28"/>
  <c r="M806" i="28"/>
  <c r="I806" i="28"/>
  <c r="M805" i="28"/>
  <c r="I805" i="28"/>
  <c r="M804" i="28"/>
  <c r="I804" i="28"/>
  <c r="M803" i="28"/>
  <c r="I803" i="28"/>
  <c r="M802" i="28"/>
  <c r="I802" i="28"/>
  <c r="M801" i="28"/>
  <c r="I801" i="28"/>
  <c r="M800" i="28"/>
  <c r="I800" i="28"/>
  <c r="M799" i="28"/>
  <c r="I799" i="28"/>
  <c r="M798" i="28"/>
  <c r="I798" i="28"/>
  <c r="M797" i="28"/>
  <c r="I797" i="28"/>
  <c r="M796" i="28"/>
  <c r="I796" i="28"/>
  <c r="M795" i="28"/>
  <c r="I795" i="28"/>
  <c r="M794" i="28"/>
  <c r="I794" i="28"/>
  <c r="M793" i="28"/>
  <c r="I793" i="28"/>
  <c r="M792" i="28"/>
  <c r="I792" i="28"/>
  <c r="M791" i="28"/>
  <c r="I791" i="28"/>
  <c r="M790" i="28"/>
  <c r="I790" i="28"/>
  <c r="M789" i="28"/>
  <c r="I789" i="28"/>
  <c r="M788" i="28"/>
  <c r="I788" i="28"/>
  <c r="M787" i="28"/>
  <c r="I787" i="28"/>
  <c r="M786" i="28"/>
  <c r="I786" i="28"/>
  <c r="M785" i="28"/>
  <c r="I785" i="28"/>
  <c r="M784" i="28"/>
  <c r="I784" i="28"/>
  <c r="M783" i="28"/>
  <c r="I783" i="28"/>
  <c r="M782" i="28"/>
  <c r="I782" i="28"/>
  <c r="M781" i="28"/>
  <c r="I781" i="28"/>
  <c r="M780" i="28"/>
  <c r="I780" i="28"/>
  <c r="M779" i="28"/>
  <c r="I779" i="28"/>
  <c r="M778" i="28"/>
  <c r="I778" i="28"/>
  <c r="M777" i="28"/>
  <c r="I777" i="28"/>
  <c r="M776" i="28"/>
  <c r="I776" i="28"/>
  <c r="M775" i="28"/>
  <c r="I775" i="28"/>
  <c r="M774" i="28"/>
  <c r="I774" i="28"/>
  <c r="M773" i="28"/>
  <c r="I773" i="28"/>
  <c r="M772" i="28"/>
  <c r="I772" i="28"/>
  <c r="M771" i="28"/>
  <c r="I771" i="28"/>
  <c r="M770" i="28"/>
  <c r="I770" i="28"/>
  <c r="M769" i="28"/>
  <c r="I769" i="28"/>
  <c r="M768" i="28"/>
  <c r="I768" i="28"/>
  <c r="M767" i="28"/>
  <c r="I767" i="28"/>
  <c r="M766" i="28"/>
  <c r="I766" i="28"/>
  <c r="M765" i="28"/>
  <c r="I765" i="28"/>
  <c r="M764" i="28"/>
  <c r="I764" i="28"/>
  <c r="M763" i="28"/>
  <c r="I763" i="28"/>
  <c r="M762" i="28"/>
  <c r="I762" i="28"/>
  <c r="M761" i="28"/>
  <c r="I761" i="28"/>
  <c r="M760" i="28"/>
  <c r="I760" i="28"/>
  <c r="M759" i="28"/>
  <c r="I759" i="28"/>
  <c r="M758" i="28"/>
  <c r="I758" i="28"/>
  <c r="M757" i="28"/>
  <c r="I757" i="28"/>
  <c r="M756" i="28"/>
  <c r="I756" i="28"/>
  <c r="M755" i="28"/>
  <c r="I755" i="28"/>
  <c r="M754" i="28"/>
  <c r="I754" i="28"/>
  <c r="M753" i="28"/>
  <c r="I753" i="28"/>
  <c r="M752" i="28"/>
  <c r="I752" i="28"/>
  <c r="M751" i="28"/>
  <c r="I751" i="28"/>
  <c r="M750" i="28"/>
  <c r="I750" i="28"/>
  <c r="M749" i="28"/>
  <c r="I749" i="28"/>
  <c r="M748" i="28"/>
  <c r="I748" i="28"/>
  <c r="M747" i="28"/>
  <c r="I747" i="28"/>
  <c r="M746" i="28"/>
  <c r="I746" i="28"/>
  <c r="M745" i="28"/>
  <c r="I745" i="28"/>
  <c r="M744" i="28"/>
  <c r="I744" i="28"/>
  <c r="M743" i="28"/>
  <c r="I743" i="28"/>
  <c r="M742" i="28"/>
  <c r="I742" i="28"/>
  <c r="M741" i="28"/>
  <c r="I741" i="28"/>
  <c r="M740" i="28"/>
  <c r="I740" i="28"/>
  <c r="M739" i="28"/>
  <c r="I739" i="28"/>
  <c r="M738" i="28"/>
  <c r="I738" i="28"/>
  <c r="M737" i="28"/>
  <c r="I737" i="28"/>
  <c r="M736" i="28"/>
  <c r="I736" i="28"/>
  <c r="M735" i="28"/>
  <c r="I735" i="28"/>
  <c r="M734" i="28"/>
  <c r="I734" i="28"/>
  <c r="M733" i="28"/>
  <c r="I733" i="28"/>
  <c r="M732" i="28"/>
  <c r="I732" i="28"/>
  <c r="M731" i="28"/>
  <c r="I731" i="28"/>
  <c r="M730" i="28"/>
  <c r="I730" i="28"/>
  <c r="M729" i="28"/>
  <c r="I729" i="28"/>
  <c r="M728" i="28"/>
  <c r="I728" i="28"/>
  <c r="M727" i="28"/>
  <c r="I727" i="28"/>
  <c r="M726" i="28"/>
  <c r="I726" i="28"/>
  <c r="M725" i="28"/>
  <c r="I725" i="28"/>
  <c r="M724" i="28"/>
  <c r="I724" i="28"/>
  <c r="M723" i="28"/>
  <c r="I723" i="28"/>
  <c r="M722" i="28"/>
  <c r="I722" i="28"/>
  <c r="M721" i="28"/>
  <c r="I721" i="28"/>
  <c r="M720" i="28"/>
  <c r="I720" i="28"/>
  <c r="M719" i="28"/>
  <c r="I719" i="28"/>
  <c r="M718" i="28"/>
  <c r="I718" i="28"/>
  <c r="M717" i="28"/>
  <c r="I717" i="28"/>
  <c r="M716" i="28"/>
  <c r="I716" i="28"/>
  <c r="M715" i="28"/>
  <c r="I715" i="28"/>
  <c r="M714" i="28"/>
  <c r="I714" i="28"/>
  <c r="M713" i="28"/>
  <c r="I713" i="28"/>
  <c r="M712" i="28"/>
  <c r="I712" i="28"/>
  <c r="M711" i="28"/>
  <c r="I711" i="28"/>
  <c r="M710" i="28"/>
  <c r="I710" i="28"/>
  <c r="M709" i="28"/>
  <c r="I709" i="28"/>
  <c r="M708" i="28"/>
  <c r="I708" i="28"/>
  <c r="M707" i="28"/>
  <c r="I707" i="28"/>
  <c r="M706" i="28"/>
  <c r="I706" i="28"/>
  <c r="M705" i="28"/>
  <c r="I705" i="28"/>
  <c r="M704" i="28"/>
  <c r="I704" i="28"/>
  <c r="M703" i="28"/>
  <c r="I703" i="28"/>
  <c r="M702" i="28"/>
  <c r="I702" i="28"/>
  <c r="M701" i="28"/>
  <c r="I701" i="28"/>
  <c r="M700" i="28"/>
  <c r="I700" i="28"/>
  <c r="M699" i="28"/>
  <c r="I699" i="28"/>
  <c r="M698" i="28"/>
  <c r="I698" i="28"/>
  <c r="M697" i="28"/>
  <c r="I697" i="28"/>
  <c r="M696" i="28"/>
  <c r="I696" i="28"/>
  <c r="M695" i="28"/>
  <c r="I695" i="28"/>
  <c r="M694" i="28"/>
  <c r="I694" i="28"/>
  <c r="M693" i="28"/>
  <c r="I693" i="28"/>
  <c r="M692" i="28"/>
  <c r="I692" i="28"/>
  <c r="M691" i="28"/>
  <c r="I691" i="28"/>
  <c r="M690" i="28"/>
  <c r="I690" i="28"/>
  <c r="M689" i="28"/>
  <c r="I689" i="28"/>
  <c r="M688" i="28"/>
  <c r="I688" i="28"/>
  <c r="M687" i="28"/>
  <c r="I687" i="28"/>
  <c r="M686" i="28"/>
  <c r="I686" i="28"/>
  <c r="M685" i="28"/>
  <c r="I685" i="28"/>
  <c r="M684" i="28"/>
  <c r="I684" i="28"/>
  <c r="M683" i="28"/>
  <c r="I683" i="28"/>
  <c r="M682" i="28"/>
  <c r="I682" i="28"/>
  <c r="M681" i="28"/>
  <c r="I681" i="28"/>
  <c r="M680" i="28"/>
  <c r="I680" i="28"/>
  <c r="M679" i="28"/>
  <c r="I679" i="28"/>
  <c r="M678" i="28"/>
  <c r="I678" i="28"/>
  <c r="M677" i="28"/>
  <c r="I677" i="28"/>
  <c r="M676" i="28"/>
  <c r="I676" i="28"/>
  <c r="M675" i="28"/>
  <c r="I675" i="28"/>
  <c r="M674" i="28"/>
  <c r="I674" i="28"/>
  <c r="M673" i="28"/>
  <c r="I673" i="28"/>
  <c r="M672" i="28"/>
  <c r="I672" i="28"/>
  <c r="M671" i="28"/>
  <c r="I671" i="28"/>
  <c r="M670" i="28"/>
  <c r="I670" i="28"/>
  <c r="M669" i="28"/>
  <c r="I669" i="28"/>
  <c r="M668" i="28"/>
  <c r="I668" i="28"/>
  <c r="M667" i="28"/>
  <c r="I667" i="28"/>
  <c r="M666" i="28"/>
  <c r="I666" i="28"/>
  <c r="M665" i="28"/>
  <c r="I665" i="28"/>
  <c r="M664" i="28"/>
  <c r="I664" i="28"/>
  <c r="M663" i="28"/>
  <c r="I663" i="28"/>
  <c r="M662" i="28"/>
  <c r="I662" i="28"/>
  <c r="M661" i="28"/>
  <c r="I661" i="28"/>
  <c r="M660" i="28"/>
  <c r="I660" i="28"/>
  <c r="M659" i="28"/>
  <c r="I659" i="28"/>
  <c r="M658" i="28"/>
  <c r="I658" i="28"/>
  <c r="M657" i="28"/>
  <c r="I657" i="28"/>
  <c r="M656" i="28"/>
  <c r="I656" i="28"/>
  <c r="M655" i="28"/>
  <c r="I655" i="28"/>
  <c r="M654" i="28"/>
  <c r="I654" i="28"/>
  <c r="M653" i="28"/>
  <c r="I653" i="28"/>
  <c r="M652" i="28"/>
  <c r="I652" i="28"/>
  <c r="M651" i="28"/>
  <c r="I651" i="28"/>
  <c r="M650" i="28"/>
  <c r="I650" i="28"/>
  <c r="M649" i="28"/>
  <c r="I649" i="28"/>
  <c r="M648" i="28"/>
  <c r="I648" i="28"/>
  <c r="M647" i="28"/>
  <c r="I647" i="28"/>
  <c r="M646" i="28"/>
  <c r="I646" i="28"/>
  <c r="M645" i="28"/>
  <c r="I645" i="28"/>
  <c r="M644" i="28"/>
  <c r="I644" i="28"/>
  <c r="M643" i="28"/>
  <c r="I643" i="28"/>
  <c r="M642" i="28"/>
  <c r="I642" i="28"/>
  <c r="M641" i="28"/>
  <c r="I641" i="28"/>
  <c r="M640" i="28"/>
  <c r="I640" i="28"/>
  <c r="M639" i="28"/>
  <c r="I639" i="28"/>
  <c r="M638" i="28"/>
  <c r="I638" i="28"/>
  <c r="M637" i="28"/>
  <c r="I637" i="28"/>
  <c r="M636" i="28"/>
  <c r="I636" i="28"/>
  <c r="M635" i="28"/>
  <c r="I635" i="28"/>
  <c r="M634" i="28"/>
  <c r="I634" i="28"/>
  <c r="M633" i="28"/>
  <c r="I633" i="28"/>
  <c r="M632" i="28"/>
  <c r="I632" i="28"/>
  <c r="M631" i="28"/>
  <c r="I631" i="28"/>
  <c r="M630" i="28"/>
  <c r="I630" i="28"/>
  <c r="M629" i="28"/>
  <c r="I629" i="28"/>
  <c r="M628" i="28"/>
  <c r="I628" i="28"/>
  <c r="M627" i="28"/>
  <c r="I627" i="28"/>
  <c r="M626" i="28"/>
  <c r="I626" i="28"/>
  <c r="M625" i="28"/>
  <c r="I625" i="28"/>
  <c r="M624" i="28"/>
  <c r="I624" i="28"/>
  <c r="M623" i="28"/>
  <c r="I623" i="28"/>
  <c r="M622" i="28"/>
  <c r="I622" i="28"/>
  <c r="M621" i="28"/>
  <c r="I621" i="28"/>
  <c r="M620" i="28"/>
  <c r="I620" i="28"/>
  <c r="M619" i="28"/>
  <c r="I619" i="28"/>
  <c r="M618" i="28"/>
  <c r="I618" i="28"/>
  <c r="M617" i="28"/>
  <c r="I617" i="28"/>
  <c r="M616" i="28"/>
  <c r="I616" i="28"/>
  <c r="M615" i="28"/>
  <c r="I615" i="28"/>
  <c r="M614" i="28"/>
  <c r="I614" i="28"/>
  <c r="M613" i="28"/>
  <c r="I613" i="28"/>
  <c r="M612" i="28"/>
  <c r="I612" i="28"/>
  <c r="M611" i="28"/>
  <c r="I611" i="28"/>
  <c r="M610" i="28"/>
  <c r="I610" i="28"/>
  <c r="M609" i="28"/>
  <c r="I609" i="28"/>
  <c r="M608" i="28"/>
  <c r="I608" i="28"/>
  <c r="M607" i="28"/>
  <c r="I607" i="28"/>
  <c r="M606" i="28"/>
  <c r="I606" i="28"/>
  <c r="M605" i="28"/>
  <c r="I605" i="28"/>
  <c r="M604" i="28"/>
  <c r="I604" i="28"/>
  <c r="M603" i="28"/>
  <c r="I603" i="28"/>
  <c r="M602" i="28"/>
  <c r="I602" i="28"/>
  <c r="M601" i="28"/>
  <c r="I601" i="28"/>
  <c r="M600" i="28"/>
  <c r="I600" i="28"/>
  <c r="M599" i="28"/>
  <c r="I599" i="28"/>
  <c r="M598" i="28"/>
  <c r="I598" i="28"/>
  <c r="M597" i="28"/>
  <c r="I597" i="28"/>
  <c r="M596" i="28"/>
  <c r="I596" i="28"/>
  <c r="M595" i="28"/>
  <c r="I595" i="28"/>
  <c r="M594" i="28"/>
  <c r="I594" i="28"/>
  <c r="M593" i="28"/>
  <c r="I593" i="28"/>
  <c r="M592" i="28"/>
  <c r="I592" i="28"/>
  <c r="M591" i="28"/>
  <c r="I591" i="28"/>
  <c r="M590" i="28"/>
  <c r="I590" i="28"/>
  <c r="M589" i="28"/>
  <c r="I589" i="28"/>
  <c r="M588" i="28"/>
  <c r="I588" i="28"/>
  <c r="M587" i="28"/>
  <c r="I587" i="28"/>
  <c r="M586" i="28"/>
  <c r="I586" i="28"/>
  <c r="M585" i="28"/>
  <c r="I585" i="28"/>
  <c r="M584" i="28"/>
  <c r="I584" i="28"/>
  <c r="M583" i="28"/>
  <c r="I583" i="28"/>
  <c r="M582" i="28"/>
  <c r="I582" i="28"/>
  <c r="M581" i="28"/>
  <c r="I581" i="28"/>
  <c r="M580" i="28"/>
  <c r="I580" i="28"/>
  <c r="M579" i="28"/>
  <c r="I579" i="28"/>
  <c r="M578" i="28"/>
  <c r="I578" i="28"/>
  <c r="M577" i="28"/>
  <c r="I577" i="28"/>
  <c r="M576" i="28"/>
  <c r="I576" i="28"/>
  <c r="M575" i="28"/>
  <c r="I575" i="28"/>
  <c r="M574" i="28"/>
  <c r="I574" i="28"/>
  <c r="M573" i="28"/>
  <c r="I573" i="28"/>
  <c r="M572" i="28"/>
  <c r="I572" i="28"/>
  <c r="M571" i="28"/>
  <c r="I571" i="28"/>
  <c r="M570" i="28"/>
  <c r="I570" i="28"/>
  <c r="M569" i="28"/>
  <c r="I569" i="28"/>
  <c r="M568" i="28"/>
  <c r="I568" i="28"/>
  <c r="M567" i="28"/>
  <c r="I567" i="28"/>
  <c r="M566" i="28"/>
  <c r="I566" i="28"/>
  <c r="M565" i="28"/>
  <c r="I565" i="28"/>
  <c r="M564" i="28"/>
  <c r="I564" i="28"/>
  <c r="M563" i="28"/>
  <c r="I563" i="28"/>
  <c r="M562" i="28"/>
  <c r="I562" i="28"/>
  <c r="M561" i="28"/>
  <c r="I561" i="28"/>
  <c r="M560" i="28"/>
  <c r="I560" i="28"/>
  <c r="M559" i="28"/>
  <c r="I559" i="28"/>
  <c r="M558" i="28"/>
  <c r="I558" i="28"/>
  <c r="M557" i="28"/>
  <c r="I557" i="28"/>
  <c r="M556" i="28"/>
  <c r="I556" i="28"/>
  <c r="M555" i="28"/>
  <c r="I555" i="28"/>
  <c r="M554" i="28"/>
  <c r="I554" i="28"/>
  <c r="M553" i="28"/>
  <c r="I553" i="28"/>
  <c r="M552" i="28"/>
  <c r="I552" i="28"/>
  <c r="M551" i="28"/>
  <c r="I551" i="28"/>
  <c r="M550" i="28"/>
  <c r="I550" i="28"/>
  <c r="M549" i="28"/>
  <c r="I549" i="28"/>
  <c r="M548" i="28"/>
  <c r="I548" i="28"/>
  <c r="M547" i="28"/>
  <c r="I547" i="28"/>
  <c r="M546" i="28"/>
  <c r="I546" i="28"/>
  <c r="M545" i="28"/>
  <c r="I545" i="28"/>
  <c r="M544" i="28"/>
  <c r="I544" i="28"/>
  <c r="M543" i="28"/>
  <c r="I543" i="28"/>
  <c r="M542" i="28"/>
  <c r="I542" i="28"/>
  <c r="M541" i="28"/>
  <c r="I541" i="28"/>
  <c r="M540" i="28"/>
  <c r="I540" i="28"/>
  <c r="M539" i="28"/>
  <c r="I539" i="28"/>
  <c r="M538" i="28"/>
  <c r="I538" i="28"/>
  <c r="M537" i="28"/>
  <c r="I537" i="28"/>
  <c r="M536" i="28"/>
  <c r="I536" i="28"/>
  <c r="M535" i="28"/>
  <c r="I535" i="28"/>
  <c r="M534" i="28"/>
  <c r="I534" i="28"/>
  <c r="M533" i="28"/>
  <c r="I533" i="28"/>
  <c r="M532" i="28"/>
  <c r="I532" i="28"/>
  <c r="M531" i="28"/>
  <c r="I531" i="28"/>
  <c r="M530" i="28"/>
  <c r="I530" i="28"/>
  <c r="M529" i="28"/>
  <c r="I529" i="28"/>
  <c r="M528" i="28"/>
  <c r="I528" i="28"/>
  <c r="M527" i="28"/>
  <c r="I527" i="28"/>
  <c r="M526" i="28"/>
  <c r="I526" i="28"/>
  <c r="M525" i="28"/>
  <c r="I525" i="28"/>
  <c r="M524" i="28"/>
  <c r="I524" i="28"/>
  <c r="M523" i="28"/>
  <c r="I523" i="28"/>
  <c r="M522" i="28"/>
  <c r="I522" i="28"/>
  <c r="M521" i="28"/>
  <c r="I521" i="28"/>
  <c r="M520" i="28"/>
  <c r="I520" i="28"/>
  <c r="M519" i="28"/>
  <c r="I519" i="28"/>
  <c r="M518" i="28"/>
  <c r="I518" i="28"/>
  <c r="M517" i="28"/>
  <c r="I517" i="28"/>
  <c r="M516" i="28"/>
  <c r="I516" i="28"/>
  <c r="M515" i="28"/>
  <c r="I515" i="28"/>
  <c r="M514" i="28"/>
  <c r="I514" i="28"/>
  <c r="M513" i="28"/>
  <c r="I513" i="28"/>
  <c r="M512" i="28"/>
  <c r="I512" i="28"/>
  <c r="M511" i="28"/>
  <c r="I511" i="28"/>
  <c r="M510" i="28"/>
  <c r="I510" i="28"/>
  <c r="M509" i="28"/>
  <c r="I509" i="28"/>
  <c r="M508" i="28"/>
  <c r="I508" i="28"/>
  <c r="M507" i="28"/>
  <c r="I507" i="28"/>
  <c r="M506" i="28"/>
  <c r="I506" i="28"/>
  <c r="M505" i="28"/>
  <c r="I505" i="28"/>
  <c r="M504" i="28"/>
  <c r="I504" i="28"/>
  <c r="M503" i="28"/>
  <c r="I503" i="28"/>
  <c r="M502" i="28"/>
  <c r="I502" i="28"/>
  <c r="M501" i="28"/>
  <c r="I501" i="28"/>
  <c r="M500" i="28"/>
  <c r="I500" i="28"/>
  <c r="M499" i="28"/>
  <c r="I499" i="28"/>
  <c r="M498" i="28"/>
  <c r="I498" i="28"/>
  <c r="M497" i="28"/>
  <c r="I497" i="28"/>
  <c r="M496" i="28"/>
  <c r="I496" i="28"/>
  <c r="M495" i="28"/>
  <c r="I495" i="28"/>
  <c r="M494" i="28"/>
  <c r="I494" i="28"/>
  <c r="M493" i="28"/>
  <c r="I493" i="28"/>
  <c r="M492" i="28"/>
  <c r="I492" i="28"/>
  <c r="M491" i="28"/>
  <c r="I491" i="28"/>
  <c r="M490" i="28"/>
  <c r="I490" i="28"/>
  <c r="M489" i="28"/>
  <c r="I489" i="28"/>
  <c r="M488" i="28"/>
  <c r="I488" i="28"/>
  <c r="M487" i="28"/>
  <c r="I487" i="28"/>
  <c r="M486" i="28"/>
  <c r="I486" i="28"/>
  <c r="M485" i="28"/>
  <c r="I485" i="28"/>
  <c r="M484" i="28"/>
  <c r="I484" i="28"/>
  <c r="M483" i="28"/>
  <c r="I483" i="28"/>
  <c r="M482" i="28"/>
  <c r="I482" i="28"/>
  <c r="M481" i="28"/>
  <c r="I481" i="28"/>
  <c r="M480" i="28"/>
  <c r="I480" i="28"/>
  <c r="M479" i="28"/>
  <c r="I479" i="28"/>
  <c r="M478" i="28"/>
  <c r="I478" i="28"/>
  <c r="M477" i="28"/>
  <c r="I477" i="28"/>
  <c r="M476" i="28"/>
  <c r="I476" i="28"/>
  <c r="M475" i="28"/>
  <c r="I475" i="28"/>
  <c r="M474" i="28"/>
  <c r="I474" i="28"/>
  <c r="M473" i="28"/>
  <c r="I473" i="28"/>
  <c r="M472" i="28"/>
  <c r="I472" i="28"/>
  <c r="M471" i="28"/>
  <c r="I471" i="28"/>
  <c r="M470" i="28"/>
  <c r="I470" i="28"/>
  <c r="M469" i="28"/>
  <c r="I469" i="28"/>
  <c r="M468" i="28"/>
  <c r="I468" i="28"/>
  <c r="M467" i="28"/>
  <c r="I467" i="28"/>
  <c r="M466" i="28"/>
  <c r="I466" i="28"/>
  <c r="M465" i="28"/>
  <c r="I465" i="28"/>
  <c r="M464" i="28"/>
  <c r="I464" i="28"/>
  <c r="M463" i="28"/>
  <c r="I463" i="28"/>
  <c r="M462" i="28"/>
  <c r="I462" i="28"/>
  <c r="M461" i="28"/>
  <c r="I461" i="28"/>
  <c r="M460" i="28"/>
  <c r="I460" i="28"/>
  <c r="M459" i="28"/>
  <c r="I459" i="28"/>
  <c r="M458" i="28"/>
  <c r="I458" i="28"/>
  <c r="M457" i="28"/>
  <c r="I457" i="28"/>
  <c r="M456" i="28"/>
  <c r="I456" i="28"/>
  <c r="M455" i="28"/>
  <c r="I455" i="28"/>
  <c r="M454" i="28"/>
  <c r="I454" i="28"/>
  <c r="M453" i="28"/>
  <c r="I453" i="28"/>
  <c r="M452" i="28"/>
  <c r="I452" i="28"/>
  <c r="M451" i="28"/>
  <c r="I451" i="28"/>
  <c r="M450" i="28"/>
  <c r="I450" i="28"/>
  <c r="M449" i="28"/>
  <c r="I449" i="28"/>
  <c r="M448" i="28"/>
  <c r="I448" i="28"/>
  <c r="M447" i="28"/>
  <c r="I447" i="28"/>
  <c r="M446" i="28"/>
  <c r="I446" i="28"/>
  <c r="M445" i="28"/>
  <c r="I445" i="28"/>
  <c r="M444" i="28"/>
  <c r="I444" i="28"/>
  <c r="M443" i="28"/>
  <c r="I443" i="28"/>
  <c r="M442" i="28"/>
  <c r="I442" i="28"/>
  <c r="M441" i="28"/>
  <c r="I441" i="28"/>
  <c r="M440" i="28"/>
  <c r="I440" i="28"/>
  <c r="M439" i="28"/>
  <c r="I439" i="28"/>
  <c r="M438" i="28"/>
  <c r="I438" i="28"/>
  <c r="M437" i="28"/>
  <c r="I437" i="28"/>
  <c r="M436" i="28"/>
  <c r="I436" i="28"/>
  <c r="M435" i="28"/>
  <c r="I435" i="28"/>
  <c r="M434" i="28"/>
  <c r="I434" i="28"/>
  <c r="M433" i="28"/>
  <c r="I433" i="28"/>
  <c r="M432" i="28"/>
  <c r="I432" i="28"/>
  <c r="M431" i="28"/>
  <c r="I431" i="28"/>
  <c r="M430" i="28"/>
  <c r="I430" i="28"/>
  <c r="M429" i="28"/>
  <c r="I429" i="28"/>
  <c r="M428" i="28"/>
  <c r="I428" i="28"/>
  <c r="M427" i="28"/>
  <c r="I427" i="28"/>
  <c r="M426" i="28"/>
  <c r="I426" i="28"/>
  <c r="M425" i="28"/>
  <c r="I425" i="28"/>
  <c r="M424" i="28"/>
  <c r="I424" i="28"/>
  <c r="M423" i="28"/>
  <c r="I423" i="28"/>
  <c r="M422" i="28"/>
  <c r="I422" i="28"/>
  <c r="M421" i="28"/>
  <c r="I421" i="28"/>
  <c r="M420" i="28"/>
  <c r="I420" i="28"/>
  <c r="M419" i="28"/>
  <c r="I419" i="28"/>
  <c r="M418" i="28"/>
  <c r="I418" i="28"/>
  <c r="M417" i="28"/>
  <c r="I417" i="28"/>
  <c r="M416" i="28"/>
  <c r="I416" i="28"/>
  <c r="M415" i="28"/>
  <c r="I415" i="28"/>
  <c r="M414" i="28"/>
  <c r="I414" i="28"/>
  <c r="M413" i="28"/>
  <c r="I413" i="28"/>
  <c r="M412" i="28"/>
  <c r="I412" i="28"/>
  <c r="M411" i="28"/>
  <c r="I411" i="28"/>
  <c r="M410" i="28"/>
  <c r="I410" i="28"/>
  <c r="M409" i="28"/>
  <c r="I409" i="28"/>
  <c r="M408" i="28"/>
  <c r="I408" i="28"/>
  <c r="M407" i="28"/>
  <c r="I407" i="28"/>
  <c r="M406" i="28"/>
  <c r="I406" i="28"/>
  <c r="M405" i="28"/>
  <c r="I405" i="28"/>
  <c r="M404" i="28"/>
  <c r="I404" i="28"/>
  <c r="M403" i="28"/>
  <c r="I403" i="28"/>
  <c r="M402" i="28"/>
  <c r="I402" i="28"/>
  <c r="M401" i="28"/>
  <c r="I401" i="28"/>
  <c r="M400" i="28"/>
  <c r="I400" i="28"/>
  <c r="M399" i="28"/>
  <c r="I399" i="28"/>
  <c r="M398" i="28"/>
  <c r="I398" i="28"/>
  <c r="M397" i="28"/>
  <c r="I397" i="28"/>
  <c r="M396" i="28"/>
  <c r="I396" i="28"/>
  <c r="M395" i="28"/>
  <c r="I395" i="28"/>
  <c r="M394" i="28"/>
  <c r="I394" i="28"/>
  <c r="M393" i="28"/>
  <c r="I393" i="28"/>
  <c r="M392" i="28"/>
  <c r="I392" i="28"/>
  <c r="M391" i="28"/>
  <c r="I391" i="28"/>
  <c r="M390" i="28"/>
  <c r="I390" i="28"/>
  <c r="M389" i="28"/>
  <c r="I389" i="28"/>
  <c r="M388" i="28"/>
  <c r="I388" i="28"/>
  <c r="M387" i="28"/>
  <c r="I387" i="28"/>
  <c r="M386" i="28"/>
  <c r="I386" i="28"/>
  <c r="M385" i="28"/>
  <c r="I385" i="28"/>
  <c r="M384" i="28"/>
  <c r="I384" i="28"/>
  <c r="M383" i="28"/>
  <c r="I383" i="28"/>
  <c r="M382" i="28"/>
  <c r="I382" i="28"/>
  <c r="M381" i="28"/>
  <c r="I381" i="28"/>
  <c r="M380" i="28"/>
  <c r="I380" i="28"/>
  <c r="M379" i="28"/>
  <c r="I379" i="28"/>
  <c r="M378" i="28"/>
  <c r="I378" i="28"/>
  <c r="M377" i="28"/>
  <c r="I377" i="28"/>
  <c r="M376" i="28"/>
  <c r="I376" i="28"/>
  <c r="M375" i="28"/>
  <c r="I375" i="28"/>
  <c r="M374" i="28"/>
  <c r="I374" i="28"/>
  <c r="M373" i="28"/>
  <c r="I373" i="28"/>
  <c r="M372" i="28"/>
  <c r="I372" i="28"/>
  <c r="M371" i="28"/>
  <c r="I371" i="28"/>
  <c r="M370" i="28"/>
  <c r="I370" i="28"/>
  <c r="M369" i="28"/>
  <c r="I369" i="28"/>
  <c r="M368" i="28"/>
  <c r="I368" i="28"/>
  <c r="M367" i="28"/>
  <c r="I367" i="28"/>
  <c r="M366" i="28"/>
  <c r="I366" i="28"/>
  <c r="M365" i="28"/>
  <c r="I365" i="28"/>
  <c r="M364" i="28"/>
  <c r="I364" i="28"/>
  <c r="M363" i="28"/>
  <c r="I363" i="28"/>
  <c r="M362" i="28"/>
  <c r="I362" i="28"/>
  <c r="M361" i="28"/>
  <c r="I361" i="28"/>
  <c r="M360" i="28"/>
  <c r="I360" i="28"/>
  <c r="M359" i="28"/>
  <c r="I359" i="28"/>
  <c r="M358" i="28"/>
  <c r="I358" i="28"/>
  <c r="M357" i="28"/>
  <c r="I357" i="28"/>
  <c r="M356" i="28"/>
  <c r="I356" i="28"/>
  <c r="M355" i="28"/>
  <c r="I355" i="28"/>
  <c r="M354" i="28"/>
  <c r="I354" i="28"/>
  <c r="M353" i="28"/>
  <c r="I353" i="28"/>
  <c r="M352" i="28"/>
  <c r="I352" i="28"/>
  <c r="M351" i="28"/>
  <c r="I351" i="28"/>
  <c r="M350" i="28"/>
  <c r="I350" i="28"/>
  <c r="M349" i="28"/>
  <c r="I349" i="28"/>
  <c r="M348" i="28"/>
  <c r="I348" i="28"/>
  <c r="M347" i="28"/>
  <c r="I347" i="28"/>
  <c r="M346" i="28"/>
  <c r="I346" i="28"/>
  <c r="M345" i="28"/>
  <c r="I345" i="28"/>
  <c r="M344" i="28"/>
  <c r="I344" i="28"/>
  <c r="M343" i="28"/>
  <c r="I343" i="28"/>
  <c r="M342" i="28"/>
  <c r="I342" i="28"/>
  <c r="M341" i="28"/>
  <c r="I341" i="28"/>
  <c r="M340" i="28"/>
  <c r="I340" i="28"/>
  <c r="M339" i="28"/>
  <c r="I339" i="28"/>
  <c r="M338" i="28"/>
  <c r="I338" i="28"/>
  <c r="M337" i="28"/>
  <c r="I337" i="28"/>
  <c r="M336" i="28"/>
  <c r="I336" i="28"/>
  <c r="M335" i="28"/>
  <c r="I335" i="28"/>
  <c r="M334" i="28"/>
  <c r="I334" i="28"/>
  <c r="M333" i="28"/>
  <c r="I333" i="28"/>
  <c r="M332" i="28"/>
  <c r="I332" i="28"/>
  <c r="M331" i="28"/>
  <c r="I331" i="28"/>
  <c r="M330" i="28"/>
  <c r="I330" i="28"/>
  <c r="M329" i="28"/>
  <c r="I329" i="28"/>
  <c r="M328" i="28"/>
  <c r="I328" i="28"/>
  <c r="M327" i="28"/>
  <c r="I327" i="28"/>
  <c r="M326" i="28"/>
  <c r="I326" i="28"/>
  <c r="M325" i="28"/>
  <c r="I325" i="28"/>
  <c r="M324" i="28"/>
  <c r="I324" i="28"/>
  <c r="M323" i="28"/>
  <c r="I323" i="28"/>
  <c r="M322" i="28"/>
  <c r="I322" i="28"/>
  <c r="M321" i="28"/>
  <c r="I321" i="28"/>
  <c r="M320" i="28"/>
  <c r="I320" i="28"/>
  <c r="M319" i="28"/>
  <c r="I319" i="28"/>
  <c r="M318" i="28"/>
  <c r="I318" i="28"/>
  <c r="M317" i="28"/>
  <c r="I317" i="28"/>
  <c r="M316" i="28"/>
  <c r="I316" i="28"/>
  <c r="M315" i="28"/>
  <c r="I315" i="28"/>
  <c r="M314" i="28"/>
  <c r="I314" i="28"/>
  <c r="M313" i="28"/>
  <c r="I313" i="28"/>
  <c r="M312" i="28"/>
  <c r="I312" i="28"/>
  <c r="M311" i="28"/>
  <c r="I311" i="28"/>
  <c r="M310" i="28"/>
  <c r="I310" i="28"/>
  <c r="M309" i="28"/>
  <c r="I309" i="28"/>
  <c r="M308" i="28"/>
  <c r="I308" i="28"/>
  <c r="M307" i="28"/>
  <c r="I307" i="28"/>
  <c r="M306" i="28"/>
  <c r="I306" i="28"/>
  <c r="M305" i="28"/>
  <c r="I305" i="28"/>
  <c r="M304" i="28"/>
  <c r="I304" i="28"/>
  <c r="M303" i="28"/>
  <c r="I303" i="28"/>
  <c r="M302" i="28"/>
  <c r="I302" i="28"/>
  <c r="M301" i="28"/>
  <c r="I301" i="28"/>
  <c r="M300" i="28"/>
  <c r="I300" i="28"/>
  <c r="M299" i="28"/>
  <c r="I299" i="28"/>
  <c r="M298" i="28"/>
  <c r="I298" i="28"/>
  <c r="M297" i="28"/>
  <c r="I297" i="28"/>
  <c r="M296" i="28"/>
  <c r="I296" i="28"/>
  <c r="M295" i="28"/>
  <c r="I295" i="28"/>
  <c r="M294" i="28"/>
  <c r="I294" i="28"/>
  <c r="M293" i="28"/>
  <c r="I293" i="28"/>
  <c r="M292" i="28"/>
  <c r="I292" i="28"/>
  <c r="M291" i="28"/>
  <c r="I291" i="28"/>
  <c r="M290" i="28"/>
  <c r="I290" i="28"/>
  <c r="M289" i="28"/>
  <c r="I289" i="28"/>
  <c r="M288" i="28"/>
  <c r="I288" i="28"/>
  <c r="M287" i="28"/>
  <c r="I287" i="28"/>
  <c r="M286" i="28"/>
  <c r="I286" i="28"/>
  <c r="M285" i="28"/>
  <c r="I285" i="28"/>
  <c r="M284" i="28"/>
  <c r="I284" i="28"/>
  <c r="M283" i="28"/>
  <c r="I283" i="28"/>
  <c r="M282" i="28"/>
  <c r="I282" i="28"/>
  <c r="M281" i="28"/>
  <c r="I281" i="28"/>
  <c r="M280" i="28"/>
  <c r="I280" i="28"/>
  <c r="M279" i="28"/>
  <c r="I279" i="28"/>
  <c r="M278" i="28"/>
  <c r="I278" i="28"/>
  <c r="M277" i="28"/>
  <c r="I277" i="28"/>
  <c r="M276" i="28"/>
  <c r="I276" i="28"/>
  <c r="M275" i="28"/>
  <c r="I275" i="28"/>
  <c r="M274" i="28"/>
  <c r="I274" i="28"/>
  <c r="M273" i="28"/>
  <c r="I273" i="28"/>
  <c r="M272" i="28"/>
  <c r="I272" i="28"/>
  <c r="M271" i="28"/>
  <c r="I271" i="28"/>
  <c r="M270" i="28"/>
  <c r="I270" i="28"/>
  <c r="M269" i="28"/>
  <c r="I269" i="28"/>
  <c r="M268" i="28"/>
  <c r="I268" i="28"/>
  <c r="M267" i="28"/>
  <c r="I267" i="28"/>
  <c r="M266" i="28"/>
  <c r="I266" i="28"/>
  <c r="M265" i="28"/>
  <c r="I265" i="28"/>
  <c r="M264" i="28"/>
  <c r="I264" i="28"/>
  <c r="M263" i="28"/>
  <c r="I263" i="28"/>
  <c r="M262" i="28"/>
  <c r="I262" i="28"/>
  <c r="M261" i="28"/>
  <c r="I261" i="28"/>
  <c r="M260" i="28"/>
  <c r="I260" i="28"/>
  <c r="M259" i="28"/>
  <c r="I259" i="28"/>
  <c r="M258" i="28"/>
  <c r="I258" i="28"/>
  <c r="M257" i="28"/>
  <c r="I257" i="28"/>
  <c r="M256" i="28"/>
  <c r="I256" i="28"/>
  <c r="M255" i="28"/>
  <c r="I255" i="28"/>
  <c r="M254" i="28"/>
  <c r="I254" i="28"/>
  <c r="M253" i="28"/>
  <c r="I253" i="28"/>
  <c r="M252" i="28"/>
  <c r="I252" i="28"/>
  <c r="M251" i="28"/>
  <c r="I251" i="28"/>
  <c r="M250" i="28"/>
  <c r="I250" i="28"/>
  <c r="M249" i="28"/>
  <c r="I249" i="28"/>
  <c r="M248" i="28"/>
  <c r="I248" i="28"/>
  <c r="M247" i="28"/>
  <c r="I247" i="28"/>
  <c r="M246" i="28"/>
  <c r="I246" i="28"/>
  <c r="M245" i="28"/>
  <c r="I245" i="28"/>
  <c r="M244" i="28"/>
  <c r="I244" i="28"/>
  <c r="M243" i="28"/>
  <c r="I243" i="28"/>
  <c r="M242" i="28"/>
  <c r="I242" i="28"/>
  <c r="M241" i="28"/>
  <c r="I241" i="28"/>
  <c r="M240" i="28"/>
  <c r="I240" i="28"/>
  <c r="M239" i="28"/>
  <c r="I239" i="28"/>
  <c r="M238" i="28"/>
  <c r="I238" i="28"/>
  <c r="M237" i="28"/>
  <c r="I237" i="28"/>
  <c r="M236" i="28"/>
  <c r="I236" i="28"/>
  <c r="M235" i="28"/>
  <c r="I235" i="28"/>
  <c r="M234" i="28"/>
  <c r="I234" i="28"/>
  <c r="M233" i="28"/>
  <c r="I233" i="28"/>
  <c r="M232" i="28"/>
  <c r="I232" i="28"/>
  <c r="M231" i="28"/>
  <c r="I231" i="28"/>
  <c r="M230" i="28"/>
  <c r="I230" i="28"/>
  <c r="M229" i="28"/>
  <c r="I229" i="28"/>
  <c r="M228" i="28"/>
  <c r="I228" i="28"/>
  <c r="M227" i="28"/>
  <c r="I227" i="28"/>
  <c r="M226" i="28"/>
  <c r="I226" i="28"/>
  <c r="M225" i="28"/>
  <c r="I225" i="28"/>
  <c r="M224" i="28"/>
  <c r="I224" i="28"/>
  <c r="M223" i="28"/>
  <c r="I223" i="28"/>
  <c r="M222" i="28"/>
  <c r="I222" i="28"/>
  <c r="M221" i="28"/>
  <c r="I221" i="28"/>
  <c r="M220" i="28"/>
  <c r="I220" i="28"/>
  <c r="M219" i="28"/>
  <c r="I219" i="28"/>
  <c r="M218" i="28"/>
  <c r="I218" i="28"/>
  <c r="M217" i="28"/>
  <c r="I217" i="28"/>
  <c r="M216" i="28"/>
  <c r="I216" i="28"/>
  <c r="M215" i="28"/>
  <c r="I215" i="28"/>
  <c r="M214" i="28"/>
  <c r="I214" i="28"/>
  <c r="M213" i="28"/>
  <c r="I213" i="28"/>
  <c r="M212" i="28"/>
  <c r="I212" i="28"/>
  <c r="M211" i="28"/>
  <c r="I211" i="28"/>
  <c r="M210" i="28"/>
  <c r="I210" i="28"/>
  <c r="M209" i="28"/>
  <c r="I209" i="28"/>
  <c r="M208" i="28"/>
  <c r="I208" i="28"/>
  <c r="M207" i="28"/>
  <c r="I207" i="28"/>
  <c r="M206" i="28"/>
  <c r="I206" i="28"/>
  <c r="M205" i="28"/>
  <c r="I205" i="28"/>
  <c r="M204" i="28"/>
  <c r="I204" i="28"/>
  <c r="M203" i="28"/>
  <c r="I203" i="28"/>
  <c r="M202" i="28"/>
  <c r="I202" i="28"/>
  <c r="M201" i="28"/>
  <c r="I201" i="28"/>
  <c r="M200" i="28"/>
  <c r="I200" i="28"/>
  <c r="M199" i="28"/>
  <c r="I199" i="28"/>
  <c r="M198" i="28"/>
  <c r="I198" i="28"/>
  <c r="M197" i="28"/>
  <c r="I197" i="28"/>
  <c r="M196" i="28"/>
  <c r="I196" i="28"/>
  <c r="M195" i="28"/>
  <c r="I195" i="28"/>
  <c r="M194" i="28"/>
  <c r="I194" i="28"/>
  <c r="M193" i="28"/>
  <c r="I193" i="28"/>
  <c r="M192" i="28"/>
  <c r="I192" i="28"/>
  <c r="M191" i="28"/>
  <c r="I191" i="28"/>
  <c r="M190" i="28"/>
  <c r="I190" i="28"/>
  <c r="M189" i="28"/>
  <c r="I189" i="28"/>
  <c r="M188" i="28"/>
  <c r="I188" i="28"/>
  <c r="M187" i="28"/>
  <c r="I187" i="28"/>
  <c r="M186" i="28"/>
  <c r="I186" i="28"/>
  <c r="M185" i="28"/>
  <c r="I185" i="28"/>
  <c r="M184" i="28"/>
  <c r="I184" i="28"/>
  <c r="M183" i="28"/>
  <c r="I183" i="28"/>
  <c r="M182" i="28"/>
  <c r="I182" i="28"/>
  <c r="M181" i="28"/>
  <c r="I181" i="28"/>
  <c r="M180" i="28"/>
  <c r="I180" i="28"/>
  <c r="M179" i="28"/>
  <c r="I179" i="28"/>
  <c r="M178" i="28"/>
  <c r="I178" i="28"/>
  <c r="M177" i="28"/>
  <c r="I177" i="28"/>
  <c r="M176" i="28"/>
  <c r="I176" i="28"/>
  <c r="M175" i="28"/>
  <c r="I175" i="28"/>
  <c r="M174" i="28"/>
  <c r="I174" i="28"/>
  <c r="M173" i="28"/>
  <c r="I173" i="28"/>
  <c r="M172" i="28"/>
  <c r="I172" i="28"/>
  <c r="M171" i="28"/>
  <c r="I171" i="28"/>
  <c r="M170" i="28"/>
  <c r="I170" i="28"/>
  <c r="M169" i="28"/>
  <c r="I169" i="28"/>
  <c r="M168" i="28"/>
  <c r="I168" i="28"/>
  <c r="M167" i="28"/>
  <c r="I167" i="28"/>
  <c r="M166" i="28"/>
  <c r="I166" i="28"/>
  <c r="M165" i="28"/>
  <c r="I165" i="28"/>
  <c r="M164" i="28"/>
  <c r="I164" i="28"/>
  <c r="M163" i="28"/>
  <c r="I163" i="28"/>
  <c r="M162" i="28"/>
  <c r="I162" i="28"/>
  <c r="M161" i="28"/>
  <c r="I161" i="28"/>
  <c r="M160" i="28"/>
  <c r="I160" i="28"/>
  <c r="M159" i="28"/>
  <c r="I159" i="28"/>
  <c r="M158" i="28"/>
  <c r="I158" i="28"/>
  <c r="M157" i="28"/>
  <c r="I157" i="28"/>
  <c r="M156" i="28"/>
  <c r="I156" i="28"/>
  <c r="M155" i="28"/>
  <c r="I155" i="28"/>
  <c r="M154" i="28"/>
  <c r="I154" i="28"/>
  <c r="M153" i="28"/>
  <c r="I153" i="28"/>
  <c r="M152" i="28"/>
  <c r="I152" i="28"/>
  <c r="M151" i="28"/>
  <c r="I151" i="28"/>
  <c r="M150" i="28"/>
  <c r="I150" i="28"/>
  <c r="M149" i="28"/>
  <c r="I149" i="28"/>
  <c r="M148" i="28"/>
  <c r="I148" i="28"/>
  <c r="M147" i="28"/>
  <c r="I147" i="28"/>
  <c r="M146" i="28"/>
  <c r="I146" i="28"/>
  <c r="M145" i="28"/>
  <c r="I145" i="28"/>
  <c r="M144" i="28"/>
  <c r="I144" i="28"/>
  <c r="M143" i="28"/>
  <c r="I143" i="28"/>
  <c r="M142" i="28"/>
  <c r="I142" i="28"/>
  <c r="M141" i="28"/>
  <c r="I141" i="28"/>
  <c r="M140" i="28"/>
  <c r="I140" i="28"/>
  <c r="M139" i="28"/>
  <c r="I139" i="28"/>
  <c r="M138" i="28"/>
  <c r="I138" i="28"/>
  <c r="M137" i="28"/>
  <c r="I137" i="28"/>
  <c r="M136" i="28"/>
  <c r="I136" i="28"/>
  <c r="M135" i="28"/>
  <c r="I135" i="28"/>
  <c r="M134" i="28"/>
  <c r="I134" i="28"/>
  <c r="M133" i="28"/>
  <c r="I133" i="28"/>
  <c r="M132" i="28"/>
  <c r="I132" i="28"/>
  <c r="M131" i="28"/>
  <c r="I131" i="28"/>
  <c r="M130" i="28"/>
  <c r="I130" i="28"/>
  <c r="M129" i="28"/>
  <c r="I129" i="28"/>
  <c r="M128" i="28"/>
  <c r="I128" i="28"/>
  <c r="M127" i="28"/>
  <c r="I127" i="28"/>
  <c r="M126" i="28"/>
  <c r="I126" i="28"/>
  <c r="M125" i="28"/>
  <c r="I125" i="28"/>
  <c r="M124" i="28"/>
  <c r="I124" i="28"/>
  <c r="M123" i="28"/>
  <c r="I123" i="28"/>
  <c r="M122" i="28"/>
  <c r="I122" i="28"/>
  <c r="M121" i="28"/>
  <c r="I121" i="28"/>
  <c r="M120" i="28"/>
  <c r="I120" i="28"/>
  <c r="M119" i="28"/>
  <c r="I119" i="28"/>
  <c r="M118" i="28"/>
  <c r="I118" i="28"/>
  <c r="M117" i="28"/>
  <c r="I117" i="28"/>
  <c r="M116" i="28"/>
  <c r="I116" i="28"/>
  <c r="M115" i="28"/>
  <c r="I115" i="28"/>
  <c r="M114" i="28"/>
  <c r="I114" i="28"/>
  <c r="M113" i="28"/>
  <c r="I113" i="28"/>
  <c r="M112" i="28"/>
  <c r="I112" i="28"/>
  <c r="M111" i="28"/>
  <c r="I111" i="28"/>
  <c r="M110" i="28"/>
  <c r="I110" i="28"/>
  <c r="M109" i="28"/>
  <c r="I109" i="28"/>
  <c r="M108" i="28"/>
  <c r="I108" i="28"/>
  <c r="M107" i="28"/>
  <c r="I107" i="28"/>
  <c r="M106" i="28"/>
  <c r="I106" i="28"/>
  <c r="M105" i="28"/>
  <c r="I105" i="28"/>
  <c r="M104" i="28"/>
  <c r="I104" i="28"/>
  <c r="M103" i="28"/>
  <c r="I103" i="28"/>
  <c r="M102" i="28"/>
  <c r="I102" i="28"/>
  <c r="M101" i="28"/>
  <c r="I101" i="28"/>
  <c r="M100" i="28"/>
  <c r="I100" i="28"/>
  <c r="M99" i="28"/>
  <c r="I99" i="28"/>
  <c r="M98" i="28"/>
  <c r="I98" i="28"/>
  <c r="M97" i="28"/>
  <c r="I97" i="28"/>
  <c r="M96" i="28"/>
  <c r="I96" i="28"/>
  <c r="M95" i="28"/>
  <c r="I95" i="28"/>
  <c r="M94" i="28"/>
  <c r="I94" i="28"/>
  <c r="M93" i="28"/>
  <c r="I93" i="28"/>
  <c r="M92" i="28"/>
  <c r="I92" i="28"/>
  <c r="M91" i="28"/>
  <c r="I91" i="28"/>
  <c r="M90" i="28"/>
  <c r="I90" i="28"/>
  <c r="M89" i="28"/>
  <c r="I89" i="28"/>
  <c r="M88" i="28"/>
  <c r="I88" i="28"/>
  <c r="M87" i="28"/>
  <c r="I87" i="28"/>
  <c r="M86" i="28"/>
  <c r="I86" i="28"/>
  <c r="M85" i="28"/>
  <c r="I85" i="28"/>
  <c r="M84" i="28"/>
  <c r="I84" i="28"/>
  <c r="M83" i="28"/>
  <c r="I83" i="28"/>
  <c r="M82" i="28"/>
  <c r="I82" i="28"/>
  <c r="M81" i="28"/>
  <c r="I81" i="28"/>
  <c r="M80" i="28"/>
  <c r="I80" i="28"/>
  <c r="M79" i="28"/>
  <c r="I79" i="28"/>
  <c r="M78" i="28"/>
  <c r="I78" i="28"/>
  <c r="M77" i="28"/>
  <c r="I77" i="28"/>
  <c r="M76" i="28"/>
  <c r="I76" i="28"/>
  <c r="M75" i="28"/>
  <c r="I75" i="28"/>
  <c r="M74" i="28"/>
  <c r="I74" i="28"/>
  <c r="M73" i="28"/>
  <c r="I73" i="28"/>
  <c r="M72" i="28"/>
  <c r="I72" i="28"/>
  <c r="M71" i="28"/>
  <c r="I71" i="28"/>
  <c r="M70" i="28"/>
  <c r="I70" i="28"/>
  <c r="M69" i="28"/>
  <c r="I69" i="28"/>
  <c r="M68" i="28"/>
  <c r="I68" i="28"/>
  <c r="M67" i="28"/>
  <c r="I67" i="28"/>
  <c r="M66" i="28"/>
  <c r="I66" i="28"/>
  <c r="M65" i="28"/>
  <c r="I65" i="28"/>
  <c r="M64" i="28"/>
  <c r="I64" i="28"/>
  <c r="M63" i="28"/>
  <c r="I63" i="28"/>
  <c r="M62" i="28"/>
  <c r="I62" i="28"/>
  <c r="M61" i="28"/>
  <c r="I61" i="28"/>
  <c r="M60" i="28"/>
  <c r="I60" i="28"/>
  <c r="M59" i="28"/>
  <c r="I59" i="28"/>
  <c r="M58" i="28"/>
  <c r="I58" i="28"/>
  <c r="M57" i="28"/>
  <c r="I57" i="28"/>
  <c r="M56" i="28"/>
  <c r="I56" i="28"/>
  <c r="M55" i="28"/>
  <c r="I55" i="28"/>
  <c r="M54" i="28"/>
  <c r="I54" i="28"/>
  <c r="M53" i="28"/>
  <c r="I53" i="28"/>
  <c r="M52" i="28"/>
  <c r="I52" i="28"/>
  <c r="M51" i="28"/>
  <c r="I51" i="28"/>
  <c r="M50" i="28"/>
  <c r="I50" i="28"/>
  <c r="M49" i="28"/>
  <c r="I49" i="28"/>
  <c r="M48" i="28"/>
  <c r="I48" i="28"/>
  <c r="M47" i="28"/>
  <c r="I47" i="28"/>
  <c r="M46" i="28"/>
  <c r="I46" i="28"/>
  <c r="M45" i="28"/>
  <c r="I45" i="28"/>
  <c r="M44" i="28"/>
  <c r="I44" i="28"/>
  <c r="M43" i="28"/>
  <c r="I43" i="28"/>
  <c r="M42" i="28"/>
  <c r="I42" i="28"/>
  <c r="M41" i="28"/>
  <c r="I41" i="28"/>
  <c r="M40" i="28"/>
  <c r="I40" i="28"/>
  <c r="M39" i="28"/>
  <c r="I39" i="28"/>
  <c r="M38" i="28"/>
  <c r="I38" i="28"/>
  <c r="M37" i="28"/>
  <c r="I37" i="28"/>
  <c r="M36" i="28"/>
  <c r="I36" i="28"/>
  <c r="M35" i="28"/>
  <c r="I35" i="28"/>
  <c r="M34" i="28"/>
  <c r="I34" i="28"/>
  <c r="M33" i="28"/>
  <c r="I33" i="28"/>
  <c r="M32" i="28"/>
  <c r="I32" i="28"/>
  <c r="M31" i="28"/>
  <c r="I31" i="28"/>
  <c r="M30" i="28"/>
  <c r="I30" i="28"/>
  <c r="M29" i="28"/>
  <c r="I29" i="28"/>
  <c r="M28" i="28"/>
  <c r="I28" i="28"/>
  <c r="M27" i="28"/>
  <c r="I27" i="28"/>
  <c r="M26" i="28"/>
  <c r="I26" i="28"/>
  <c r="M25" i="28"/>
  <c r="I25" i="28"/>
  <c r="M24" i="28"/>
  <c r="I24" i="28"/>
  <c r="M23" i="28"/>
  <c r="I23" i="28"/>
  <c r="M22" i="28"/>
  <c r="I22" i="28"/>
  <c r="M21" i="28"/>
  <c r="I21" i="28"/>
  <c r="M20" i="28"/>
  <c r="I20" i="28"/>
  <c r="M19" i="28"/>
  <c r="I19" i="28"/>
  <c r="M18" i="28"/>
  <c r="I18" i="28"/>
  <c r="M17" i="28"/>
  <c r="I17" i="28"/>
  <c r="M16" i="28"/>
  <c r="I16" i="28"/>
  <c r="M15" i="28"/>
  <c r="I15" i="28"/>
  <c r="M14" i="28"/>
  <c r="I14" i="28"/>
  <c r="M13" i="28"/>
  <c r="I13" i="28"/>
  <c r="M12" i="28"/>
  <c r="I12" i="28"/>
  <c r="M11" i="28"/>
  <c r="I11" i="28"/>
  <c r="M10" i="28"/>
  <c r="I10" i="28"/>
  <c r="M9" i="28"/>
  <c r="I9" i="28"/>
  <c r="M8" i="28"/>
  <c r="I8" i="28"/>
  <c r="M7" i="28"/>
  <c r="I7" i="28"/>
  <c r="M6" i="28"/>
  <c r="I6" i="28"/>
  <c r="M5" i="28"/>
  <c r="I5" i="28"/>
  <c r="M4" i="28"/>
  <c r="I4" i="28"/>
  <c r="M3" i="28"/>
  <c r="I3" i="28"/>
  <c r="M2" i="28"/>
  <c r="I2" i="28"/>
</calcChain>
</file>

<file path=xl/sharedStrings.xml><?xml version="1.0" encoding="utf-8"?>
<sst xmlns="http://schemas.openxmlformats.org/spreadsheetml/2006/main" count="3131" uniqueCount="2077">
  <si>
    <t>🎛️ PANEL DE CONTROL - SGSI ISO 27001:2022</t>
  </si>
  <si>
    <t>Sistema de Gestión de Seguridad de la Información v3.0 - Última actualización: 04/11/2025 17:46</t>
  </si>
  <si>
    <t>📦 GESTIÓN DE ACTIVOS</t>
  </si>
  <si>
    <t>➕ Ingresar Nuevo Activo</t>
  </si>
  <si>
    <t>Crea un nuevo activo con ID automático</t>
  </si>
  <si>
    <t>📁 Agregar Categoría</t>
  </si>
  <si>
    <t>Añade una nueva categoría de activos</t>
  </si>
  <si>
    <t>📂 Agregar Subcategoría</t>
  </si>
  <si>
    <t>Añade una subcategoría a una categoría existente</t>
  </si>
  <si>
    <t>🏢 Agregar Área</t>
  </si>
  <si>
    <t>Añade un área organizacional</t>
  </si>
  <si>
    <t>📍 Agregar Ubicación</t>
  </si>
  <si>
    <t>Añade una ubicación física</t>
  </si>
  <si>
    <t>🏷️ Agregar Clase</t>
  </si>
  <si>
    <t>Añade una clase de activo</t>
  </si>
  <si>
    <t>🔖 Agregar Subclase</t>
  </si>
  <si>
    <t>Añade una subclase de activo</t>
  </si>
  <si>
    <t>⚠️ GESTIÓN DE RIESGOS</t>
  </si>
  <si>
    <t>➕ Ingresar Nuevo Riesgo</t>
  </si>
  <si>
    <t>Registra un nuevo riesgo identificado</t>
  </si>
  <si>
    <t>🔢 Calcular Riesgo Inherente</t>
  </si>
  <si>
    <t>Calcula nivel de riesgo inherente (P×I)</t>
  </si>
  <si>
    <t>🔢 Calcular Riesgo Residual</t>
  </si>
  <si>
    <t>Calcula riesgo residual post-controles</t>
  </si>
  <si>
    <t>🎨 Colorear Matriz Riesgos</t>
  </si>
  <si>
    <t>Aplica código de colores según criticidad</t>
  </si>
  <si>
    <t>🔥 Generar Mapa de Calor</t>
  </si>
  <si>
    <t>Crea visualización de distribución de riesgos</t>
  </si>
  <si>
    <t>🛡️ PLAN DE TRATAMIENTO</t>
  </si>
  <si>
    <t>➕ Ingresar Tratamiento</t>
  </si>
  <si>
    <t>Registra acción de tratamiento de riesgo</t>
  </si>
  <si>
    <t>🔄 Actualizar Estado</t>
  </si>
  <si>
    <t>Actualiza progreso de tratamientos</t>
  </si>
  <si>
    <t>📄 Generar Informe</t>
  </si>
  <si>
    <t>Crea informe ejecutivo de tratamientos</t>
  </si>
  <si>
    <t>📊 DASHBOARD Y REPORTES</t>
  </si>
  <si>
    <t>🔄 Actualizar Dashboard</t>
  </si>
  <si>
    <t>Actualiza métricas y gráficos del dashboard</t>
  </si>
  <si>
    <t>📤 Exportar Reporte Completo</t>
  </si>
  <si>
    <t>Genera reporte PDF ejecutivo</t>
  </si>
  <si>
    <t>📄 Exportar Activos</t>
  </si>
  <si>
    <t>Exporta inventario de activos a PDF</t>
  </si>
  <si>
    <t>✅ Validar Cumplimiento ISO</t>
  </si>
  <si>
    <t>Verifica cumplimiento ISO 27001</t>
  </si>
  <si>
    <t>ℹ️ INSTRUCCIONES PARA ACTIVAR MACROS</t>
  </si>
  <si>
    <t>1. Guarde este archivo como .xlsm (Excel con macros)</t>
  </si>
  <si>
    <t>2. Vaya a: Archivo → Opciones → Centro de confianza → Configuración del Centro de confianza</t>
  </si>
  <si>
    <t>3. En 'Configuración de macros': Seleccione 'Habilitar todas las macros'</t>
  </si>
  <si>
    <t>4. Cierre y vuelva a abrir el archivo</t>
  </si>
  <si>
    <t>5. En la pestaña 'Desarrollador' → Insertar → Controles de formulario → Botón</t>
  </si>
  <si>
    <t>6. Dibuje un botón sobre cada celda azul y asígnele la macro correspondiente</t>
  </si>
  <si>
    <t>7. Pruebe cada botón antes de usar en producción</t>
  </si>
  <si>
    <t>🛡️ SISTEMA DE GESTIÓN DE SEGURIDAD DE LA INFORMACIÓN</t>
  </si>
  <si>
    <t>CONTROL DE DOCUMENTOS Y REGISTROS</t>
  </si>
  <si>
    <t>Código Documento:</t>
  </si>
  <si>
    <t>SGSI-CTR-001</t>
  </si>
  <si>
    <t>Versión:</t>
  </si>
  <si>
    <t>1.0</t>
  </si>
  <si>
    <t>Fecha de Emisión:</t>
  </si>
  <si>
    <t>04/11/2025</t>
  </si>
  <si>
    <t>Tipo de Documento:</t>
  </si>
  <si>
    <t>Procedimiento</t>
  </si>
  <si>
    <t>Organización:</t>
  </si>
  <si>
    <t>Por definir</t>
  </si>
  <si>
    <t>Responsable SGSI:</t>
  </si>
  <si>
    <t>CISO</t>
  </si>
  <si>
    <t>Clasificación:</t>
  </si>
  <si>
    <t>CONFIDENCIAL</t>
  </si>
  <si>
    <t>Estado:</t>
  </si>
  <si>
    <t>VIGENTE</t>
  </si>
  <si>
    <t>Próxima Revisión:</t>
  </si>
  <si>
    <t>03/05/2026</t>
  </si>
  <si>
    <t>📊 TRAZABILIDAD Y REFERENCIAS</t>
  </si>
  <si>
    <t>Vinculado a SoA:</t>
  </si>
  <si>
    <t>Ver hoja "SoA"</t>
  </si>
  <si>
    <t>Vinculado a Riesgos:</t>
  </si>
  <si>
    <t>Ver hoja "Analisis_Riesgos"</t>
  </si>
  <si>
    <t>Aprobado por:</t>
  </si>
  <si>
    <t>Comité de Seguridad / Alta Dirección</t>
  </si>
  <si>
    <t>Documento controlado:</t>
  </si>
  <si>
    <t>Repositorio SGSI</t>
  </si>
  <si>
    <t>════════════════════════════════════════════════════════════════════════════════</t>
  </si>
  <si>
    <t>Código</t>
  </si>
  <si>
    <t>Nombre Documento</t>
  </si>
  <si>
    <t>Tipo</t>
  </si>
  <si>
    <t>Versión</t>
  </si>
  <si>
    <t>Fecha Emisión</t>
  </si>
  <si>
    <t>Propietario</t>
  </si>
  <si>
    <t>Aprobador</t>
  </si>
  <si>
    <t>Estado</t>
  </si>
  <si>
    <t>Clasificación</t>
  </si>
  <si>
    <t>Ubicación</t>
  </si>
  <si>
    <t>SGSI-POL-001</t>
  </si>
  <si>
    <t>Política de Seguridad</t>
  </si>
  <si>
    <t>Política</t>
  </si>
  <si>
    <t>CEO</t>
  </si>
  <si>
    <t>PÚBLICO</t>
  </si>
  <si>
    <t>Hoja: Politicas_Seguridad</t>
  </si>
  <si>
    <t>SGSI-SOA-001</t>
  </si>
  <si>
    <t>Statement of Applicability</t>
  </si>
  <si>
    <t>Declaración</t>
  </si>
  <si>
    <t>Comité</t>
  </si>
  <si>
    <t>Hoja: SoA</t>
  </si>
  <si>
    <t>SGSI-RIS-001</t>
  </si>
  <si>
    <t>Metodología de Riesgos</t>
  </si>
  <si>
    <t>INTERNO</t>
  </si>
  <si>
    <t>Hoja: Metodologia_Riesgos</t>
  </si>
  <si>
    <t>SGSI-AUD-001</t>
  </si>
  <si>
    <t>Plan de Auditoría</t>
  </si>
  <si>
    <t>Plan</t>
  </si>
  <si>
    <t>Auditor</t>
  </si>
  <si>
    <t>Hoja: Plan_Auditoria</t>
  </si>
  <si>
    <t>SGSI-REV-001</t>
  </si>
  <si>
    <t>Revisión por Dirección</t>
  </si>
  <si>
    <t>Acta</t>
  </si>
  <si>
    <t>Hoja: Revision_Direccion</t>
  </si>
  <si>
    <t>POLÍTICAS DE SEGURIDAD DE LA INFORMACIÓN</t>
  </si>
  <si>
    <t>Política General</t>
  </si>
  <si>
    <t>1. POLÍTICA GENERAL DE SEGURIDAD DE LA INFORMACIÓN</t>
  </si>
  <si>
    <t>1.1 OBJETIVO</t>
  </si>
  <si>
    <t>Establecer el marco de seguridad de la información para proteger los activos de información de la organización.</t>
  </si>
  <si>
    <t>1.2 ALCANCE</t>
  </si>
  <si>
    <t>Aplica a todos los empleados, contratistas, proveedores y terceros que accedan a información de la organización.</t>
  </si>
  <si>
    <t>1.3 RESPONSABILIDADES</t>
  </si>
  <si>
    <t>• Alta Dirección: Aprobar y proveer recursos
• CISO: Implementar y mantener el SGSI
• Empleados: Cumplir las políticas y reportar incidentes</t>
  </si>
  <si>
    <t>1.4 PRINCIPIOS</t>
  </si>
  <si>
    <t>• Confidencialidad: Acceso solo a personal autorizado
• Integridad: Información precisa y completa
• Disponibilidad: Acceso cuando se requiera</t>
  </si>
  <si>
    <t>1.5 GESTIÓN DE RIESGOS</t>
  </si>
  <si>
    <t>Se evaluarán riesgos anualmente según metodología definida en SGSI-RIS-001</t>
  </si>
  <si>
    <t>1.6 CONTROL DE ACCESO</t>
  </si>
  <si>
    <t>Acceso basado en principio de mínimo privilegio y necesidad de conocer</t>
  </si>
  <si>
    <t>1.7 CLASIFICACIÓN</t>
  </si>
  <si>
    <t>Toda información se clasificará: PÚBLICA, INTERNA, CONFIDENCIAL, SECRETO</t>
  </si>
  <si>
    <t>1.8 INCIDENTES</t>
  </si>
  <si>
    <t>Todo incidente debe reportarse inmediatamente al CISO</t>
  </si>
  <si>
    <t>1.9 CONTINUIDAD</t>
  </si>
  <si>
    <t>Se mantendrán planes de continuidad y recuperación ante desastres</t>
  </si>
  <si>
    <t>1.10 CUMPLIMIENTO</t>
  </si>
  <si>
    <t>El incumplimiento resultará en medidas disciplinarias</t>
  </si>
  <si>
    <t>METODOLOGÍA DE EVALUACIÓN Y TRATAMIENTO DE RIESGOS</t>
  </si>
  <si>
    <t>METODOLOGÍA DE GESTIÓN DE RIESGOS</t>
  </si>
  <si>
    <t>1. ESCALA DE PROBABILIDAD</t>
  </si>
  <si>
    <t>Nivel</t>
  </si>
  <si>
    <t>Descripción</t>
  </si>
  <si>
    <t>Frecuencia</t>
  </si>
  <si>
    <t>Valor</t>
  </si>
  <si>
    <t>Muy Baja</t>
  </si>
  <si>
    <t>Casi nunca ocurre</t>
  </si>
  <si>
    <t>&lt; 1 vez/año</t>
  </si>
  <si>
    <t>1</t>
  </si>
  <si>
    <t>Baja</t>
  </si>
  <si>
    <t>Rara vez ocurre</t>
  </si>
  <si>
    <t>1-2 veces/año</t>
  </si>
  <si>
    <t>2</t>
  </si>
  <si>
    <t>Media</t>
  </si>
  <si>
    <t>Ocasionalmente</t>
  </si>
  <si>
    <t>3-6 veces/año</t>
  </si>
  <si>
    <t>3</t>
  </si>
  <si>
    <t>Alta</t>
  </si>
  <si>
    <t>Frecuentemente</t>
  </si>
  <si>
    <t>7-12 veces/año</t>
  </si>
  <si>
    <t>4</t>
  </si>
  <si>
    <t>Muy Alta</t>
  </si>
  <si>
    <t>Constantemente</t>
  </si>
  <si>
    <t>&gt; 12 veces/año</t>
  </si>
  <si>
    <t>5</t>
  </si>
  <si>
    <t>2. ESCALA DE IMPACTO</t>
  </si>
  <si>
    <t>Confidencialidad</t>
  </si>
  <si>
    <t>Integridad</t>
  </si>
  <si>
    <t>Disponibilidad</t>
  </si>
  <si>
    <t>Muy Bajo</t>
  </si>
  <si>
    <t>Sin impacto</t>
  </si>
  <si>
    <t>Daño mínimo</t>
  </si>
  <si>
    <t>Interrupción &lt; 1h</t>
  </si>
  <si>
    <t>Bajo</t>
  </si>
  <si>
    <t>Impacto limitado</t>
  </si>
  <si>
    <t>Errores menores</t>
  </si>
  <si>
    <t>Interrupción 1-4h</t>
  </si>
  <si>
    <t>Medio</t>
  </si>
  <si>
    <t>Impacto moderado</t>
  </si>
  <si>
    <t>Errores significativos</t>
  </si>
  <si>
    <t>Interrupción 4-8h</t>
  </si>
  <si>
    <t>Alto</t>
  </si>
  <si>
    <t>Impacto severo</t>
  </si>
  <si>
    <t>Pérdida parcial</t>
  </si>
  <si>
    <t>Interrupción 8-24h</t>
  </si>
  <si>
    <t>Muy Alto</t>
  </si>
  <si>
    <t>Impacto crítico</t>
  </si>
  <si>
    <t>Pérdida total</t>
  </si>
  <si>
    <t>Interrupción &gt; 24h</t>
  </si>
  <si>
    <t>3. MATRIZ DE VALORACIÓN DE RIESGO (Prob × Impacto)</t>
  </si>
  <si>
    <t>Rango</t>
  </si>
  <si>
    <t>Color</t>
  </si>
  <si>
    <t>Acción</t>
  </si>
  <si>
    <t>1-4</t>
  </si>
  <si>
    <t>MUY BAJO</t>
  </si>
  <si>
    <t>Verde</t>
  </si>
  <si>
    <t>Aceptable</t>
  </si>
  <si>
    <t>5-9</t>
  </si>
  <si>
    <t>BAJO</t>
  </si>
  <si>
    <t>Amarillo</t>
  </si>
  <si>
    <t>Tolerable - Monitorear</t>
  </si>
  <si>
    <t>10-14</t>
  </si>
  <si>
    <t>MEDIO</t>
  </si>
  <si>
    <t>Naranja</t>
  </si>
  <si>
    <t>Requiere tratamiento</t>
  </si>
  <si>
    <t>15-19</t>
  </si>
  <si>
    <t>ALTO</t>
  </si>
  <si>
    <t>Rojo</t>
  </si>
  <si>
    <t>Tratamiento prioritario</t>
  </si>
  <si>
    <t>20-25</t>
  </si>
  <si>
    <t>CRÍTICO</t>
  </si>
  <si>
    <t>Rojo oscuro</t>
  </si>
  <si>
    <t>Tratamiento inmediato</t>
  </si>
  <si>
    <t>4. OPCIONES DE TRATAMIENTO DE RIESGOS</t>
  </si>
  <si>
    <t>MITIGAR</t>
  </si>
  <si>
    <t>Implementar controles para reducir probabilidad/impacto</t>
  </si>
  <si>
    <t>TRANSFERIR</t>
  </si>
  <si>
    <t>Compartir o transferir el riesgo (seguros, outsourcing)</t>
  </si>
  <si>
    <t>EVITAR</t>
  </si>
  <si>
    <t>Eliminar la actividad que genera el riesgo</t>
  </si>
  <si>
    <t>ACEPTAR</t>
  </si>
  <si>
    <t>Asumir el riesgo (solo para riesgos muy bajos)</t>
  </si>
  <si>
    <t>STATEMENT OF APPLICABILITY (SoA) - ISO 27001:2022 ANEXO A</t>
  </si>
  <si>
    <t>Control</t>
  </si>
  <si>
    <t>Nombre</t>
  </si>
  <si>
    <t>Aplicable</t>
  </si>
  <si>
    <t>Justificación</t>
  </si>
  <si>
    <t>Implementado</t>
  </si>
  <si>
    <t>Responsable</t>
  </si>
  <si>
    <t>Evidencia</t>
  </si>
  <si>
    <t>A.5.1</t>
  </si>
  <si>
    <t>Políticas de seguridad</t>
  </si>
  <si>
    <t>SÍ</t>
  </si>
  <si>
    <t>Requerido para el SGSI</t>
  </si>
  <si>
    <t>A.5.2</t>
  </si>
  <si>
    <t>Roles y responsabilidades</t>
  </si>
  <si>
    <t>Define estructura organizacional</t>
  </si>
  <si>
    <t>PARCIAL</t>
  </si>
  <si>
    <t>RRHH</t>
  </si>
  <si>
    <t>Organigrama</t>
  </si>
  <si>
    <t>A.5.3</t>
  </si>
  <si>
    <t>Segregación de funciones</t>
  </si>
  <si>
    <t>Prevención de fraude</t>
  </si>
  <si>
    <t>Matriz RACI</t>
  </si>
  <si>
    <t>A.5.7</t>
  </si>
  <si>
    <t>Inteligencia de amenazas</t>
  </si>
  <si>
    <t>Monitoreo proactivo</t>
  </si>
  <si>
    <t>SOC</t>
  </si>
  <si>
    <t>MITRE ATT&amp;CK</t>
  </si>
  <si>
    <t>A.5.8</t>
  </si>
  <si>
    <t>Seguridad en proyectos</t>
  </si>
  <si>
    <t>Security by design</t>
  </si>
  <si>
    <t>PMO</t>
  </si>
  <si>
    <t>Checklist</t>
  </si>
  <si>
    <t>A.5.10</t>
  </si>
  <si>
    <t>Uso aceptable</t>
  </si>
  <si>
    <t>Política de uso de activos</t>
  </si>
  <si>
    <t>AUP-001</t>
  </si>
  <si>
    <t>A.5.14</t>
  </si>
  <si>
    <t>Transferencia de información</t>
  </si>
  <si>
    <t>Protección en tránsito</t>
  </si>
  <si>
    <t>TI</t>
  </si>
  <si>
    <t>Cifrado TLS</t>
  </si>
  <si>
    <t>A.5.15</t>
  </si>
  <si>
    <t>Control de acceso</t>
  </si>
  <si>
    <t>Principio mínimo privilegio</t>
  </si>
  <si>
    <t>IAM</t>
  </si>
  <si>
    <t>A.5.16</t>
  </si>
  <si>
    <t>Gestión de identidad</t>
  </si>
  <si>
    <t>Control de identidades</t>
  </si>
  <si>
    <t>Active Directory</t>
  </si>
  <si>
    <t>A.5.17</t>
  </si>
  <si>
    <t>Información de autenticación</t>
  </si>
  <si>
    <t>Contraseñas seguras</t>
  </si>
  <si>
    <t>Política contraseñas</t>
  </si>
  <si>
    <t>A.5.23</t>
  </si>
  <si>
    <t>Uso de servicios cloud</t>
  </si>
  <si>
    <t>Uso creciente de cloud</t>
  </si>
  <si>
    <t>Acuerdos SLA</t>
  </si>
  <si>
    <t>A.6.1</t>
  </si>
  <si>
    <t>Selección</t>
  </si>
  <si>
    <t>Verificación de antecedentes</t>
  </si>
  <si>
    <t>Proceso contratación</t>
  </si>
  <si>
    <t>A.6.2</t>
  </si>
  <si>
    <t>Términos y condiciones</t>
  </si>
  <si>
    <t>Acuerdos de confidencialidad</t>
  </si>
  <si>
    <t>Legal</t>
  </si>
  <si>
    <t>NDA empleados</t>
  </si>
  <si>
    <t>A.6.3</t>
  </si>
  <si>
    <t>Concienciación</t>
  </si>
  <si>
    <t>Capacitación continua</t>
  </si>
  <si>
    <t>Plan formación</t>
  </si>
  <si>
    <t>A.6.4</t>
  </si>
  <si>
    <t>Proceso disciplinario</t>
  </si>
  <si>
    <t>Sanciones por incumplimiento</t>
  </si>
  <si>
    <t>Reglamento</t>
  </si>
  <si>
    <t>A.6.5</t>
  </si>
  <si>
    <t>Cese de empleo</t>
  </si>
  <si>
    <t>Devolución de activos</t>
  </si>
  <si>
    <t>Checklist offboarding</t>
  </si>
  <si>
    <t>A.7.1</t>
  </si>
  <si>
    <t>Áreas seguras físicas</t>
  </si>
  <si>
    <t>Protección de instalaciones</t>
  </si>
  <si>
    <t>Seguridad Física</t>
  </si>
  <si>
    <t>Control acceso</t>
  </si>
  <si>
    <t>A.7.2</t>
  </si>
  <si>
    <t>Controles físicos</t>
  </si>
  <si>
    <t>Cámaras, alarmas, guardias</t>
  </si>
  <si>
    <t>Sistema CCTV</t>
  </si>
  <si>
    <t>A.7.4</t>
  </si>
  <si>
    <t>Monitoreo físico</t>
  </si>
  <si>
    <t>Registro de accesos</t>
  </si>
  <si>
    <t>Logs acceso</t>
  </si>
  <si>
    <t>A.8.1</t>
  </si>
  <si>
    <t>Dispositivos de usuario</t>
  </si>
  <si>
    <t>Laptops, móviles, tablets</t>
  </si>
  <si>
    <t>MDM</t>
  </si>
  <si>
    <t>A.8.2</t>
  </si>
  <si>
    <t>Derechos de acceso</t>
  </si>
  <si>
    <t>Gestión de privilegios</t>
  </si>
  <si>
    <t>Sistema IAM</t>
  </si>
  <si>
    <t>A.8.3</t>
  </si>
  <si>
    <t>Restricción de acceso</t>
  </si>
  <si>
    <t>Segmentación de red</t>
  </si>
  <si>
    <t>Firewall/VLAN</t>
  </si>
  <si>
    <t>A.8.5</t>
  </si>
  <si>
    <t>Autenticación segura</t>
  </si>
  <si>
    <t>MFA obligatorio</t>
  </si>
  <si>
    <t>Azure MFA</t>
  </si>
  <si>
    <t>A.8.8</t>
  </si>
  <si>
    <t>Gestión de vulnerabilidades</t>
  </si>
  <si>
    <t>Escaneo regular</t>
  </si>
  <si>
    <t>Vulnerability scan</t>
  </si>
  <si>
    <t>A.8.9</t>
  </si>
  <si>
    <t>Gestión de configuración</t>
  </si>
  <si>
    <t>CMDB actualizado</t>
  </si>
  <si>
    <t>NO</t>
  </si>
  <si>
    <t>Pendiente</t>
  </si>
  <si>
    <t>A.8.10</t>
  </si>
  <si>
    <t>Borrado de información</t>
  </si>
  <si>
    <t>Eliminación segura</t>
  </si>
  <si>
    <t>A.8.11</t>
  </si>
  <si>
    <t>Enmascaramiento de datos</t>
  </si>
  <si>
    <t>Protección datos sensibles</t>
  </si>
  <si>
    <t>Dev</t>
  </si>
  <si>
    <t>Pseudonimización</t>
  </si>
  <si>
    <t>A.8.12</t>
  </si>
  <si>
    <t>Prevención de fuga de datos</t>
  </si>
  <si>
    <t>DLP implementado</t>
  </si>
  <si>
    <t>DLP Microsoft</t>
  </si>
  <si>
    <t>A.8.16</t>
  </si>
  <si>
    <t>Monitoreo de actividades</t>
  </si>
  <si>
    <t>Logs centralizados</t>
  </si>
  <si>
    <t>SIEM</t>
  </si>
  <si>
    <t>A.8.23</t>
  </si>
  <si>
    <t>Filtrado web</t>
  </si>
  <si>
    <t>Bloqueo sitios maliciosos</t>
  </si>
  <si>
    <t>Proxy/Firewall</t>
  </si>
  <si>
    <t>A.8.24</t>
  </si>
  <si>
    <t>Cifrado</t>
  </si>
  <si>
    <t>Datos en reposo y tránsito</t>
  </si>
  <si>
    <t>BitLocker/TLS</t>
  </si>
  <si>
    <t>PLAN DE AUDITORÍA INTERNA DEL SGSI</t>
  </si>
  <si>
    <t>INFORMACIÓN GENERAL DEL PROGRAMA DE AUDITORÍA</t>
  </si>
  <si>
    <t>Año del Plan:</t>
  </si>
  <si>
    <t>2025</t>
  </si>
  <si>
    <t>Frecuencia:</t>
  </si>
  <si>
    <t>Semestral</t>
  </si>
  <si>
    <t>Auditor Líder:</t>
  </si>
  <si>
    <t>A definir</t>
  </si>
  <si>
    <t>Equipo Auditor:</t>
  </si>
  <si>
    <t>Norma de Referencia:</t>
  </si>
  <si>
    <t>ISO 27001:2022, ISO 19011:2018</t>
  </si>
  <si>
    <t>CALENDARIO DE AUDITORÍAS 2025</t>
  </si>
  <si>
    <t>Auditoría</t>
  </si>
  <si>
    <t>Alcance</t>
  </si>
  <si>
    <t>Fecha Planificada</t>
  </si>
  <si>
    <t>Duración</t>
  </si>
  <si>
    <t>Informe</t>
  </si>
  <si>
    <t>Auditoría 1/2025</t>
  </si>
  <si>
    <t>Política y Alcance</t>
  </si>
  <si>
    <t>Marzo 2025</t>
  </si>
  <si>
    <t>2 días</t>
  </si>
  <si>
    <t>Planificada</t>
  </si>
  <si>
    <t>-</t>
  </si>
  <si>
    <t>Auditoría 2/2025</t>
  </si>
  <si>
    <t>Gestión de Riesgos</t>
  </si>
  <si>
    <t>Junio 2025</t>
  </si>
  <si>
    <t>3 días</t>
  </si>
  <si>
    <t>Auditoría 3/2025</t>
  </si>
  <si>
    <t>Controles Técnicos</t>
  </si>
  <si>
    <t>Septiembre 2025</t>
  </si>
  <si>
    <t>Auditoría 4/2025</t>
  </si>
  <si>
    <t>Continuidad de Negocio</t>
  </si>
  <si>
    <t>Diciembre 2025</t>
  </si>
  <si>
    <t>CRITERIOS Y METODOLOGÍA DE AUDITORÍA</t>
  </si>
  <si>
    <t>• Cumplimiento ISO 27001:2022</t>
  </si>
  <si>
    <t>Verificar implementación de controles Anexo A</t>
  </si>
  <si>
    <t>• Efectividad de Controles</t>
  </si>
  <si>
    <t>Evaluar si controles logran objetivos</t>
  </si>
  <si>
    <t>• Conformidad Legal</t>
  </si>
  <si>
    <t>Verificar cumplimiento regulatorio</t>
  </si>
  <si>
    <t>• Mejora Continua</t>
  </si>
  <si>
    <t>Identificar oportunidades de mejora</t>
  </si>
  <si>
    <t>REVISIÓN POR LA DIRECCIÓN - ACTAS E INFORMES</t>
  </si>
  <si>
    <t>REGISTRO DE REVISIONES POR LA DIRECCIÓN</t>
  </si>
  <si>
    <t>Fecha</t>
  </si>
  <si>
    <t>Asistentes</t>
  </si>
  <si>
    <t>Temas Tratados</t>
  </si>
  <si>
    <t>Decisiones</t>
  </si>
  <si>
    <t>Inicial</t>
  </si>
  <si>
    <t>CEO, CISO, CIO</t>
  </si>
  <si>
    <t>Aprobación SGSI inicial</t>
  </si>
  <si>
    <t>Aprobar implementación</t>
  </si>
  <si>
    <t>ACTA-001</t>
  </si>
  <si>
    <t>AGENDA TIPO - REVISIÓN POR LA DIRECCIÓN</t>
  </si>
  <si>
    <t>1. Estado de acciones de revisiones anteriores</t>
  </si>
  <si>
    <t>2. Cambios en cuestiones externas e internas relevantes al SGSI</t>
  </si>
  <si>
    <t>3. Retroalimentación sobre el desempeño de la seguridad de la información:</t>
  </si>
  <si>
    <t xml:space="preserve">   • No conformidades y acciones correctivas</t>
  </si>
  <si>
    <t xml:space="preserve">   • Resultados de seguimiento y medición</t>
  </si>
  <si>
    <t xml:space="preserve">   • Resultados de auditorías internas</t>
  </si>
  <si>
    <t xml:space="preserve">   • Cumplimiento de objetivos de seguridad</t>
  </si>
  <si>
    <t>4. Retroalimentación de partes interesadas</t>
  </si>
  <si>
    <t>5. Resultados de evaluación de riesgos y plan de tratamiento</t>
  </si>
  <si>
    <t>6. Oportunidades de mejora continua</t>
  </si>
  <si>
    <t>7. Necesidad de cambios al SGSI</t>
  </si>
  <si>
    <t>8. Recursos necesarios</t>
  </si>
  <si>
    <t>9. Acciones a tomar</t>
  </si>
  <si>
    <t>📋 PLAN DE PROYECTO - IMPLEMENTACIÓN SGSI</t>
  </si>
  <si>
    <t>SGSI-PRY-001</t>
  </si>
  <si>
    <t>Tipo Documento:</t>
  </si>
  <si>
    <t>Plan de Proyecto</t>
  </si>
  <si>
    <t>Fecha Emisión:</t>
  </si>
  <si>
    <t>Fecha Vigencia:</t>
  </si>
  <si>
    <t>31/12/2025</t>
  </si>
  <si>
    <t>Propietario:</t>
  </si>
  <si>
    <t>Dirección TI</t>
  </si>
  <si>
    <t>Gerencia General</t>
  </si>
  <si>
    <t>Trazabilidad:</t>
  </si>
  <si>
    <t>SoA: SGSI-SOA-001 | Riesgos: Analisis_Riesgos</t>
  </si>
  <si>
    <t>1. OBJETIVOS DEL PROYECTO SGSI</t>
  </si>
  <si>
    <t xml:space="preserve">   1. Implementar un Sistema de Gestión de Seguridad de la Información conforme a ISO 27001:2022</t>
  </si>
  <si>
    <t xml:space="preserve">   2. Proteger la confidencialidad, integridad y disponibilidad de los activos de información</t>
  </si>
  <si>
    <t xml:space="preserve">   3. Cumplir con requisitos legales, regulatorios y contractuales de seguridad</t>
  </si>
  <si>
    <t xml:space="preserve">   4. Establecer un proceso continuo de mejora en la gestión de riesgos de seguridad</t>
  </si>
  <si>
    <t xml:space="preserve">   5. Obtener la certificación ISO 27001 en un plazo máximo de 12 meses</t>
  </si>
  <si>
    <t>2. ALCANCE DEL PROYECTO</t>
  </si>
  <si>
    <t>Áreas Incluidas:</t>
  </si>
  <si>
    <t>Dirección TI, Operaciones, Desarrollo, Infraestructura, Seguridad</t>
  </si>
  <si>
    <t>Procesos Críticos:</t>
  </si>
  <si>
    <t>Desarrollo software, Gestión infraestructura cloud, Operaciones 24/7</t>
  </si>
  <si>
    <t>Ubicaciones:</t>
  </si>
  <si>
    <t>Oficina central + 3 sucursales regionales + Cloud AWS/Azure</t>
  </si>
  <si>
    <t>Activos en Alcance:</t>
  </si>
  <si>
    <t>Servidores, aplicaciones críticas, bases de datos, redes, dispositivos usuarios</t>
  </si>
  <si>
    <t>Exclusiones:</t>
  </si>
  <si>
    <t>Procesos de manufactura, sistemas de producción física</t>
  </si>
  <si>
    <t>3. ROADMAP DE IMPLEMENTACIÓN (12 MESES)</t>
  </si>
  <si>
    <t>Fase</t>
  </si>
  <si>
    <t>Actividades Principales</t>
  </si>
  <si>
    <t>Entregables</t>
  </si>
  <si>
    <t>Criterios Éxito</t>
  </si>
  <si>
    <t>FASE 1
Iniciación
(Mes 1-2)</t>
  </si>
  <si>
    <t>• Definir alcance SGSI
• Formar comité seguridad
• Aprobar políticas
• Inventariar activos</t>
  </si>
  <si>
    <t>2 meses</t>
  </si>
  <si>
    <t>Política de seguridad
Alcance SGSI
Inventario activos
Comité formado</t>
  </si>
  <si>
    <t>100% activos críticos inventariados
Políticas aprobadas por dirección</t>
  </si>
  <si>
    <t>FASE 2
Análisis Riesgos
(Mes 3-4)</t>
  </si>
  <si>
    <t>• Identificar amenazas
• Evaluar vulnerabilidades
• Analizar impactos
• Calcular riesgos</t>
  </si>
  <si>
    <t>Analista Riesgos</t>
  </si>
  <si>
    <t>Matriz de riesgos
Registro amenazas
Análisis impacto
Mapa de calor</t>
  </si>
  <si>
    <t>100% activos evaluados
Riesgos cuantificados
Propietarios asignados</t>
  </si>
  <si>
    <t>FASE 3
Tratamiento
(Mes 5-6)</t>
  </si>
  <si>
    <t>• Definir controles
• Elaborar SoA
• Plan de tratamiento
• Aprobar inversiones</t>
  </si>
  <si>
    <t>CISO + Jefes TI</t>
  </si>
  <si>
    <t>SoA completo
Plan tratamiento
Presupuesto controles
Controles priorizados</t>
  </si>
  <si>
    <t>SoA 100% completo
Controles &gt; riesgo alto aprobados</t>
  </si>
  <si>
    <t>FASE 4
Implementación
(Mes 7-10)</t>
  </si>
  <si>
    <t>• Implementar controles
• Capacitar personal
• Actualizar procesos
• Documentar evidencias</t>
  </si>
  <si>
    <t>4 meses</t>
  </si>
  <si>
    <t>Equipo SGSI</t>
  </si>
  <si>
    <t>Controles implementados
Procedimientos actualizados
Personal capacitado
Evidencias documentadas</t>
  </si>
  <si>
    <t>85% controles implementados
100% personal crítico capacitado</t>
  </si>
  <si>
    <t>FASE 5
Auditoría
(Mes 11)</t>
  </si>
  <si>
    <t>• Auditoría interna
• Resolver no conformidades
• Revisión dirección
• Mejoras pre-certificación</t>
  </si>
  <si>
    <t>1 mes</t>
  </si>
  <si>
    <t>Auditor Líder</t>
  </si>
  <si>
    <t>Informe auditoría
No conformidades cerradas
Acciones correctivas
Acta revisión dirección</t>
  </si>
  <si>
    <t>0 no conformidades mayores
Todas menores cerradas</t>
  </si>
  <si>
    <t>FASE 6
Certificación
(Mes 12)</t>
  </si>
  <si>
    <t>• Auditoría certificación
• Atender hallazgos
• Obtener certificado
• Comunicar logro</t>
  </si>
  <si>
    <t>Certificado ISO 27001
Informe certificador
Plan mejora continua</t>
  </si>
  <si>
    <t>Certificación obtenida
0 observaciones críticas</t>
  </si>
  <si>
    <t>4. RECURSOS Y PRESUPUESTO ESTIMADO</t>
  </si>
  <si>
    <t>Recursos Humanos</t>
  </si>
  <si>
    <t>CISO (0.5 FTE) + 2 Analistas (1 FTE c/u) + Consultor externo</t>
  </si>
  <si>
    <t>$120,000</t>
  </si>
  <si>
    <t>Herramientas Seguridad</t>
  </si>
  <si>
    <t>SIEM, Antivirus, DLP, Firewall, Vulnerability Scanner</t>
  </si>
  <si>
    <t>$80,000</t>
  </si>
  <si>
    <t>Capacitación</t>
  </si>
  <si>
    <t>Certificaciones (ISO 27001 Lead Auditor, CISA) + Training personal</t>
  </si>
  <si>
    <t>$25,000</t>
  </si>
  <si>
    <t>Consultoría</t>
  </si>
  <si>
    <t>Gap analysis + Soporte implementación + Pre-auditoría</t>
  </si>
  <si>
    <t>$40,000</t>
  </si>
  <si>
    <t>Certificación</t>
  </si>
  <si>
    <t>Auditoría certificación ISO 27001 + seguimientos anuales</t>
  </si>
  <si>
    <t>$15,000</t>
  </si>
  <si>
    <t>Contingencia (10%)</t>
  </si>
  <si>
    <t>Reserva para imprevistos y ajustes</t>
  </si>
  <si>
    <t>$28,000</t>
  </si>
  <si>
    <t>TOTAL PROYECTO</t>
  </si>
  <si>
    <t>$308,000</t>
  </si>
  <si>
    <t>🚨 GESTIÓN DE INCIDENTES DE SEGURIDAD</t>
  </si>
  <si>
    <t>SGSI-INC-001</t>
  </si>
  <si>
    <t>1. PROCEDIMIENTO DE GESTIÓN DE INCIDENTES</t>
  </si>
  <si>
    <t>1. DETECCIÓN</t>
  </si>
  <si>
    <t>• Monitoreo SIEM 24/7
• Alertas automáticas
• Reportes usuarios
• Análisis logs</t>
  </si>
  <si>
    <t>Herramientas: SIEM, IDS/IPS, Antivirus, Logs</t>
  </si>
  <si>
    <t>2. CLASIFICACIÓN</t>
  </si>
  <si>
    <t>• Severidad (Crítico/Alto/Medio/Bajo)
• Tipo de incidente
• Activos afectados
• Impacto estimado</t>
  </si>
  <si>
    <t>Tiempo máximo: 30 min desde detección</t>
  </si>
  <si>
    <t>3. CONTENCIÓN</t>
  </si>
  <si>
    <t>• Aislar sistemas afectados
• Detener propagación
• Preservar evidencias
• Notificar stakeholders</t>
  </si>
  <si>
    <t>Activación según severidad:
Crítico: Inmediato
Alto: &lt; 1 hora</t>
  </si>
  <si>
    <t>4. ANÁLISIS</t>
  </si>
  <si>
    <t>• Causa raíz
• Vector de ataque
• Extensión del daño
• Análisis forense</t>
  </si>
  <si>
    <t>Equipo: CISO + Analistas + Forense</t>
  </si>
  <si>
    <t>5. ERRADICACIÓN</t>
  </si>
  <si>
    <t>• Eliminar amenaza
• Parchear vulnerabilidades
• Actualizar controles
• Verificar limpieza</t>
  </si>
  <si>
    <t>Validación: Doble verificación requerida</t>
  </si>
  <si>
    <t>6. RECUPERACIÓN</t>
  </si>
  <si>
    <t>• Restaurar servicios
• Validar integridad
• Monitoreo reforzado
• Comunicar normalización</t>
  </si>
  <si>
    <t>SLA restauración según criticidad activo</t>
  </si>
  <si>
    <t>7. LECCIONES APRENDIDAS</t>
  </si>
  <si>
    <t>• Informe post-incidente
• Acciones correctivas
• Actualizar procedimientos
• Capacitación</t>
  </si>
  <si>
    <t>Plazo informe: 5 días hábiles</t>
  </si>
  <si>
    <t>2. CLASIFICACIÓN DE SEVERIDAD DE INCIDENTES</t>
  </si>
  <si>
    <t>Severidad</t>
  </si>
  <si>
    <t>Criterios</t>
  </si>
  <si>
    <t>Tiempo Respuesta</t>
  </si>
  <si>
    <t>Notificación</t>
  </si>
  <si>
    <t>Escalamiento</t>
  </si>
  <si>
    <t>• Brecha de datos masiva
• Ransomware activo
• Interrupción total servicios críticos
• Ataque APT confirmado</t>
  </si>
  <si>
    <t>Inmediato
(&lt; 15 min)</t>
  </si>
  <si>
    <t>CISO + CEO
+ Dirección
+ Legal</t>
  </si>
  <si>
    <t>Inmediato
Comité Crisis</t>
  </si>
  <si>
    <t>• Compromiso servidor crítico
• Fuga datos sensibles
• Malware en sistemas producción
• DDoS sostenido</t>
  </si>
  <si>
    <t>&lt; 1 hora</t>
  </si>
  <si>
    <t>CISO
+ Jefe TI
+ Afectados</t>
  </si>
  <si>
    <t>&lt; 2 horas
CISO</t>
  </si>
  <si>
    <t>• Intento acceso no autorizado
• Phishing dirigido
• Vulnerabilidad explotable
• Pérdida dispositivo con datos</t>
  </si>
  <si>
    <t>&lt; 4 horas</t>
  </si>
  <si>
    <t>Jefe TI
+ Responsable Área</t>
  </si>
  <si>
    <t>&lt; 8 horas
Jefe TI</t>
  </si>
  <si>
    <t>• Spam masivo
• Intento phishing genérico
• Vulnerabilidad menor
• Violación política no crítica</t>
  </si>
  <si>
    <t>&lt; 24 horas</t>
  </si>
  <si>
    <t>Analista Seguridad</t>
  </si>
  <si>
    <t>Si persiste
&gt; 48h</t>
  </si>
  <si>
    <t>3. REGISTRO DE INCIDENTES DE SEGURIDAD</t>
  </si>
  <si>
    <t>ID</t>
  </si>
  <si>
    <t>Fecha/Hora</t>
  </si>
  <si>
    <t>Tipo Incidente</t>
  </si>
  <si>
    <t>Fecha Cierre</t>
  </si>
  <si>
    <t>INC-001</t>
  </si>
  <si>
    <t>04/11/2025 09:15</t>
  </si>
  <si>
    <t>Malware</t>
  </si>
  <si>
    <t>Troyano bancario detectado en estación de trabajo finanzas</t>
  </si>
  <si>
    <t>J. Pérez</t>
  </si>
  <si>
    <t>CERRADO</t>
  </si>
  <si>
    <t>05/11/2025</t>
  </si>
  <si>
    <t>INC-002</t>
  </si>
  <si>
    <t>04/11/2025 14:30</t>
  </si>
  <si>
    <t>Acceso No Autorizado</t>
  </si>
  <si>
    <t>Intentos de acceso SSH fallidos desde IP externa sospechosa</t>
  </si>
  <si>
    <t>M. González</t>
  </si>
  <si>
    <t>EN ANÁLISIS</t>
  </si>
  <si>
    <t>INC-003</t>
  </si>
  <si>
    <t>04/11/2025 16:45</t>
  </si>
  <si>
    <t>Phishing</t>
  </si>
  <si>
    <t>Campaña de phishing reportada por 5 usuarios</t>
  </si>
  <si>
    <t>L. Martínez</t>
  </si>
  <si>
    <t>CONTENIDO</t>
  </si>
  <si>
    <t>🔄 PLAN DE CONTINUIDAD DEL NEGOCIO (BCP)</t>
  </si>
  <si>
    <t>Código:</t>
  </si>
  <si>
    <t>SGSI-BCP-001</t>
  </si>
  <si>
    <t>Tipo:</t>
  </si>
  <si>
    <t>Plan de Continuidad</t>
  </si>
  <si>
    <t>Fecha:</t>
  </si>
  <si>
    <t>Responsable:</t>
  </si>
  <si>
    <t>Vigencia:</t>
  </si>
  <si>
    <t>Aprobado:</t>
  </si>
  <si>
    <t>1. OBJETIVOS DEL PLAN DE CONTINUIDAD</t>
  </si>
  <si>
    <t xml:space="preserve">   • Garantizar la continuidad de procesos críticos ante interrupciones</t>
  </si>
  <si>
    <t xml:space="preserve">   • Minimizar el impacto de incidentes en operaciones de negocio</t>
  </si>
  <si>
    <t xml:space="preserve">   • Proteger a empleados, clientes y stakeholders</t>
  </si>
  <si>
    <t xml:space="preserve">   • Cumplir con SLA comprometidos y obligaciones contractuales</t>
  </si>
  <si>
    <t xml:space="preserve">   • Mantener la reputación y confianza de clientes</t>
  </si>
  <si>
    <t>2. OBJETIVOS DE RECUPERACIÓN (RTO/RPO)</t>
  </si>
  <si>
    <t>Proceso Crítico</t>
  </si>
  <si>
    <t>Criticidad</t>
  </si>
  <si>
    <t>RTO</t>
  </si>
  <si>
    <t>RPO</t>
  </si>
  <si>
    <t>Recursos Mínimos</t>
  </si>
  <si>
    <t>Estrategia Recuperación</t>
  </si>
  <si>
    <t>Atención al Cliente</t>
  </si>
  <si>
    <t>2h</t>
  </si>
  <si>
    <t>15min</t>
  </si>
  <si>
    <t>CRM + Telefonía + 5 agentes</t>
  </si>
  <si>
    <t>Sitio alterno + Cloud backup</t>
  </si>
  <si>
    <t>Procesamiento Pagos</t>
  </si>
  <si>
    <t>4h</t>
  </si>
  <si>
    <t>5min</t>
  </si>
  <si>
    <t>Core bancario + Conexión bancos</t>
  </si>
  <si>
    <t>Redundancia geográfica DB</t>
  </si>
  <si>
    <t>Producción Software</t>
  </si>
  <si>
    <t>8h</t>
  </si>
  <si>
    <t>1h</t>
  </si>
  <si>
    <t>Repositorio Git + CI/CD</t>
  </si>
  <si>
    <t>Cloud DevOps + Backups</t>
  </si>
  <si>
    <t>Email Corporativo</t>
  </si>
  <si>
    <t>12h</t>
  </si>
  <si>
    <t>Servidor Exchange/O365</t>
  </si>
  <si>
    <t>Failover automático cloud</t>
  </si>
  <si>
    <t>ERP Gestión</t>
  </si>
  <si>
    <t>6h</t>
  </si>
  <si>
    <t>30min</t>
  </si>
  <si>
    <t>SAP/ERP + DB + 10 usuarios</t>
  </si>
  <si>
    <t>Cluster alta disponibilidad</t>
  </si>
  <si>
    <t>Portal Web Público</t>
  </si>
  <si>
    <t>Servidores web + CDN</t>
  </si>
  <si>
    <t>Load balancer + Multi-región</t>
  </si>
  <si>
    <t>3. PLAN DE RESPUESTA A INCIDENTES MAYORES</t>
  </si>
  <si>
    <t>ACTIVACIÓN</t>
  </si>
  <si>
    <t>• Declaración de incidente mayor
• Activar equipo crisis
• Notificar stakeholders
• Activar sitio alterno</t>
  </si>
  <si>
    <t>Responsable: CISO
Tiempo: Inmediato</t>
  </si>
  <si>
    <t>EVALUACIÓN</t>
  </si>
  <si>
    <t>• Evaluar daños
• Identificar recursos afectados
• Estimar tiempo recuperación
• Priorizar procesos</t>
  </si>
  <si>
    <t>Equipo: Crisis + TI
Tiempo: &lt; 2 horas</t>
  </si>
  <si>
    <t>RECUPERACIÓN</t>
  </si>
  <si>
    <t>• Restaurar sistemas críticos
• Validar integridad datos
• Redirigir tráfico a backup
• Comunicar progreso</t>
  </si>
  <si>
    <t>Por fases según RTO
Monitoreo continuo</t>
  </si>
  <si>
    <t>RESTABLECIMIENTO</t>
  </si>
  <si>
    <t>• Volver a operación normal
• Verificar funcionamiento
• Sincronizar datos
• Cerrar incidente</t>
  </si>
  <si>
    <t>Validación completa
Informe post-mortem</t>
  </si>
  <si>
    <t>MEJORA</t>
  </si>
  <si>
    <t>• Lecciones aprendidas
• Actualizar BCP
• Reforzar controles
• Capacitar equipo</t>
  </si>
  <si>
    <t>Plazo: 10 días
Actualización BCP</t>
  </si>
  <si>
    <t>📊 ANÁLISIS DE IMPACTO AL NEGOCIO (BIA)</t>
  </si>
  <si>
    <t>SGSI-BIA-001</t>
  </si>
  <si>
    <t>Análisis de Impacto</t>
  </si>
  <si>
    <t>1. METODOLOGÍA DE ANÁLISIS BIA</t>
  </si>
  <si>
    <t>1. Identificar procesos críticos</t>
  </si>
  <si>
    <t>Entrevistas con dueños de procesos, análisis cadena de valor</t>
  </si>
  <si>
    <t>2. Determinar dependencias</t>
  </si>
  <si>
    <t>Mapeo de sistemas, aplicaciones, datos, personal, proveedores</t>
  </si>
  <si>
    <t>3. Evaluar impactos</t>
  </si>
  <si>
    <t>Financiero, operacional, reputacional, legal, seguridad</t>
  </si>
  <si>
    <t>4. Definir tolerancias</t>
  </si>
  <si>
    <t>MTD (Maximum Tolerable Downtime), RTO, RPO</t>
  </si>
  <si>
    <t>5. Priorizar recuperación</t>
  </si>
  <si>
    <t>Criticidad basada en impacto acumulado en el tiempo</t>
  </si>
  <si>
    <t>2. ANÁLISIS DE IMPACTO POR TIEMPO DE INTERRUPCIÓN</t>
  </si>
  <si>
    <t>Proceso</t>
  </si>
  <si>
    <t>Impacto 1h</t>
  </si>
  <si>
    <t>Impacto 4h</t>
  </si>
  <si>
    <t>Impacto 24h</t>
  </si>
  <si>
    <t>Impacto 1 semana</t>
  </si>
  <si>
    <t>MTD</t>
  </si>
  <si>
    <t>Atención Cliente</t>
  </si>
  <si>
    <t>Crítico</t>
  </si>
  <si>
    <t>Catastrófico</t>
  </si>
  <si>
    <t>Proc. Pagos</t>
  </si>
  <si>
    <t>Producción SW</t>
  </si>
  <si>
    <t>72h</t>
  </si>
  <si>
    <t>Email Corp</t>
  </si>
  <si>
    <t>24h</t>
  </si>
  <si>
    <t>Portal Web</t>
  </si>
  <si>
    <t>RRHH Nómina</t>
  </si>
  <si>
    <t>168h</t>
  </si>
  <si>
    <t>Backup/Restore</t>
  </si>
  <si>
    <t>48h</t>
  </si>
  <si>
    <t>3. IMPACTO FINANCIERO ESTIMADO (USD)</t>
  </si>
  <si>
    <t>Tipo Impacto</t>
  </si>
  <si>
    <t>Por Hora</t>
  </si>
  <si>
    <t>Por Día</t>
  </si>
  <si>
    <t>Por Semana</t>
  </si>
  <si>
    <t>Notas</t>
  </si>
  <si>
    <t>Pérdida Ingresos</t>
  </si>
  <si>
    <t>$5,000</t>
  </si>
  <si>
    <t>$840,000</t>
  </si>
  <si>
    <t>Ventas no realizadas + clientes perdidos</t>
  </si>
  <si>
    <t>Penalizaciones SLA</t>
  </si>
  <si>
    <t>$2,000</t>
  </si>
  <si>
    <t>$48,000</t>
  </si>
  <si>
    <t>$336,000</t>
  </si>
  <si>
    <t>Multas contractuales incumplimiento</t>
  </si>
  <si>
    <t>Costos Recuperación</t>
  </si>
  <si>
    <t>$3,000</t>
  </si>
  <si>
    <t>$72,000</t>
  </si>
  <si>
    <t>$504,000</t>
  </si>
  <si>
    <t>Personal extra, consultores, equipos</t>
  </si>
  <si>
    <t>Daño Reputacional</t>
  </si>
  <si>
    <t>$1,000</t>
  </si>
  <si>
    <t>$24,000</t>
  </si>
  <si>
    <t>$500,000</t>
  </si>
  <si>
    <t>Pérdida confianza, marketing recuperación</t>
  </si>
  <si>
    <t>Costos Legales</t>
  </si>
  <si>
    <t>$500</t>
  </si>
  <si>
    <t>$12,000</t>
  </si>
  <si>
    <t>$150,000</t>
  </si>
  <si>
    <t>Multas regulatorias, demandas</t>
  </si>
  <si>
    <t>TOTAL ESTIMADO</t>
  </si>
  <si>
    <t>$11,500</t>
  </si>
  <si>
    <t>$276,000</t>
  </si>
  <si>
    <t>$2,330,000</t>
  </si>
  <si>
    <t>Impacto acumulado - varía según proceso</t>
  </si>
  <si>
    <t>🎓 PLAN DE FORMACIÓN Y CONCIENCIACIÓN</t>
  </si>
  <si>
    <t>SGSI-FOR-001</t>
  </si>
  <si>
    <t>Plan de Formación</t>
  </si>
  <si>
    <t>1. OBJETIVOS DEL PROGRAMA</t>
  </si>
  <si>
    <t xml:space="preserve">   • Crear cultura de seguridad en toda la organización</t>
  </si>
  <si>
    <t xml:space="preserve">   • Capacitar al personal en políticas y procedimientos de seguridad</t>
  </si>
  <si>
    <t xml:space="preserve">   • Reducir riesgos derivados del factor humano (90% de brechas)</t>
  </si>
  <si>
    <t xml:space="preserve">   • Cumplir con requisitos ISO 27001 cláusula 7.2 (Competencia)</t>
  </si>
  <si>
    <t xml:space="preserve">   • Medir y mejorar continuamente el nivel de concienciación</t>
  </si>
  <si>
    <t>2. PROGRAMA ANUAL DE FORMACIÓN 2025</t>
  </si>
  <si>
    <t>Actividad</t>
  </si>
  <si>
    <t>Audiencia</t>
  </si>
  <si>
    <t>Modalidad</t>
  </si>
  <si>
    <t>Fecha 2025</t>
  </si>
  <si>
    <t>Inducción Seguridad</t>
  </si>
  <si>
    <t>Nuevos ingresos</t>
  </si>
  <si>
    <t>Presencial</t>
  </si>
  <si>
    <t>2 horas</t>
  </si>
  <si>
    <t>Continua</t>
  </si>
  <si>
    <t>RRHH + CISO</t>
  </si>
  <si>
    <t>Todo el año</t>
  </si>
  <si>
    <t>Políticas SGSI</t>
  </si>
  <si>
    <t>Todo el personal</t>
  </si>
  <si>
    <t>E-learning</t>
  </si>
  <si>
    <t>1 hora</t>
  </si>
  <si>
    <t>Anual</t>
  </si>
  <si>
    <t>Enero-Feb</t>
  </si>
  <si>
    <t>Phishing Simulado</t>
  </si>
  <si>
    <t>Campaña email</t>
  </si>
  <si>
    <t>15 min</t>
  </si>
  <si>
    <t>Trimestral</t>
  </si>
  <si>
    <t>Analista Seg</t>
  </si>
  <si>
    <t>Ene/Abr/Jul/Oct</t>
  </si>
  <si>
    <t>Manejo Incidentes</t>
  </si>
  <si>
    <t>TI + Seguridad</t>
  </si>
  <si>
    <t>Taller práctico</t>
  </si>
  <si>
    <t>4 horas</t>
  </si>
  <si>
    <t>Mar/Sep</t>
  </si>
  <si>
    <t>Clasificación Info</t>
  </si>
  <si>
    <t>Gerentes + Jefes</t>
  </si>
  <si>
    <t>Abril</t>
  </si>
  <si>
    <t>Continuidad Negocio</t>
  </si>
  <si>
    <t>Dirección + TI</t>
  </si>
  <si>
    <t>Simulacro</t>
  </si>
  <si>
    <t>3 horas</t>
  </si>
  <si>
    <t>Jefe TI</t>
  </si>
  <si>
    <t>Junio</t>
  </si>
  <si>
    <t>Desarrollo Seguro</t>
  </si>
  <si>
    <t>Desarrolladores</t>
  </si>
  <si>
    <t>Workshop</t>
  </si>
  <si>
    <t>8 horas</t>
  </si>
  <si>
    <t>CISO + DevLead</t>
  </si>
  <si>
    <t>Mayo</t>
  </si>
  <si>
    <t>Ingeniería Social</t>
  </si>
  <si>
    <t>Recepción + RRHH</t>
  </si>
  <si>
    <t>1.5 horas</t>
  </si>
  <si>
    <t>Agosto</t>
  </si>
  <si>
    <t>GDPR/Privacidad</t>
  </si>
  <si>
    <t>RRHH + Legal</t>
  </si>
  <si>
    <t>Webinar</t>
  </si>
  <si>
    <t>DPO</t>
  </si>
  <si>
    <t>Marzo</t>
  </si>
  <si>
    <t>Certificación ISO 27001</t>
  </si>
  <si>
    <t>Curso externo</t>
  </si>
  <si>
    <t>24 horas</t>
  </si>
  <si>
    <t>Una vez</t>
  </si>
  <si>
    <t>Julio-Agosto</t>
  </si>
  <si>
    <t>Recordatorios Mensuales</t>
  </si>
  <si>
    <t>Email + Posters</t>
  </si>
  <si>
    <t>5 min</t>
  </si>
  <si>
    <t>Mensual</t>
  </si>
  <si>
    <t>Comunicaciones</t>
  </si>
  <si>
    <t>Evaluación Anual</t>
  </si>
  <si>
    <t>Test online</t>
  </si>
  <si>
    <t>30 min</t>
  </si>
  <si>
    <t>Diciembre</t>
  </si>
  <si>
    <t>3. TEMAS CLAVE DE CONCIENCIACIÓN</t>
  </si>
  <si>
    <t>Tema</t>
  </si>
  <si>
    <t>Puntos Clave</t>
  </si>
  <si>
    <t>Prioridad</t>
  </si>
  <si>
    <t>🎣 Phishing y Spear Phishing</t>
  </si>
  <si>
    <t>Identificar correos sospechosos, verificar remitentes, reportar intentos</t>
  </si>
  <si>
    <t>🔑 Contraseñas Seguras</t>
  </si>
  <si>
    <t>12+ caracteres, gestor contraseñas, MFA, no reutilizar</t>
  </si>
  <si>
    <t>📱 Dispositivos Móviles</t>
  </si>
  <si>
    <t>Cifrado, pantalla bloqueada, apps oficiales, no jailbreak</t>
  </si>
  <si>
    <t>🏠 Trabajo Remoto</t>
  </si>
  <si>
    <t>VPN obligatoria, WiFi seguro, escritorio limpio, videoconferencia segura</t>
  </si>
  <si>
    <t>📄 Clasificación Información</t>
  </si>
  <si>
    <t>Confidencial/Interno/Público, etiquetado, manejo según clasificación</t>
  </si>
  <si>
    <t>🔒 Control Accesos</t>
  </si>
  <si>
    <t>Principio mínimo privilegio, cerrar sesión, no compartir credenciales</t>
  </si>
  <si>
    <t>💾 Respaldo y Recuperación</t>
  </si>
  <si>
    <t>Guardar en ubicaciones autorizadas, no usar USB personales</t>
  </si>
  <si>
    <t>🌐 Navegación Segura</t>
  </si>
  <si>
    <t>HTTPS, sitios confiables, no descargas sospechosas, bloqueador ads</t>
  </si>
  <si>
    <t>👥 Ingeniería Social</t>
  </si>
  <si>
    <t>Verificar identidad, no revelar info sensible, protocolos autorización</t>
  </si>
  <si>
    <t>📊 Privacidad y GDPR</t>
  </si>
  <si>
    <t>Manejo datos personales, consentimiento, derechos ARCO, notificación brechas</t>
  </si>
  <si>
    <t>4. MÉTRICAS DE EFECTIVIDAD</t>
  </si>
  <si>
    <t>Métrica</t>
  </si>
  <si>
    <t>Objetivo</t>
  </si>
  <si>
    <t>Fuente Datos</t>
  </si>
  <si>
    <t>% Completitud formaciones obligatorias</t>
  </si>
  <si>
    <t>Meta: &gt;95%</t>
  </si>
  <si>
    <t>LMS/RRHH</t>
  </si>
  <si>
    <t>Tasa de clics en phishing simulado</t>
  </si>
  <si>
    <t>Meta: &lt;5%</t>
  </si>
  <si>
    <t>Herramienta phishing</t>
  </si>
  <si>
    <t>% Aprobación evaluación anual</t>
  </si>
  <si>
    <t>Meta: &gt;90% con nota &gt;80</t>
  </si>
  <si>
    <t>Incidentes causados por error humano</t>
  </si>
  <si>
    <t>Meta: Reducción 20% anual</t>
  </si>
  <si>
    <t>Sistema tickets</t>
  </si>
  <si>
    <t>% Personal que reporta phishing</t>
  </si>
  <si>
    <t>Meta: &gt;60%</t>
  </si>
  <si>
    <t>Email seguridad</t>
  </si>
  <si>
    <t>Satisfacción con formaciones</t>
  </si>
  <si>
    <t>Meta: &gt;4.0/5.0</t>
  </si>
  <si>
    <t>Cada curso</t>
  </si>
  <si>
    <t>Encuesta post-curso</t>
  </si>
  <si>
    <t>📄 ACUERDOS DE CONFIDENCIALIDAD - PROVEEDORES</t>
  </si>
  <si>
    <t>SGSI-NDA-PRV-001</t>
  </si>
  <si>
    <t>REGISTRO DE NDAs CON PROVEEDORES/TERCEROS</t>
  </si>
  <si>
    <t>Proveedor</t>
  </si>
  <si>
    <t>Tipo Servicio</t>
  </si>
  <si>
    <t>Fecha Firma</t>
  </si>
  <si>
    <t>Vigencia</t>
  </si>
  <si>
    <t>Nivel Acceso</t>
  </si>
  <si>
    <t>AWS Amazon</t>
  </si>
  <si>
    <t>Cloud Infrastructure</t>
  </si>
  <si>
    <t>15/01/2025</t>
  </si>
  <si>
    <t>14/01/2026</t>
  </si>
  <si>
    <t>CRÍTICO - Producción</t>
  </si>
  <si>
    <t>Microsoft Azure</t>
  </si>
  <si>
    <t>Cloud Services</t>
  </si>
  <si>
    <t>20/01/2025</t>
  </si>
  <si>
    <t>19/01/2026</t>
  </si>
  <si>
    <t>CRÍTICO - Backup</t>
  </si>
  <si>
    <t>Consultoría Deloitte</t>
  </si>
  <si>
    <t>Auditoría SGSI</t>
  </si>
  <si>
    <t>01/02/2025</t>
  </si>
  <si>
    <t>31/01/2026</t>
  </si>
  <si>
    <t>ALTO - Documentación</t>
  </si>
  <si>
    <t>Proveedor IT Local</t>
  </si>
  <si>
    <t>Soporte Técnico</t>
  </si>
  <si>
    <t>10/03/2025</t>
  </si>
  <si>
    <t>09/03/2026</t>
  </si>
  <si>
    <t>MEDIO - Tickets</t>
  </si>
  <si>
    <t>📄 ACUERDOS DE CONFIDENCIALIDAD - EMPLEADOS</t>
  </si>
  <si>
    <t>SGSI-NDA-EMP-001</t>
  </si>
  <si>
    <t>REGISTRO DE NDAs CON EMPLEADOS</t>
  </si>
  <si>
    <t>Empleado</t>
  </si>
  <si>
    <t>Puesto</t>
  </si>
  <si>
    <t>Fecha Ingreso</t>
  </si>
  <si>
    <t>NDA Firmado</t>
  </si>
  <si>
    <t>Formación Seg</t>
  </si>
  <si>
    <t>Juan Pérez</t>
  </si>
  <si>
    <t>01/01/2024</t>
  </si>
  <si>
    <t>Completada 100%</t>
  </si>
  <si>
    <t>ACTIVO</t>
  </si>
  <si>
    <t>María González</t>
  </si>
  <si>
    <t>15/03/2024</t>
  </si>
  <si>
    <t>Carlos Martínez</t>
  </si>
  <si>
    <t>Desarrollador Senior</t>
  </si>
  <si>
    <t>20/06/2024</t>
  </si>
  <si>
    <t>Completada 85%</t>
  </si>
  <si>
    <t>Ana López</t>
  </si>
  <si>
    <t>10/02/2023</t>
  </si>
  <si>
    <t>👥 COMITÉ DE SEGURIDAD DE LA INFORMACIÓN</t>
  </si>
  <si>
    <t>SGSI-COM-001</t>
  </si>
  <si>
    <t>1. MIEMBROS DEL COMITÉ</t>
  </si>
  <si>
    <t>Cargo</t>
  </si>
  <si>
    <t>Rol en Comité</t>
  </si>
  <si>
    <t>Email</t>
  </si>
  <si>
    <t>Teléfono</t>
  </si>
  <si>
    <t>Director General</t>
  </si>
  <si>
    <t>Presidente</t>
  </si>
  <si>
    <t>ceo@empresa.com</t>
  </si>
  <si>
    <t>+1234567890</t>
  </si>
  <si>
    <t>Secretario Técnico</t>
  </si>
  <si>
    <t>ciso@empresa.com</t>
  </si>
  <si>
    <t>+1234567891</t>
  </si>
  <si>
    <t>Vocal Técnico</t>
  </si>
  <si>
    <t>jefe.ti@empresa.com</t>
  </si>
  <si>
    <t>+1234567892</t>
  </si>
  <si>
    <t>Carlos Gómez</t>
  </si>
  <si>
    <t>Jefe Legal</t>
  </si>
  <si>
    <t>Asesor Legal</t>
  </si>
  <si>
    <t>legal@empresa.com</t>
  </si>
  <si>
    <t>+1234567893</t>
  </si>
  <si>
    <t>María Ruiz</t>
  </si>
  <si>
    <t>Jefe RRHH</t>
  </si>
  <si>
    <t>Vocal RRHH</t>
  </si>
  <si>
    <t>rrhh@empresa.com</t>
  </si>
  <si>
    <t>+1234567894</t>
  </si>
  <si>
    <t>Pedro Sánchez</t>
  </si>
  <si>
    <t>CFO</t>
  </si>
  <si>
    <t>Vocal Finanzas</t>
  </si>
  <si>
    <t>cfo@empresa.com</t>
  </si>
  <si>
    <t>+1234567895</t>
  </si>
  <si>
    <t>2. REGISTRO DE REUNIONES</t>
  </si>
  <si>
    <t>Acta #</t>
  </si>
  <si>
    <t>Temas Principales</t>
  </si>
  <si>
    <t>Acuerdos</t>
  </si>
  <si>
    <t>Próxima Reunión</t>
  </si>
  <si>
    <t>001/2025</t>
  </si>
  <si>
    <t>Aprobación políticas SGSI, Plan proyecto</t>
  </si>
  <si>
    <t>Aprobar presupuesto $308k, Iniciar Fase 1</t>
  </si>
  <si>
    <t>15/02/2025</t>
  </si>
  <si>
    <t>002/2025</t>
  </si>
  <si>
    <t>Avance inventario activos, Gap analysis</t>
  </si>
  <si>
    <t>Contratar consultor, Priorizar riesgos críticos</t>
  </si>
  <si>
    <t>15/03/2025</t>
  </si>
  <si>
    <t>003/2025</t>
  </si>
  <si>
    <t>Revisión matriz riesgos, Incidente phishing</t>
  </si>
  <si>
    <t>Implementar MFA, Campaña concienciación</t>
  </si>
  <si>
    <t>15/04/2025</t>
  </si>
  <si>
    <t>🖥️ BASE DE DATOS DE CONFIGURACIÓN (CMDB)</t>
  </si>
  <si>
    <t>SGSI-CMDB-001</t>
  </si>
  <si>
    <t>INVENTARIO DE ACTIVOS DE TI</t>
  </si>
  <si>
    <t>Activo</t>
  </si>
  <si>
    <t>IP/Hostname</t>
  </si>
  <si>
    <t>SO/Versión</t>
  </si>
  <si>
    <t>SRV-001</t>
  </si>
  <si>
    <t>Servidor Web Producción</t>
  </si>
  <si>
    <t>Servidor</t>
  </si>
  <si>
    <t>Datacenter Principal</t>
  </si>
  <si>
    <t>192.168.1.10</t>
  </si>
  <si>
    <t>Ubuntu 22.04 LTS</t>
  </si>
  <si>
    <t>Jefe Infraestructura</t>
  </si>
  <si>
    <t>SRV-002</t>
  </si>
  <si>
    <t>Servidor Base Datos</t>
  </si>
  <si>
    <t>192.168.1.20</t>
  </si>
  <si>
    <t>PostgreSQL 15</t>
  </si>
  <si>
    <t>DBA</t>
  </si>
  <si>
    <t>SRV-003</t>
  </si>
  <si>
    <t>Servidor Aplicaciones</t>
  </si>
  <si>
    <t>192.168.1.30</t>
  </si>
  <si>
    <t>Windows Server 2022</t>
  </si>
  <si>
    <t>Jefe Desarrollo</t>
  </si>
  <si>
    <t>SRV-004</t>
  </si>
  <si>
    <t>Servidor Backup</t>
  </si>
  <si>
    <t>Datacenter Secundario</t>
  </si>
  <si>
    <t>192.168.2.10</t>
  </si>
  <si>
    <t>Linux CentOS 8</t>
  </si>
  <si>
    <t>FW-001</t>
  </si>
  <si>
    <t>Firewall Principal</t>
  </si>
  <si>
    <t>Seguridad</t>
  </si>
  <si>
    <t>Perímetro Red</t>
  </si>
  <si>
    <t>192.168.0.1</t>
  </si>
  <si>
    <t>Fortinet FortiOS 7</t>
  </si>
  <si>
    <t>SW-001</t>
  </si>
  <si>
    <t>Switch Core</t>
  </si>
  <si>
    <t>Red</t>
  </si>
  <si>
    <t>Sala Equipos</t>
  </si>
  <si>
    <t>192.168.1.1</t>
  </si>
  <si>
    <t>Cisco IOS 15</t>
  </si>
  <si>
    <t>Jefe Redes</t>
  </si>
  <si>
    <t>WKS-001</t>
  </si>
  <si>
    <t>Estación Desarrollo</t>
  </si>
  <si>
    <t>Workstation</t>
  </si>
  <si>
    <t>Oficina</t>
  </si>
  <si>
    <t>DHCP</t>
  </si>
  <si>
    <t>Windows 11 Pro</t>
  </si>
  <si>
    <t>Desarrollador</t>
  </si>
  <si>
    <t>APP-001</t>
  </si>
  <si>
    <t>CRM Salesforce</t>
  </si>
  <si>
    <t>Aplicación</t>
  </si>
  <si>
    <t>Cloud</t>
  </si>
  <si>
    <t>app.salesforce.com</t>
  </si>
  <si>
    <t>SaaS Cloud</t>
  </si>
  <si>
    <t>Jefe Ventas</t>
  </si>
  <si>
    <t>🔒 PROCEDIMIENTO DE HARDENING DE SISTEMAS</t>
  </si>
  <si>
    <t>SGSI-HARD-001</t>
  </si>
  <si>
    <t>GUÍAS DE HARDENING POR TIPO DE SISTEMA</t>
  </si>
  <si>
    <t>1. HARDENING WINDOWS SERVER</t>
  </si>
  <si>
    <t>• Actualizaciones</t>
  </si>
  <si>
    <t>Habilitar Windows Update automático, instalar parches críticos mensualmente</t>
  </si>
  <si>
    <t>• Firewall</t>
  </si>
  <si>
    <t>Activar Windows Firewall, denegar tráfico entrante por defecto</t>
  </si>
  <si>
    <t>• Antivirus</t>
  </si>
  <si>
    <t>Windows Defender habilitado + actualizado, escaneo programado diario</t>
  </si>
  <si>
    <t>• Cuentas</t>
  </si>
  <si>
    <t>Deshabilitar cuenta Guest, renombrar Administrator, no usar Admin para tareas diarias</t>
  </si>
  <si>
    <t>• Contraseñas</t>
  </si>
  <si>
    <t>Política: 12+ caracteres, complejidad, caducidad 90 días, historial 24 passwords</t>
  </si>
  <si>
    <t>• Servicios</t>
  </si>
  <si>
    <t>Deshabilitar servicios innecesarios: Telnet, FTP, Remote Registry, Print Spooler (si no se usa)</t>
  </si>
  <si>
    <t>• Auditoría</t>
  </si>
  <si>
    <t>Habilitar logs: logon events, account management, policy changes, object access</t>
  </si>
  <si>
    <t>• RDP</t>
  </si>
  <si>
    <t>Cambiar puerto 3389, usar NLA, limitar usuarios, implementar MFA</t>
  </si>
  <si>
    <t>• Compartidos</t>
  </si>
  <si>
    <t>Eliminar recursos compartidos administrativos C$, D$ si no son necesarios</t>
  </si>
  <si>
    <t>• BitLocker</t>
  </si>
  <si>
    <t>Cifrado de disco completo en servidores con datos sensibles</t>
  </si>
  <si>
    <t>2. HARDENING LINUX (Ubuntu/CentOS/RedHat)</t>
  </si>
  <si>
    <t>apt update &amp;&amp; apt upgrade -y (Ubuntu) o yum update -y (CentOS) - semanal</t>
  </si>
  <si>
    <t>• SSH</t>
  </si>
  <si>
    <t>Cambiar puerto 22, deshabilitar root login, usar claves SSH, no passwords</t>
  </si>
  <si>
    <t>iptables o ufw habilitado, denegar todo, permitir solo puertos necesarios</t>
  </si>
  <si>
    <t>• SELinux/AppArmor</t>
  </si>
  <si>
    <t>Enforcing mode habilitado para control de acceso obligatorio</t>
  </si>
  <si>
    <t>• Sudo</t>
  </si>
  <si>
    <t>Uso de sudo en lugar de root, log de comandos sudo, timeout sesión</t>
  </si>
  <si>
    <t>Deshabilitar: telnet, rsh, nis, tftp, talk - Usar systemctl disable</t>
  </si>
  <si>
    <t>• Permisos</t>
  </si>
  <si>
    <t>chmod 600 /etc/ssh/sshd_config, chmod 644 /etc/passwd, umask 027</t>
  </si>
  <si>
    <t>• Logs</t>
  </si>
  <si>
    <t>rsyslog o journald configurado, rotación logs, envío a SIEM central</t>
  </si>
  <si>
    <t>• Fail2Ban</t>
  </si>
  <si>
    <t>Instalar fail2ban para bloquear IPs tras intentos fallidos SSH/FTP</t>
  </si>
  <si>
    <t>• Kernel</t>
  </si>
  <si>
    <t>Deshabilitar IP forwarding si no es router, habilitar syn cookies</t>
  </si>
  <si>
    <t>3. HARDENING BASES DE DATOS (MySQL/PostgreSQL/SQL Server)</t>
  </si>
  <si>
    <t>• Autenticación</t>
  </si>
  <si>
    <t>No usar cuentas por defecto (sa, root), contraseñas fuertes, rotación trimestral</t>
  </si>
  <si>
    <t>• Privilegios</t>
  </si>
  <si>
    <t>Principio mínimo privilegio, no usar GRANT ALL, roles específicos por aplicación</t>
  </si>
  <si>
    <t>• Cifrado</t>
  </si>
  <si>
    <t>TLS para conexiones remotas, cifrado en reposo (TDE), backups cifrados</t>
  </si>
  <si>
    <t>Habilitar logs: conexiones, queries DDL/DML, cambios privilegios, accesos fallidos</t>
  </si>
  <si>
    <t>• Puertos</t>
  </si>
  <si>
    <t>No usar puertos por defecto (3306 MySQL, 5432 PostgreSQL, 1433 SQL Server)</t>
  </si>
  <si>
    <t>• Acceso Remoto</t>
  </si>
  <si>
    <t>Solo desde IPs autorizadas, no acceso desde Internet público</t>
  </si>
  <si>
    <t>• Procedimientos</t>
  </si>
  <si>
    <t>Usar stored procedures en lugar de queries dinámicos, prevenir SQL injection</t>
  </si>
  <si>
    <t>• Backups</t>
  </si>
  <si>
    <t>Backups automáticos diarios, retention 30 días, pruebas restore mensuales</t>
  </si>
  <si>
    <t>• Versiones</t>
  </si>
  <si>
    <t>Mantener versión soportada por vendor, aplicar parches de seguridad</t>
  </si>
  <si>
    <t>• Monitoreo</t>
  </si>
  <si>
    <t>Alertas en: intentos login fallidos, cambios schema, queries anómalas</t>
  </si>
  <si>
    <t>🎯 PLAN DIRECTOR DE CIBERSEGURIDAD 2025-2027</t>
  </si>
  <si>
    <t>SGSI-PDC-001</t>
  </si>
  <si>
    <t>ROADMAP ESTRATÉGICO DE CIBERSEGURIDAD (3 AÑOS)</t>
  </si>
  <si>
    <t>AÑO 1 - 2025: FUNDAMENTOS Y CERTIFICACIÓN</t>
  </si>
  <si>
    <t>Trimestre</t>
  </si>
  <si>
    <t>Iniciativas Clave</t>
  </si>
  <si>
    <t>Presupuesto</t>
  </si>
  <si>
    <t>Q1</t>
  </si>
  <si>
    <t>• Implementar SGSI ISO 27001
• Inventario activos completo
• Políticas de seguridad aprobadas</t>
  </si>
  <si>
    <t>Q2</t>
  </si>
  <si>
    <t>• Análisis de riesgos completo
• SoA definido
• Implementar controles críticos</t>
  </si>
  <si>
    <t>$75,000</t>
  </si>
  <si>
    <t>Q3</t>
  </si>
  <si>
    <t>• Deploy SIEM (Splunk/ELK)
• MFA en todos los sistemas
• EDR en endpoints</t>
  </si>
  <si>
    <t>Q4</t>
  </si>
  <si>
    <t>• Auditoría interna SGSI
• Certificación ISO 27001
• Plan de mejora continua</t>
  </si>
  <si>
    <t>TOTAL 2025</t>
  </si>
  <si>
    <t>$315,000</t>
  </si>
  <si>
    <t>AÑO 2 - 2026: MADURACIÓN Y AUTOMATIZACIÓN</t>
  </si>
  <si>
    <t>• SOC 24/7 (interno o outsourcing)
• Threat Intelligence feeds
• Vulnerability Management</t>
  </si>
  <si>
    <t>$100,000</t>
  </si>
  <si>
    <t>• Zero Trust Architecture Fase 1
• Microsegmentación red
• CASB para Cloud</t>
  </si>
  <si>
    <t>• DevSecOps pipeline
• SAST/DAST integrado
• Container security</t>
  </si>
  <si>
    <t>• Auditoría de seguimiento ISO
• Pentesting externo
• Red Team exercise</t>
  </si>
  <si>
    <t>$50,000</t>
  </si>
  <si>
    <t>TOTAL 2026</t>
  </si>
  <si>
    <t>$380,000</t>
  </si>
  <si>
    <t>AÑO 3 - 2027: OPTIMIZACIÓN Y EXCELENCIA</t>
  </si>
  <si>
    <t>• AI/ML para detección amenazas
• SOAR para respuesta automática
• Deception technology</t>
  </si>
  <si>
    <t>• Certificación SOC 2 Type II
• Privacy by Design
• Data Loss Prevention</t>
  </si>
  <si>
    <t>• Zero Trust completado
• Security Awareness maduro
• Bug Bounty program</t>
  </si>
  <si>
    <t>$90,000</t>
  </si>
  <si>
    <t>• Re-certificación ISO 27001
• Auditoría integral
• Estrategia 2028-2030</t>
  </si>
  <si>
    <t>$60,000</t>
  </si>
  <si>
    <t>TOTAL 2027</t>
  </si>
  <si>
    <t>$370,000</t>
  </si>
  <si>
    <t>INVERSIÓN TOTAL 3 AÑOS (2025-2027)</t>
  </si>
  <si>
    <t>$1,065,000</t>
  </si>
  <si>
    <t>🧪 PLAN DE PRUEBAS DE RECUPERACIÓN (DRP)</t>
  </si>
  <si>
    <t>SGSI-DRP-PRU-001</t>
  </si>
  <si>
    <t>1. CALENDARIO ANUAL DE PRUEBAS DRP 2025</t>
  </si>
  <si>
    <t>ID Prueba</t>
  </si>
  <si>
    <t>Tipo Prueba</t>
  </si>
  <si>
    <t>Fecha Programada</t>
  </si>
  <si>
    <t>DRP-T-001</t>
  </si>
  <si>
    <t>Tabletop Exercise</t>
  </si>
  <si>
    <t>Plan completo DRP - simulación de mesa</t>
  </si>
  <si>
    <t>COMPLETADO</t>
  </si>
  <si>
    <t>DRP-T-002</t>
  </si>
  <si>
    <t>Backup Restore Test</t>
  </si>
  <si>
    <t>Restaurar BD producción en sitio alterno</t>
  </si>
  <si>
    <t>DRP-T-003</t>
  </si>
  <si>
    <t>Failover Servers</t>
  </si>
  <si>
    <t>Failover servidores críticos a cloud backup</t>
  </si>
  <si>
    <t>20/04/2025</t>
  </si>
  <si>
    <t>Jefe Infra</t>
  </si>
  <si>
    <t>6 horas</t>
  </si>
  <si>
    <t>PENDIENTE</t>
  </si>
  <si>
    <t>DRP-T-004</t>
  </si>
  <si>
    <t>Full Disaster Drill</t>
  </si>
  <si>
    <t>Simulacro completo: incendio datacenter</t>
  </si>
  <si>
    <t>15/06/2025</t>
  </si>
  <si>
    <t>Comité Crisis</t>
  </si>
  <si>
    <t>PLANIFICADO</t>
  </si>
  <si>
    <t>DRP-T-005</t>
  </si>
  <si>
    <t>Network Failover</t>
  </si>
  <si>
    <t>Conmutación enlace principal a backup</t>
  </si>
  <si>
    <t>20/07/2025</t>
  </si>
  <si>
    <t>DRP-T-006</t>
  </si>
  <si>
    <t>Application Recovery</t>
  </si>
  <si>
    <t>Recuperar aplicaciones críticas desde backup</t>
  </si>
  <si>
    <t>15/09/2025</t>
  </si>
  <si>
    <t>12 horas</t>
  </si>
  <si>
    <t>DRP-T-007</t>
  </si>
  <si>
    <t>Communication Test</t>
  </si>
  <si>
    <t>Prueba árbol de llamadas y notificaciones</t>
  </si>
  <si>
    <t>20/10/2025</t>
  </si>
  <si>
    <t>DRP-T-008</t>
  </si>
  <si>
    <t>Annual Full Test</t>
  </si>
  <si>
    <t>Ejercicio completo fin de año</t>
  </si>
  <si>
    <t>10/12/2025</t>
  </si>
  <si>
    <t>2. CRITERIOS DE ÉXITO DE PRUEBAS</t>
  </si>
  <si>
    <t>Criterio</t>
  </si>
  <si>
    <t>Tiempo de Recuperación</t>
  </si>
  <si>
    <t>RTO cumplido: sistemas críticos restaurados dentro de tiempo objetivo</t>
  </si>
  <si>
    <t>Integridad Datos</t>
  </si>
  <si>
    <t>RPO cumplido: pérdida de datos dentro de límite aceptable</t>
  </si>
  <si>
    <t>Funcionalidad Completa</t>
  </si>
  <si>
    <t>Sistemas operan con todas las funcionalidades esperadas post-recuperación</t>
  </si>
  <si>
    <t>Comunicación Efectiva</t>
  </si>
  <si>
    <t>Árbol de notificaciones funcionó, todos stakeholders informados a tiempo</t>
  </si>
  <si>
    <t>Documentación Precisa</t>
  </si>
  <si>
    <t>Procedimientos DRP fueron claros, completos y seguibles</t>
  </si>
  <si>
    <t>Equipo Preparado</t>
  </si>
  <si>
    <t>Personal supo qué hacer, ejecutó tareas asignadas correctamente</t>
  </si>
  <si>
    <t>Problemas Identificados</t>
  </si>
  <si>
    <t>Gaps y mejoras documentadas para actualizar DRP</t>
  </si>
  <si>
    <t>📊 INFORMES DE PRUEBAS DRP</t>
  </si>
  <si>
    <t>SGSI-DRP-INF-001</t>
  </si>
  <si>
    <t>REGISTRO DE INFORMES POST-PRUEBA</t>
  </si>
  <si>
    <t>ID Informe</t>
  </si>
  <si>
    <t>Prueba Asociada</t>
  </si>
  <si>
    <t>Fecha Prueba</t>
  </si>
  <si>
    <t>Resultado</t>
  </si>
  <si>
    <t>RTO Real</t>
  </si>
  <si>
    <t>RPO Real</t>
  </si>
  <si>
    <t>Hallazgos Clave</t>
  </si>
  <si>
    <t>INF-001</t>
  </si>
  <si>
    <t>EXITOSO</t>
  </si>
  <si>
    <t>N/A</t>
  </si>
  <si>
    <t>✅ Equipo conoce procedimientos
⚠️ Falta claridad en roles
📝 Actualizar contactos de emergencia</t>
  </si>
  <si>
    <t>INF-002</t>
  </si>
  <si>
    <t>6.5h</t>
  </si>
  <si>
    <t>10 min</t>
  </si>
  <si>
    <t>✅ Backup restauró correctamente
✅ RTO bajo objetivo (8h)
⚠️ Proceso manual lento, automatizar</t>
  </si>
  <si>
    <t>INF-003</t>
  </si>
  <si>
    <t>5h</t>
  </si>
  <si>
    <t>✅ Failover funcionó
❌ App dependiente falló
📝 Documentar dependencias mejor</t>
  </si>
  <si>
    <t>ACCIONES CORRECTIVAS DERIVADAS</t>
  </si>
  <si>
    <t>ID Acción</t>
  </si>
  <si>
    <t>Hallazgo</t>
  </si>
  <si>
    <t>Acción Correctiva</t>
  </si>
  <si>
    <t>Fecha Límite</t>
  </si>
  <si>
    <t>AC-001</t>
  </si>
  <si>
    <t>Contactos desactualizados</t>
  </si>
  <si>
    <t>Actualizar lista contactos emergencia</t>
  </si>
  <si>
    <t>30/03/2025</t>
  </si>
  <si>
    <t>AC-002</t>
  </si>
  <si>
    <t>Proceso manual lento</t>
  </si>
  <si>
    <t>Automatizar restore con scripts Ansible</t>
  </si>
  <si>
    <t>EN CURSO</t>
  </si>
  <si>
    <t>AC-003</t>
  </si>
  <si>
    <t>Dependencias no documentadas</t>
  </si>
  <si>
    <t>Mapear dependencias apps críticas</t>
  </si>
  <si>
    <t>Arquitecto TI</t>
  </si>
  <si>
    <t>30/04/2025</t>
  </si>
  <si>
    <t>ABIERTO</t>
  </si>
  <si>
    <t>AC-004</t>
  </si>
  <si>
    <t>Falta claridad en roles</t>
  </si>
  <si>
    <t>Matriz RACI para equipo DRP</t>
  </si>
  <si>
    <t>🔧 MANTENIMIENTO Y ACTUALIZACIÓN DRP</t>
  </si>
  <si>
    <t>SGSI-DRP-MNT-001</t>
  </si>
  <si>
    <t>1. PLAN DE MANTENIMIENTO DRP</t>
  </si>
  <si>
    <t>Última Ejecución</t>
  </si>
  <si>
    <t>Próxima Ejecución</t>
  </si>
  <si>
    <t>Actualizar contactos de emergencia</t>
  </si>
  <si>
    <t>01/10/2025</t>
  </si>
  <si>
    <t>01/11/2025</t>
  </si>
  <si>
    <t>AL DÍA</t>
  </si>
  <si>
    <t>Revisar y actualizar procedimientos DRP</t>
  </si>
  <si>
    <t>01/01/2026</t>
  </si>
  <si>
    <t>Verificar backups automáticos</t>
  </si>
  <si>
    <t>Semanal</t>
  </si>
  <si>
    <t>Jefe Backup</t>
  </si>
  <si>
    <t>28/10/2025</t>
  </si>
  <si>
    <t>Auditar inventario recursos críticos</t>
  </si>
  <si>
    <t>01/07/2025</t>
  </si>
  <si>
    <t>Capacitar nuevo personal en DRP</t>
  </si>
  <si>
    <t>15/10/2025</t>
  </si>
  <si>
    <t>Según ingresos</t>
  </si>
  <si>
    <t>Renovar contratos proveedores DRP</t>
  </si>
  <si>
    <t>Compras</t>
  </si>
  <si>
    <t>01/01/2025</t>
  </si>
  <si>
    <t>Actualizar documentación técnica</t>
  </si>
  <si>
    <t>Revisar RTO/RPO de procesos críticos</t>
  </si>
  <si>
    <t>Comité SGSI</t>
  </si>
  <si>
    <t>2. HISTORIAL DE VERSIONES DEL PLAN DRP</t>
  </si>
  <si>
    <t>Cambios Principales</t>
  </si>
  <si>
    <t>Autor</t>
  </si>
  <si>
    <t>Aprobado Por</t>
  </si>
  <si>
    <t>Versión inicial del Plan DRP</t>
  </si>
  <si>
    <t>1.1</t>
  </si>
  <si>
    <t>Actualización post-prueba tabletop: contactos actualizados, clarificación roles</t>
  </si>
  <si>
    <t>1.2</t>
  </si>
  <si>
    <t>Agregadas dependencias aplicaciones, automatización restore</t>
  </si>
  <si>
    <t>2.0</t>
  </si>
  <si>
    <t>Revisión semestral: nuevos RTO/RPO, integración cloud backup, procedimientos actualizados</t>
  </si>
  <si>
    <t>3. EVENTOS QUE REQUIEREN ACTUALIZACIÓN DEL DRP</t>
  </si>
  <si>
    <t xml:space="preserve">   ✓ Cambios en infraestructura crítica (nuevos servidores, migración cloud, etc.)</t>
  </si>
  <si>
    <t xml:space="preserve">   ✓ Modificación de procesos de negocio críticos</t>
  </si>
  <si>
    <t xml:space="preserve">   ✓ Cambios organizacionales significativos (fusiones, adquisiciones, restructuras)</t>
  </si>
  <si>
    <t xml:space="preserve">   ✓ Hallazgos de auditorías internas o externas</t>
  </si>
  <si>
    <t xml:space="preserve">   ✓ Resultados de pruebas DRP que revelan gaps</t>
  </si>
  <si>
    <t xml:space="preserve">   ✓ Incidentes reales que expusieron debilidades del plan</t>
  </si>
  <si>
    <t xml:space="preserve">   ✓ Cambios en RTO/RPO de procesos críticos</t>
  </si>
  <si>
    <t xml:space="preserve">   ✓ Nuevas amenazas o vulnerabilidades identificadas</t>
  </si>
  <si>
    <t xml:space="preserve">   ✓ Cambios en proveedores críticos o contratos</t>
  </si>
  <si>
    <t xml:space="preserve">   ✓ Actualización de normativas o requisitos regulatorios</t>
  </si>
  <si>
    <t>SISTEMA DE GESTIÓN DE SEGURIDAD DE LA INFORMACIÓN</t>
  </si>
  <si>
    <t>Auditoría en Ciberseguridad</t>
  </si>
  <si>
    <t>En Desarrollo</t>
  </si>
  <si>
    <t>Descripción:</t>
  </si>
  <si>
    <t>Este documento integra la gestión de activos, análisis de riesgos</t>
  </si>
  <si>
    <t>y mapeo de amenazas según MITRE ATT&amp;CK ICS para auditoría</t>
  </si>
  <si>
    <t>en ciberseguridad.</t>
  </si>
  <si>
    <t>DATOS DE LA ORGANIZACIÓN</t>
  </si>
  <si>
    <t>INFORMACIÓN GENERAL</t>
  </si>
  <si>
    <t>Nombre de la Organización:</t>
  </si>
  <si>
    <t>RUT/NIT:</t>
  </si>
  <si>
    <t>Dirección:</t>
  </si>
  <si>
    <t>Ciudad:</t>
  </si>
  <si>
    <t>País:</t>
  </si>
  <si>
    <t>Teléfono:</t>
  </si>
  <si>
    <t>Email:</t>
  </si>
  <si>
    <t>Sitio Web:</t>
  </si>
  <si>
    <t>INFORMACIÓN DEL SGSI</t>
  </si>
  <si>
    <t>Alcance del SGSI:</t>
  </si>
  <si>
    <t>Fecha de Implementación:</t>
  </si>
  <si>
    <t>Versión del Documento:</t>
  </si>
  <si>
    <t>Responsable del SGSI:</t>
  </si>
  <si>
    <t>Email del Responsable:</t>
  </si>
  <si>
    <t>AUDITORÍA</t>
  </si>
  <si>
    <t>Tipo de Auditoría:</t>
  </si>
  <si>
    <t>Ciberseguridad</t>
  </si>
  <si>
    <t>Fecha de Última Auditoría:</t>
  </si>
  <si>
    <t>Próxima Auditoría:</t>
  </si>
  <si>
    <t>Auditor Responsable:</t>
  </si>
  <si>
    <t>CONTEXTO DE LA ORGANIZACIÓN</t>
  </si>
  <si>
    <t>Sector Industrial:</t>
  </si>
  <si>
    <t>Número de Empleados:</t>
  </si>
  <si>
    <t>Principales Servicios:</t>
  </si>
  <si>
    <t>Principales Activos Críticos:</t>
  </si>
  <si>
    <t>INSTRUCCIONES DE USO</t>
  </si>
  <si>
    <t>1. GESTIÓN DE ACTIVOS</t>
  </si>
  <si>
    <t>• Utilice la hoja "Activos" para registrar todos los activos de información</t>
  </si>
  <si>
    <t>• Complete las categorías, criticidad y ubicación de cada activo</t>
  </si>
  <si>
    <t>• Los activos se clasificarán automáticamente por criticidad</t>
  </si>
  <si>
    <t>2. MATRIZ DE RIESGOS</t>
  </si>
  <si>
    <t>• La hoja "Matriz_Riesgos" contiene la matriz de riesgo adaptada a ciberseguridad</t>
  </si>
  <si>
    <t>• Probabilidad: Muy Baja, Baja, Media, Alta, Muy Alta</t>
  </si>
  <si>
    <t>• Impacto: Insignificante, Menor, Moderado, Mayor, Catastrófico</t>
  </si>
  <si>
    <t>3. AMENAZAS MITRE ATT&amp;CK</t>
  </si>
  <si>
    <t>• La hoja "MITRE_Ataques" contiene todas las técnicas de MITRE ATT&amp;CK ICS</t>
  </si>
  <si>
    <t>• Use los códigos (ej: T0800) para mapear amenazas a activos</t>
  </si>
  <si>
    <t>4. ANÁLISIS DE RIESGOS</t>
  </si>
  <si>
    <t>• Complete la hoja "Analisis_Riesgos" para cada activo</t>
  </si>
  <si>
    <t>• Seleccione las amenazas MITRE aplicables</t>
  </si>
  <si>
    <t>• El nivel de riesgo se calculará automáticamente</t>
  </si>
  <si>
    <t>5. PLAN DE TRATAMIENTO</t>
  </si>
  <si>
    <t>• Documente las medidas de mitigación en "Plan_Tratamiento"</t>
  </si>
  <si>
    <t>• Asigne responsables y fechas de implementación</t>
  </si>
  <si>
    <t>6. DASHBOARDS</t>
  </si>
  <si>
    <t>• Revise los resúmenes ejecutivos en "Dashboard"</t>
  </si>
  <si>
    <t>• Los gráficos se actualizan automáticamente</t>
  </si>
  <si>
    <t>ID_Activo</t>
  </si>
  <si>
    <t>Nombre_Activo</t>
  </si>
  <si>
    <t>Categoría</t>
  </si>
  <si>
    <t>Subcategoría</t>
  </si>
  <si>
    <t>Clase</t>
  </si>
  <si>
    <t>Subclase</t>
  </si>
  <si>
    <t>Área</t>
  </si>
  <si>
    <t>Custodio</t>
  </si>
  <si>
    <t>Criticidad_CIA</t>
  </si>
  <si>
    <t>Valor_Activo</t>
  </si>
  <si>
    <t>Fecha_Registro</t>
  </si>
  <si>
    <t>Última_Revisión</t>
  </si>
  <si>
    <t>Observaciones</t>
  </si>
  <si>
    <t>ACT-001</t>
  </si>
  <si>
    <t>Servidor Web Principal</t>
  </si>
  <si>
    <t>Infraestructura</t>
  </si>
  <si>
    <t>Servidores</t>
  </si>
  <si>
    <t>Datos Operacionales</t>
  </si>
  <si>
    <t>Datos de Producción</t>
  </si>
  <si>
    <t>Tecnologías de Información</t>
  </si>
  <si>
    <t>Servidor web de producción Apache</t>
  </si>
  <si>
    <t>Admin Sistemas</t>
  </si>
  <si>
    <t>ALTA</t>
  </si>
  <si>
    <t>Requiere monitoreo 24/7</t>
  </si>
  <si>
    <t>ACT-002</t>
  </si>
  <si>
    <t>Base de Datos Clientes</t>
  </si>
  <si>
    <t>Información</t>
  </si>
  <si>
    <t>Bases de Datos</t>
  </si>
  <si>
    <t>Datos Personales</t>
  </si>
  <si>
    <t>Datos de Clientes</t>
  </si>
  <si>
    <t>BD PostgreSQL con información de clientes</t>
  </si>
  <si>
    <t>CRÍTICA</t>
  </si>
  <si>
    <t>Crítica</t>
  </si>
  <si>
    <t>Datos sensibles - Cumplimiento GDPR</t>
  </si>
  <si>
    <t>ACT-003</t>
  </si>
  <si>
    <t>Firewall Perimetral</t>
  </si>
  <si>
    <t>Configuraciones de Sistema</t>
  </si>
  <si>
    <t>Configuración de Firewall</t>
  </si>
  <si>
    <t>Seguridad de la Información</t>
  </si>
  <si>
    <t>DMZ</t>
  </si>
  <si>
    <t>Firewall Fortinet perimetral</t>
  </si>
  <si>
    <t>Jefe Seguridad</t>
  </si>
  <si>
    <t>Admin Seguridad</t>
  </si>
  <si>
    <t>Protección perimetral - Primera línea de defensa</t>
  </si>
  <si>
    <t>ACT-100</t>
  </si>
  <si>
    <t>MATRIZ DE RIESGO - CIBERSEGURIDAD</t>
  </si>
  <si>
    <t>PROBABILIDAD</t>
  </si>
  <si>
    <t>MATRIZ DE EVALUACIÓN DE RIESGOS</t>
  </si>
  <si>
    <t>Probabilidad</t>
  </si>
  <si>
    <t>Insignificante
(1)</t>
  </si>
  <si>
    <t>Menor
(2)</t>
  </si>
  <si>
    <t>Moderado
(3)</t>
  </si>
  <si>
    <t>Mayor
(4)</t>
  </si>
  <si>
    <t>Catastrófico
(5)</t>
  </si>
  <si>
    <t>5 - Muy Alta</t>
  </si>
  <si>
    <t>Casi certero</t>
  </si>
  <si>
    <t>Ocurre al menos una vez al mes</t>
  </si>
  <si>
    <t>Muy Alta (5)</t>
  </si>
  <si>
    <t>4 - Alta</t>
  </si>
  <si>
    <t>Muy probable</t>
  </si>
  <si>
    <t>Ocurre al menos una vez cada 3-6 meses</t>
  </si>
  <si>
    <t>Alta (4)</t>
  </si>
  <si>
    <t>3 - Media</t>
  </si>
  <si>
    <t>Probable</t>
  </si>
  <si>
    <t>Ocurre al menos una vez al año</t>
  </si>
  <si>
    <t>Media (3)</t>
  </si>
  <si>
    <t>2 - Baja</t>
  </si>
  <si>
    <t>Poco probable</t>
  </si>
  <si>
    <t>Puede ocurrir cada 1-3 años</t>
  </si>
  <si>
    <t>Baja (2)</t>
  </si>
  <si>
    <t>1 - Muy Baja</t>
  </si>
  <si>
    <t>Improbable</t>
  </si>
  <si>
    <t>Puede ocurrir cada más de 3 años</t>
  </si>
  <si>
    <t>Muy Baja (1)</t>
  </si>
  <si>
    <t>IMPACTO</t>
  </si>
  <si>
    <t>LEYENDA DE NIVELES DE RIESGO</t>
  </si>
  <si>
    <t>Criterio en Ciberseguridad</t>
  </si>
  <si>
    <t>Acción Requerida</t>
  </si>
  <si>
    <t>5 - Catastrófico</t>
  </si>
  <si>
    <t>Impacto extremo</t>
  </si>
  <si>
    <t>Pérdida total de datos críticos, interrupción total del negocio &gt;1 semana, daño reputacional irrecuperable</t>
  </si>
  <si>
    <t>15-25</t>
  </si>
  <si>
    <t>Acción inmediata - Requiere plan de mitigación urgente</t>
  </si>
  <si>
    <t>4 - Mayor</t>
  </si>
  <si>
    <t>Pérdida significativa de datos, interrupción del negocio 1-7 días, alto impacto reputacional</t>
  </si>
  <si>
    <t>Acción prioritaria - Implementar controles en corto plazo</t>
  </si>
  <si>
    <t>3 - Moderado</t>
  </si>
  <si>
    <t>Impacto considerable</t>
  </si>
  <si>
    <t>Pérdida parcial de datos, interrupción del negocio 4-24 horas, impacto reputacional moderado</t>
  </si>
  <si>
    <t>6-9</t>
  </si>
  <si>
    <t>Acción programada - Implementar controles en mediano plazo</t>
  </si>
  <si>
    <t>2 - Menor</t>
  </si>
  <si>
    <t>Pérdida mínima de datos no críticos, interrupción &lt;4 horas, bajo impacto reputacional</t>
  </si>
  <si>
    <t>3-5</t>
  </si>
  <si>
    <t>Monitorear - Implementar controles según recursos</t>
  </si>
  <si>
    <t>1 - Insignificante</t>
  </si>
  <si>
    <t>Impacto mínimo</t>
  </si>
  <si>
    <t>Sin pérdida de datos, sin interrupción del negocio, sin impacto reputacional</t>
  </si>
  <si>
    <t>1-2</t>
  </si>
  <si>
    <t>Aceptar - Monitoreo periódico</t>
  </si>
  <si>
    <t>Código_MITRE</t>
  </si>
  <si>
    <t>Nombre_Técnica</t>
  </si>
  <si>
    <t>Táctica</t>
  </si>
  <si>
    <t>Plataformas</t>
  </si>
  <si>
    <t>Nivel_Riesgo</t>
  </si>
  <si>
    <t>Detección</t>
  </si>
  <si>
    <t>T0800</t>
  </si>
  <si>
    <t>attack-pattern--19a71d1e-6334-4233-8260-b749cae37953</t>
  </si>
  <si>
    <t>Activate Firmware Update Mode</t>
  </si>
  <si>
    <t>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it. By entering and leaving a device in this mode, the adversary may deny its usual functionalities.</t>
  </si>
  <si>
    <t>https://attack.mitre.org/techniques/T0800</t>
  </si>
  <si>
    <t>21 May 2020</t>
  </si>
  <si>
    <t>T0830</t>
  </si>
  <si>
    <t>attack-pattern--9a505987-ab05-4f46-a9a6-6441442eec3b</t>
  </si>
  <si>
    <t>Adversary-in-the-Middle</t>
  </si>
  <si>
    <t>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this attack, but some of the most-common are Address Resolution Protocol (ARP) poisoning and the use of a proxy. (Citation: Bonnie Zhu, Anthony Joseph, Shankar Sastry 2011)  
An AiTM attack may allow an adversary to perform the following attacks:  
[Block Reporting Message](https://attack.mitre.org/techniques/T0804), [Spoof Reporting Message](https://attack.mitre.org/techniques/T0856), [Modify Parameter](https://attack.mitre.org/techniques/T0836), [Unauthorized Command Message](https://attack.mitre.org/techniques/T0855)</t>
  </si>
  <si>
    <t>https://attack.mitre.org/techniques/T0830</t>
  </si>
  <si>
    <t>T0878</t>
  </si>
  <si>
    <t>attack-pattern--2900bbd8-308a-4274-b074-5b8bde8347bc</t>
  </si>
  <si>
    <t>Alarm Suppression</t>
  </si>
  <si>
    <t>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
A Secura presentation on targeting OT notes a dual fold goal for adversaries attempting alarm suppression: prevent outgoing alarms from being raised and prevent incoming alarms from being responded to. (Citation: Jos Wetzels, Marina Krotofil 2019) The method of suppression may greatly depend on the type of alarm in question:  
* An alarm raised by a protocol message 
* An alarm signaled with I/O 
* An alarm bit set in a flag (and read) 
In ICS environments, the adversary may have to suppress or contend with multiple alarms and/or alarm propagation to achieve a specific goal to evade detection or prevent intended responses from occurring. (Citation: Jos Wetzels, Marina Krotofil 2019)  Methods of suppression may involve tampering or altering device displays and logs, modifying in memory code to fixed values, or even tampering with assembly level instruction code.</t>
  </si>
  <si>
    <t>https://attack.mitre.org/techniques/T0878</t>
  </si>
  <si>
    <t>T0802</t>
  </si>
  <si>
    <t>attack-pattern--3de230d4-3e42-4041-b089-17e1128feded</t>
  </si>
  <si>
    <t>Automated Collection</t>
  </si>
  <si>
    <t>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</si>
  <si>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https://attack.mitre.org/techniques/T0802</t>
  </si>
  <si>
    <t>T0895</t>
  </si>
  <si>
    <t>attack-pattern--77d9c726-b53e-481d-8bcc-1068aebfbb9d</t>
  </si>
  <si>
    <t>Autorun Image</t>
  </si>
  <si>
    <t xml:space="preserve">Adversaries may leverage AutoRun functionality or scripts to execute malicious code. Devices configured to enable AutoRun functionality or legacy operating systems may be susceptible to abuse of these features to run malicious code stored on various forms of removeable media (i.e., USB, Disk Images [.ISO]). Commonly, AutoRun or AutoPlay are disabled in many operating systems configurations to mitigate against this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An example could include an adversary gaining access to a hypervisor through the management interface to modify a virtual machine’s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
</t>
  </si>
  <si>
    <t>https://attack.mitre.org/techniques/T0895</t>
  </si>
  <si>
    <t>26 March 2024</t>
  </si>
  <si>
    <t>T0803</t>
  </si>
  <si>
    <t>attack-pattern--008b8f56-6107-48be-aa9f-746f927dbb61</t>
  </si>
  <si>
    <t>Block Command Message</t>
  </si>
  <si>
    <t>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2016)</t>
  </si>
  <si>
    <t>https://attack.mitre.org/techniques/T0803</t>
  </si>
  <si>
    <t>T0804</t>
  </si>
  <si>
    <t>attack-pattern--3f1f4ccb-9be2-4ff8-8f69-dd972221169b</t>
  </si>
  <si>
    <t>Block Reporting Message</t>
  </si>
  <si>
    <t>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
Blocking reporting messages in control systems that manage physical processes may contribute to system impact, causing inhibition of a response function. A control system may not be able to respond in a proper or timely manner to an event, such as a dangerous fault, if its corresponding reporting message is blocked. (Citation: Bonnie Zhu, Anthony Joseph, Shankar Sastry 2011)  (Citation: Electricity Information Sharing and Analysis Center; SANS Industrial Control Systems March 2016)</t>
  </si>
  <si>
    <t>https://attack.mitre.org/techniques/T0804</t>
  </si>
  <si>
    <t>T0805</t>
  </si>
  <si>
    <t>attack-pattern--1c478716-71d9-46a4-9a53-fa5d576adb60</t>
  </si>
  <si>
    <t>Block Serial COM</t>
  </si>
  <si>
    <t>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20001, 20002, and 20003. If a TCP/IP connection is opened with one of these ports and held open, then the port will be unavailable for use by another party. One way the adversary could achieve this would be to initiate a TCP session with the serial to Ethernet converter at 10.0.0.1 via Telnet on serial port 1 with the following command: telnet 10.0.0.1 20001.</t>
  </si>
  <si>
    <t>https://attack.mitre.org/techniques/T0805</t>
  </si>
  <si>
    <t>T0806</t>
  </si>
  <si>
    <t>attack-pattern--8e7089d3-fba2-44f8-94a8-9a79c53920c4</t>
  </si>
  <si>
    <t>Brute Force I/O</t>
  </si>
  <si>
    <t>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without targeting a specific point. In the case where a single point is targeted, the adversary may be able to generate instability on the process function associated with that particular point. 
Adversaries may use Brute Force I/O to cause failures within various industrial processes. These failures could be the result of wear on equipment or damage to downstream equipment.</t>
  </si>
  <si>
    <t>https://attack.mitre.org/techniques/T0806</t>
  </si>
  <si>
    <t>T0892</t>
  </si>
  <si>
    <t>attack-pattern--fab8fc7d-f27f-4fbb-9de6-44740aade05f</t>
  </si>
  <si>
    <t>Change Credential</t>
  </si>
  <si>
    <t xml:space="preserve">Adversaries may modify software and device credentials to prevent operator and responder access. Depending on the device, the modification or addition of this password could prevent any device configuration actions from being accomplished and may require a factory reset or replacement of hardware. These credentials are often built-in features provided by the device vendors as a means to restrict access to management interfaces.
An adversary with access to valid or hardcoded credentials could change the credential to prevent future authorized device access. Change Credential may be especially damaging when paired with other techniques such as Modify Program, Data Destruction, or Modify Controller Tasking. In these cases, a device’s configuration may be destroyed or include malicious actions for the process environment, which cannot not be removed through normal device configuration actions. 
Additionally, recovery of the device and original configuration may be difficult depending on the features provided by the device. In some cases, these passwords cannot be removed onsite and may require that the device be sent back to the vendor for additional recovery steps.
A chain of incidents occurred in Germany, where adversaries locked operators out of their building automation system (BAS) controllers by enabling a previously unset BCU key. (Citation: German BAS Lockout Dec 2021) 
</t>
  </si>
  <si>
    <t>https://attack.mitre.org/techniques/T0892</t>
  </si>
  <si>
    <t>30 March 2023</t>
  </si>
  <si>
    <t>T0858</t>
  </si>
  <si>
    <t>attack-pattern--2883c520-7957-46ca-89bd-dab1ad53b601</t>
  </si>
  <si>
    <t>Change Operating Mode</t>
  </si>
  <si>
    <t>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mechanisms by which they are selected often vary by vendor and product line. Some commonly implemented operating modes are described below:  
* Program - This mode must be enabled before changes can be made to a devices program. This allows program uploads and downloads between the device and an engineering workstation. Often the PLCs logic Is halted, and all outputs may be forced off. (Citation: N.A. October 2017)  
* Run - Execution of the devices program occurs in this mode. Input and output (values, points, tags, elements, etc.) are monitored and used according to the programs logic. [Program Upload](https://attack.mitre.org/techniques/T0845) and [Program Download](https://attack.mitre.org/techniques/T0843) are disabled while in this mode. (Citation: Omron) (Citation: Machine Information Systems 2007)  (Citation: N.A. October 2017) (Citation: PLCgurus 2021)   
* Remote - Allows for remote changes to a PLCs operation mode. (Citation: PLCgurus 2021)    
* Stop - The PLC and program is stopped, while in this mode, outputs are forced off. (Citation: Machine Information Systems 2007)   
* Reset - Conditions on the PLC are reset to their original states. Warm resets may retain some memory while cold resets will reset all I/O and data registers. (Citation: Machine Information Systems 2007)   
* Test / Monitor mode - Similar to run mode, I/O is processed, although this mode allows for monitoring, force set, resets, and more generally tuning or debugging of the system. Often monitor mode may be used as a trial for initialization. (Citation: Omron)</t>
  </si>
  <si>
    <t>https://attack.mitre.org/techniques/T0858</t>
  </si>
  <si>
    <t>T0807</t>
  </si>
  <si>
    <t>attack-pattern--24a9253e-8948-4c98-b751-8e2aee53127c</t>
  </si>
  <si>
    <t>Command-Line Interface</t>
  </si>
  <si>
    <t>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
CLIs are typically accessed locally, but can also be exposed via services, such as SSH, Telnet, and RDP.  Commands that are executed in the CLI execute with the current permissions level of the process running the terminal emulator, unless the command specifies a change in permissions context. Many controllers have CLI interfaces for management purposes.</t>
  </si>
  <si>
    <t>https://attack.mitre.org/techniques/T0807</t>
  </si>
  <si>
    <t>T0885</t>
  </si>
  <si>
    <t>attack-pattern--e6c31185-8040-4267-83d3-b217b8a92f07</t>
  </si>
  <si>
    <t>Commonly Used Port</t>
  </si>
  <si>
    <t>Adversaries may communicate over a commonly used port to bypass firewalls or network detection systems and to blend in with normal network activity, to avoid more detailed inspection. They may use the protocol associated with the port, or a completely different protocol. They may use commonly open ports, such as the examples provided below. 
 * TCP:80 (HTTP) 
 * TCP:443 (HTTPS) 
 * TCP/UDP:53 (DNS) 
 * TCP:1024-4999 (OPC on XP/Win2k3) 
 * TCP:49152-65535 (OPC on Vista and later) 
 * TCP:23 (TELNET) 
 * UDP:161 (SNMP) 
 * TCP:502 (MODBUS) 
 * TCP:102 (S7comm/ISO-TSAP) 
 * TCP:20000 (DNP3) 
 * TCP:44818 (Ethernet/IP)</t>
  </si>
  <si>
    <t>https://attack.mitre.org/techniques/T0885</t>
  </si>
  <si>
    <t>T0884</t>
  </si>
  <si>
    <t>attack-pattern--d67adac8-e3b9-44f9-9e6d-6c2a7d69dbe4</t>
  </si>
  <si>
    <t>Connection Proxy</t>
  </si>
  <si>
    <t>Adversaries may use a connection proxy to direct network traffic between systems or act as an intermediary for network communications.
The definition of a proxy can also be expanded to encompass trust relationships between networks in peer-to-peer, mesh, or trusted connections between networks consisting of hosts or systems that regularly communicate with each other.
The network may be within a single organization or across multiple organizations with trust relationships. Adversaries could use these types of relationships to manage command and control communications, to reduce the number of simultaneous outbound network connections, to provide resiliency in the face of connection loss, or to ride over existing trusted communications paths between victims to avoid suspicion. (Citation: Enterprise ATT&amp;CK January 2018)</t>
  </si>
  <si>
    <t>https://attack.mitre.org/techniques/T0884</t>
  </si>
  <si>
    <t>T0879</t>
  </si>
  <si>
    <t>attack-pattern--83ebd22f-b401-4d59-8219-2294172cf916</t>
  </si>
  <si>
    <t>Damage to Property</t>
  </si>
  <si>
    <t>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The German Federal Office for Information Security (BSI) reported a targeted attack on a steel mill under an incidents affecting business section of its 2014 IT Security Report. (Citation: BSI State of IT Security 2014)  These targeted attacks affected industrial operations and resulted in breakdowns of control system components and even entire installations. As a result of these breakdowns, massive impact and damage resulted from the uncontrolled shutdown of a blast furnace.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This resulted in damage to impacted trams, people, and the surrounding property. Reportedly, four trams were derailed and were forced to make emergency stops. (Citation: Shelley Smith February 2008) Commands issued by the student may have also resulted in tram collisions, causing harm to those on board and the environment outside. (Citation: Bruce Schneier January 2008)</t>
  </si>
  <si>
    <t>https://attack.mitre.org/techniques/T0879</t>
  </si>
  <si>
    <t>T0809</t>
  </si>
  <si>
    <t>attack-pattern--493832d9-cea6-4b63-abe7-9a65a6473675</t>
  </si>
  <si>
    <t>Data Destruction</t>
  </si>
  <si>
    <t>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 2018)
Data destruction may also be used to render operator interfaces unable to respond and to disrupt response functions from occurring as expected. An adversary may also destroy data backups that are vital to recovery after an incident.
Standard file deletion commands are available on most operating system and device interfaces to perform cleanup, but adversaries may use other tools as well. Two examples are Windows Sysinternals SDelete and Active@ Killdisk.</t>
  </si>
  <si>
    <t>https://attack.mitre.org/techniques/T0809</t>
  </si>
  <si>
    <t>T0811</t>
  </si>
  <si>
    <t>attack-pattern--3405891b-16aa-4bd7-bd7c-733501f9b20f</t>
  </si>
  <si>
    <t>Data from Information Repositories</t>
  </si>
  <si>
    <t>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
Information collected from these systems may provide the adversary with a better understanding of the operational environment, vendors used, processes, or procedures of the ICS.
In a campaign between 2011 and 2013 against ONG organizations, Chinese state-sponsored actors searched document repositories for specific information such as, system manuals, remote terminal unit (RTU) sites, personnel lists, documents that included the string SCAD*, user credentials, and remote dial-up access information. (Citation: CISA AA21-201A Pipeline Intrusion July 2021)</t>
  </si>
  <si>
    <t>https://attack.mitre.org/techniques/T0811</t>
  </si>
  <si>
    <t>T0893</t>
  </si>
  <si>
    <t>attack-pattern--fa3aa267-da22-4bdd-961f-03223322a8d5</t>
  </si>
  <si>
    <t>Data from Local System</t>
  </si>
  <si>
    <t xml:space="preserve">Adversaries may target and collect data from local system sources, such as file systems, configuration files, or local databases. This can include sensitive data such as specifications, schematics, or diagrams of control system layouts, devices, and processes.
Adversaries may do this using [Command-Line Interface](https://attack.mitre.org/techniques/T0807) or [Scripting](https://attack.mitre.org/techniques/T0853) techniques to interact with the file system to gather information. Adversaries may also use [Automated Collection](https://attack.mitre.org/techniques/T0802) on the local system. </t>
  </si>
  <si>
    <t>https://attack.mitre.org/techniques/T0893</t>
  </si>
  <si>
    <t>T0812</t>
  </si>
  <si>
    <t>attack-pattern--8bb4538f-f16f-49f0-a431-70b5444c7349</t>
  </si>
  <si>
    <t>Default Credentials</t>
  </si>
  <si>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(Citation: Keith Stouffer May 2015)
Default credentials are normally documented in an instruction manual that is either packaged with the device, published online through official means, or published online through unofficial means. Adversaries may leverage default credentials that have not been properly modified or disabled.</t>
  </si>
  <si>
    <t>https://attack.mitre.org/techniques/T0812</t>
  </si>
  <si>
    <t>T0813</t>
  </si>
  <si>
    <t>attack-pattern--e33c7ecc-5a38-497f-beb2-a9a2049a4c20</t>
  </si>
  <si>
    <t>Denial of Control</t>
  </si>
  <si>
    <t>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 Assante and Robert M. Lee) (Citation: Tyson Macaulay)
In the 2017 Dallas Siren incident operators were unable to disable the false alarms from the Office of Emergency Management headquarters. (Citation: Mark Loveless April 2017)</t>
  </si>
  <si>
    <t>https://attack.mitre.org/techniques/T0813</t>
  </si>
  <si>
    <t>T0814</t>
  </si>
  <si>
    <t>attack-pattern--1b22b676-9347-4c55-9a35-ef0dc653db5b</t>
  </si>
  <si>
    <t>Denial of Service</t>
  </si>
  <si>
    <t xml:space="preserve">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requests, and may not perform expected response functions in reaction to other events in the environment. 
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Adversaries may exploit a software vulnerability to cause a denial of service by taking advantage of a programming error in a program, service, or within the operating system software or kernel itself to execute adversary-controlled code. Vulnerabilities may exist in software that can be used to cause a denial of service condition. 
Adversaries may have prior knowledge about industrial protocols or control devices used in the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t>
  </si>
  <si>
    <t>https://attack.mitre.org/techniques/T0814</t>
  </si>
  <si>
    <t>T0815</t>
  </si>
  <si>
    <t>attack-pattern--56ddc820-6cfb-407f-850b-52c035d123ac</t>
  </si>
  <si>
    <t>Denial of View</t>
  </si>
  <si>
    <t xml:space="preserve">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An adversary may attempt to deny operator visibility by preventing them from receiving status and reporting messages. Denying this view may temporarily block and prevent operators from noticing a change in state or anomalous behavior. The environment's data and processes may still be operational, but functioning in an unintended or adversarial manner. </t>
  </si>
  <si>
    <t>https://attack.mitre.org/techniques/T0815</t>
  </si>
  <si>
    <t>T0868</t>
  </si>
  <si>
    <t>attack-pattern--2aa406ed-81c3-4c1d-ba83-cfbee5a2847a</t>
  </si>
  <si>
    <t>Detect Operating Mode</t>
  </si>
  <si>
    <t>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Some commonly implemented operating modes are described below:  
* Program - This mode must be enabled before changes can be made to a devices program. This allows program uploads and downloads between the device and an engineering workstation. Often the PLCs logic Is halted, and all outputs may be forced off. (Citation: N.A. October 2017)  
* Run - Execution of the devices program occurs in this mode. Input and output (values, points, tags, elements, etc.) are monitored and used according to the programs logic.[Program Upload](https://attack.mitre.org/techniques/T0845) and [Program Download](https://attack.mitre.org/techniques/T0843) are disabled while in this mode. (Citation: Omron) (Citation: Machine Information Systems 2007)  (Citation: N.A. October 2017) (Citation: PLCgurus 2021)   
* Remote - Allows for remote changes to a PLCs operation mode. (Citation: PLCgurus 2021)    
* Stop - The PLC and program is stopped, while in this mode, outputs are forced off. (Citation: Machine Information Systems 2007)   
* Reset - Conditions on the PLC are reset to their original states. Warm resets may retain some memory while cold resets will reset all I/O and data registers. (Citation: Machine Information Systems 2007)   
* Test / Monitor mode - Similar to run mode, I/O is processed, although this mode allows for monitoring, force set, resets, and more generally tuning or debugging of the system. Often monitor mode may be used as a trial for initialization. (Citation: Omron)</t>
  </si>
  <si>
    <t>https://attack.mitre.org/techniques/T0868</t>
  </si>
  <si>
    <t>T0816</t>
  </si>
  <si>
    <t>attack-pattern--25dfc8ad-bd73-4dfd-84a9-3c3d383f76e9</t>
  </si>
  <si>
    <t>Device Restart/Shutdown</t>
  </si>
  <si>
    <t>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
Unexpected restart or shutdown of control system devices may prevent expected response functions happening during critical states.
A device restart can also be a sign of malicious device modifications, as many updates require a shutdown in order to take effect.</t>
  </si>
  <si>
    <t>https://attack.mitre.org/techniques/T0816</t>
  </si>
  <si>
    <t>T0817</t>
  </si>
  <si>
    <t>attack-pattern--7830cfcf-b268-4ac0-a69e-73c6affbae9a</t>
  </si>
  <si>
    <t>Drive-by Compromise</t>
  </si>
  <si>
    <t>Adversaries may gain access to a system during a drive-by compromise, when a user visits a website as part of a regular browsing session. With this technique, the user's web browser is targeted and exploited simply by visiting the compromised website. 
The adversary may target a specific community, such as trusted third party suppliers or other industry specific groups, which often visit the target website. This kind of targeted attack relies on a common interest, and is known as a strategic web compromise or watering hole attack. 
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targets. The adversary targeted the less secure networks of staging targets, including trusted third-party suppliers and related peripheral organizations. Initial access to the intended targets used watering hole attacks to target process control, ICS, and critical infrastructure related trade publications and informational websites.</t>
  </si>
  <si>
    <t>https://attack.mitre.org/techniques/T0817</t>
  </si>
  <si>
    <t>T0871</t>
  </si>
  <si>
    <t>attack-pattern--5a2610f6-9fff-41e1-bc27-575ca20383d4</t>
  </si>
  <si>
    <t>Execution through API</t>
  </si>
  <si>
    <t>Adversaries may attempt to leverage Application Program Interfaces (APIs) used for communication between control software and the hardware. Specific functionality is often coded into APIs which can be called by software to engage specific functions on a device or other software.</t>
  </si>
  <si>
    <t>https://attack.mitre.org/techniques/T0871</t>
  </si>
  <si>
    <t>T0819</t>
  </si>
  <si>
    <t>attack-pattern--32632a95-6856-47b9-9ab7-fea5cd7dce00</t>
  </si>
  <si>
    <t>Exploit Public-Facing Application</t>
  </si>
  <si>
    <t>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
An adversary may seek to target public-facing applications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</si>
  <si>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https://attack.mitre.org/techniques/T0819</t>
  </si>
  <si>
    <t>T0820</t>
  </si>
  <si>
    <t>attack-pattern--9f947a1c-3860-48a8-8af0-a2dfa3efde03</t>
  </si>
  <si>
    <t>Exploitation for Evasion</t>
  </si>
  <si>
    <t>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Adversaries may have prior knowledge through [Remote System Information Discovery](https://attack.mitre.org/techniques/T0888)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t>
  </si>
  <si>
    <t>https://attack.mitre.org/techniques/T0820</t>
  </si>
  <si>
    <t>T0890</t>
  </si>
  <si>
    <t>attack-pattern--cfe68e93-ce94-4c0f-a57d-3aa72cedd618</t>
  </si>
  <si>
    <t>Exploitation for Privilege Escalation</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</si>
  <si>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(Citation: The MITRE Corporation)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may be a necessary step for an adversary compromising an endpoint system that has been properly configured and limits other privilege escalation methods. (Citation: The MITRE Corporation)</t>
  </si>
  <si>
    <t>https://attack.mitre.org/techniques/T0890</t>
  </si>
  <si>
    <t>13 April 2021</t>
  </si>
  <si>
    <t>T0866</t>
  </si>
  <si>
    <t>attack-pattern--85a45294-08f1-4539-bf00-7da08aa7b0ee</t>
  </si>
  <si>
    <t>Exploitation of Remote Services</t>
  </si>
  <si>
    <t>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
ICS asset owners and operators have been affected by ransomware (or disruptive malware masquerading as ransomware) migrating from enterprise IT to ICS environments: WannaCry, NotPetya, and BadRabbit. In each of these cases, self-propagating (wormable) malware initially infected IT networks, but through exploit (particularly the SMBv1-targeting MS17-010 vulnerability) spread to industrial networks, producing significant impacts. (Citation: Joe Slowik April 2019)</t>
  </si>
  <si>
    <t>https://attack.mitre.org/techniques/T0866</t>
  </si>
  <si>
    <t>T0822</t>
  </si>
  <si>
    <t>attack-pattern--8d2f3bab-507c-4424-b58b-edc977bd215c</t>
  </si>
  <si>
    <t>External Remote Services</t>
  </si>
  <si>
    <t xml:space="preserve">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
External remote services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against a control system network. Access to valid accounts is often a requirement. 
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2016)
</t>
  </si>
  <si>
    <t>https://attack.mitre.org/techniques/T0822</t>
  </si>
  <si>
    <t>T0823</t>
  </si>
  <si>
    <t>attack-pattern--b0628bfc-5376-4a38-9182-f324501cb4cf</t>
  </si>
  <si>
    <t>Graphical User Interface</t>
  </si>
  <si>
    <t>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
If physical access is not an option, then access might be possible via protocols such as VNC on Linux-based and Unix-based operating systems, and RDP on Windows operating systems. An adversary can use this access to execute programs and applications on the target machine.</t>
  </si>
  <si>
    <t>https://attack.mitre.org/techniques/T0823</t>
  </si>
  <si>
    <t>T0891</t>
  </si>
  <si>
    <t>attack-pattern--c9a8d958-fcdb-40d2-af4c-461c8031651a</t>
  </si>
  <si>
    <t>Hardcoded Credentials</t>
  </si>
  <si>
    <t xml:space="preserve">Adversaries may leverage credentials that are hardcoded in software or firmware to gain an unauthorized interactive user session to an asset. Examples credentials that may be hardcoded in an asset include:
* Username/Passwords
* Cryptographic keys/Certificates
* API tokens
Unlike [Default Credentials](https://attack.mitre.org/techniques/T0812), these credentials are built into the system in a way that they either cannot be changed by the asset owner, or may be infeasible to change because of the impact it would cause to the control system operation. These credentials may be reused across whole product lines or device models and are often not published or known to the owner and operators of the asset. 
Adversaries may utilize these hardcoded credentials to move throughout the control system environment or provide reliable access for their tools to interact with industrial assets. 
</t>
  </si>
  <si>
    <t>https://attack.mitre.org/techniques/T0891</t>
  </si>
  <si>
    <t>29 September 2022</t>
  </si>
  <si>
    <t>T0874</t>
  </si>
  <si>
    <t>attack-pattern--ab390887-afc0-4715-826d-b1b167d522ae</t>
  </si>
  <si>
    <t>Hooking</t>
  </si>
  <si>
    <t>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
One type of hooking seen in ICS involves redirecting calls to these functions via import address table (IAT) hooking. IAT hooking uses modifications to a process IAT, where pointers to imported API functions are stored. (Citation: Nicolas Falliere, Liam O Murchu, Eric Chien February 2011)</t>
  </si>
  <si>
    <t>https://attack.mitre.org/techniques/T0874</t>
  </si>
  <si>
    <t>T0877</t>
  </si>
  <si>
    <t>attack-pattern--53a48c74-0025-45f4-b04a-baa853df8204</t>
  </si>
  <si>
    <t>I/O Image</t>
  </si>
  <si>
    <t>Adversaries may seek to capture process values related to the inputs and outputs of a PLC.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The Input and Output Image tables described above make up the I/O Image on a PLC. This image is used by the user program instead of directly interacting with physical I/O. (Citation: Spenneberg, Ralf 2016) 
Adversaries may collect the I/O Image state of a PLC by utilizing a devices [Native API](https://attack.mitre.org/techniques/T0834) to access the memory regions directly. The collection of the PLCs I/O state could be used to replace values or inform future stages of an attack.</t>
  </si>
  <si>
    <t>https://attack.mitre.org/techniques/T0877</t>
  </si>
  <si>
    <t>T0872</t>
  </si>
  <si>
    <t>attack-pattern--53a26eee-1080-4d17-9762-2027d5a1b805</t>
  </si>
  <si>
    <t>Indicator Removal on Host</t>
  </si>
  <si>
    <t>Adversaries may attempt to remove indicators of their presence on a system in an effort to cover their tracks. In cases where an adversary may feel detection is imminent, they may try to overwrite, delete, or cover up changes they have made to the device.</t>
  </si>
  <si>
    <t>https://attack.mitre.org/techniques/T0872</t>
  </si>
  <si>
    <t>T0883</t>
  </si>
  <si>
    <t>attack-pattern--f8df6b57-14bc-425f-9a91-6f59f6799307</t>
  </si>
  <si>
    <t>Internet Accessible Device</t>
  </si>
  <si>
    <t>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use of exploits, these would be represented within the [Exploit Public-Facing Application](https://attack.mitre.org/techniques/T0819) technique.
Adversaries may leverage built in functions for remote access which may not be protected or utilize minimal legacy protections that may be targeted. (Citation: NCCIC January 2014) These services may be discoverable through the use of online scanning tools. 
In the case of the Bowman dam incident, adversaries leveraged access to the dam control network through a cellular modem. Access to the device was protected by password authentication, although the application was vulnerable to brute forcing. (Citation: NCCIC January 2014) (Citation: Danny Yadron December 2015) (Citation: Mark Thompson March 2016)
In Trend Micros manufacturing deception operations adversaries were detected leveraging direct internet access to an ICS environment through the exposure of operational protocols such as Siemens S7, Omron FINS, and EtherNet/IP, in addition to misconfigured VNC access. (Citation: Stephen Hilt, Federico Maggi, Charles Perine, Lord Remorin, Martin Rsler, and Rainer Vosseler)</t>
  </si>
  <si>
    <t>https://attack.mitre.org/techniques/T0883</t>
  </si>
  <si>
    <t>T0867</t>
  </si>
  <si>
    <t>attack-pattern--ead7bd34-186e-4c79-9a4d-b65bcce6ed9d</t>
  </si>
  <si>
    <t>Lateral Tool Transfer</t>
  </si>
  <si>
    <t>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
In control systems environments, malware may use SMB and other file sharing protocols to move laterally through industrial networks.</t>
  </si>
  <si>
    <t>https://attack.mitre.org/techniques/T0867</t>
  </si>
  <si>
    <t>T0826</t>
  </si>
  <si>
    <t>attack-pattern--b5b9bacb-97f2-4249-b804-47fd44de1f95</t>
  </si>
  <si>
    <t>Loss of Availability</t>
  </si>
  <si>
    <t>Adversaries may attempt to disrupt essential components or systems to prevent owner and operator from delivering products or services. (Citation: Corero) (Citation: Michael J. Assante and Robert M. Lee) (Citation: Tyson Macaulay) 
Adversaries may leverage malware to delete or encrypt critical data on HMIs, workstations, or databases.
In the 2021 Colonial Pipeline ransomware incident, pipeline operations were temporally halted on May 7th and were not fully restarted until May 12th. (Citation: Colonial Pipeline Company May 2021)</t>
  </si>
  <si>
    <t>https://attack.mitre.org/techniques/T0826</t>
  </si>
  <si>
    <t>T0827</t>
  </si>
  <si>
    <t>attack-pattern--a81696ef-c106-482c-8f80-59c30f2569fb</t>
  </si>
  <si>
    <t>Loss of Control</t>
  </si>
  <si>
    <t>Adversaries may seek to achieve a sustained loss of control or a runaway condition in which operators cannot issue any commands even if the malicious interference has subsided. (Citation: Corero) (Citation: Michael J. Assante and Robert M. Lee) (Citation: Tyson Macaulay)
The German Federal Office for Information Security (BSI) reported a targeted attack on a steel mill in its 2014 IT Security Report.(Citation: BSI State of IT Security 2014) These targeted attacks affected industrial operations and resulted in breakdowns of control system components and even entire installations. As a result of these breakdowns, massive impact resulted in damage and unsafe conditions from the uncontrolled shutdown of a blast furnace.</t>
  </si>
  <si>
    <t>https://attack.mitre.org/techniques/T0827</t>
  </si>
  <si>
    <t>T0828</t>
  </si>
  <si>
    <t>attack-pattern--63b6942d-8359-4506-bfb3-cf87aa8120ee</t>
  </si>
  <si>
    <t>Loss of Productivity and Revenue</t>
  </si>
  <si>
    <t>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In cases where these operations or services are brought to a halt, the loss of productivity may eventually present an impact for the end-users or consumers of products and services. The disrupted supply-chain may result in supply shortages and increased prices, among other consequences. 
A ransomware attack on an Australian beverage company resulted in the shutdown of some manufacturing sites, including precautionary halts to protect key systems. (Citation: Paganini, Pierluigi June 2020) The company announced the potential for temporary shortages of their products following the attack. (Citation: Paganini, Pierluigi June 2020) (Citation: Lion Corporation June 2020) 
In the 2021 Colonial Pipeline ransomware incident, the pipeline was unable to transport approximately 2.5 million barrels of fuel per day to the East Coast.  (Citation: Colonial Pipeline Company May 2021)</t>
  </si>
  <si>
    <t>https://attack.mitre.org/techniques/T0828</t>
  </si>
  <si>
    <t>T0837</t>
  </si>
  <si>
    <t>attack-pattern--2bb4d762-bf4a-4bc3-9318-15cc6a354163</t>
  </si>
  <si>
    <t>Loss of Protection</t>
  </si>
  <si>
    <t>Adversaries may compromise protective system functions designed to prevent the effects of faults and abnormal conditions. This can result in equipment damage, prolonged process disruptions and hazards to personnel. 
Many faults and abnormal conditions in process control happen too quickly for a human operator to react to. Speed is critical in correcting these conditions to limit serious impacts such as Loss of Control and Property Damage. 
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</si>
  <si>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https://attack.mitre.org/techniques/T0837</t>
  </si>
  <si>
    <t>12 April 2021</t>
  </si>
  <si>
    <t>T0880</t>
  </si>
  <si>
    <t>attack-pattern--5fa00fdd-4a55-4191-94a0-564181d7fec2</t>
  </si>
  <si>
    <t>Loss of Safety</t>
  </si>
  <si>
    <t>Adversaries may compromise safety system functions designed to maintain safe operation of a process when unacceptable or dangerous conditions occur. Safety systems are often composed of the same elements as control systems but have the sole purpose of ensuring the process fails in a predetermined safe manner. 
Many unsafe conditions in process control happen too quickly for a human operator to react to. Speed is critical in correcting these conditions to limit serious impacts such as Loss of Control and Property Damage. 
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adversaries seeking to cause process disruptions.</t>
  </si>
  <si>
    <t>https://attack.mitre.org/techniques/T0880</t>
  </si>
  <si>
    <t>T0829</t>
  </si>
  <si>
    <t>attack-pattern--138979ba-0430-4de6-a128-2fc0b056ba36</t>
  </si>
  <si>
    <t>Loss of View</t>
  </si>
  <si>
    <t>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Macaulay)</t>
  </si>
  <si>
    <t>https://attack.mitre.org/techniques/T0829</t>
  </si>
  <si>
    <t>T0835</t>
  </si>
  <si>
    <t>attack-pattern--36e9f5bc-ac13-4da4-a2f4-01f4877d9004</t>
  </si>
  <si>
    <t>Manipulate I/O Image</t>
  </si>
  <si>
    <t>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One of the unique characteristics of PLCs is their ability to override the status of a physical discrete input or to override the logic driving a physical output coil and force the output to a desired status.</t>
  </si>
  <si>
    <t>https://attack.mitre.org/techniques/T0835</t>
  </si>
  <si>
    <t>T0831</t>
  </si>
  <si>
    <t>attack-pattern--1af9e3fd-2bcc-414d-adbd-fe3b95c02ca1</t>
  </si>
  <si>
    <t>Manipulation of Control</t>
  </si>
  <si>
    <t>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Methods of Manipulation of Control include: 
* Man-in-the-middle  
* Spoof command message 
* Changing setpoints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As a consequence, four trams were derailed and twelve people injured due to resulting emergency stops. (Citation: Shelley Smith February 2008) The track controlling commands issued may have also resulted in tram collisions, a further risk to those on board and nearby the areas of impact. (Citation: Bruce Schneier January 2008)</t>
  </si>
  <si>
    <t>https://attack.mitre.org/techniques/T0831</t>
  </si>
  <si>
    <t>T0832</t>
  </si>
  <si>
    <t>attack-pattern--4c2e1408-9d68-4187-8e6b-a77bc52700ec</t>
  </si>
  <si>
    <t>Manipulation of View</t>
  </si>
  <si>
    <t>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Operators may be fooled into doing something that is harmful to the system in a loss of view situation. With a manipulated view into the systems, operators may issue inappropriate control sequences that introduce faults or catastrophic failures into the system. Business analysis systems can also be provided with inaccurate data leading to bad management decisions.</t>
  </si>
  <si>
    <t>https://attack.mitre.org/techniques/T0832</t>
  </si>
  <si>
    <t>T0849</t>
  </si>
  <si>
    <t>attack-pattern--ba203963-3182-41ac-af14-7e7ebc83cd61</t>
  </si>
  <si>
    <t>Masquerading</t>
  </si>
  <si>
    <t>Adversaries may use masquerading to disguise a malicious application or executable as another file, to avoid operator and engineer suspicion. Possible disguises of these masquerading files can include commonly found programs, expected vendor executables and configuration files, and other commonplace application and naming conventions. By impersonating expected and vendor-relevant files and applications, operators and engineers may not notice the presence of the underlying malicious content and possibly end up running those masquerading as legitimate functions. 
Applications and other files commonly found on Windows systems or in engineering workstations have been impersonated before. This can be as simple as renaming a file to effectively disguise it in the ICS environment.</t>
  </si>
  <si>
    <t>https://attack.mitre.org/techniques/T0849</t>
  </si>
  <si>
    <t>T0838</t>
  </si>
  <si>
    <t>attack-pattern--e5de767e-f513-41cd-aa15-33f6ce5fbf92</t>
  </si>
  <si>
    <t>Modify Alarm Settings</t>
  </si>
  <si>
    <t xml:space="preserve">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 operators, engineers, and administrators aware of the state of system devices and physical processes. 
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[Impact](https://attack.mitre.org/tactics/TA0105) could occur. 
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modifying in memory code to fixed values or tampering with assembly level instruction code. </t>
  </si>
  <si>
    <t>https://attack.mitre.org/techniques/T0838</t>
  </si>
  <si>
    <t>T0821</t>
  </si>
  <si>
    <t>attack-pattern--09a61657-46e1-439e-b3ed-3e4556a78243</t>
  </si>
  <si>
    <t>Modify Controller Tasking</t>
  </si>
  <si>
    <t>Adversaries may modify the tasking of a controller to allow for the execution of their own programs. This can allow an adversary to manipulate the execution flow and behavior of a controller. 
According to 61131-3, the association of a Task with a Program Organization Unit (POU) defines a task association. (Citation: IEC February 2013) An adversary may modify these associations or create new ones to manipulate the execution flow of a controller. Modification of controller tasking can be accomplished using a Program Download in addition to other types of program modification such as online edit and program append.
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program with tasks that have a higher priority or execute associated programs more frequently. For instance, to ensure cyclic execution of their program on a Siemens controller, an adversary may add their program to the task, Organization Block 1 (OB1).</t>
  </si>
  <si>
    <t>https://attack.mitre.org/techniques/T0821</t>
  </si>
  <si>
    <t>T0836</t>
  </si>
  <si>
    <t>attack-pattern--097924ce-a9a9-4039-8591-e0deedfb8722</t>
  </si>
  <si>
    <t>Modify Parameter</t>
  </si>
  <si>
    <t>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An adversary can potentially modify these parameters to produce an outcome outside of what was intended by the operators. By modifying system and process critical parameters, the adversary may cause [Impact](https://attack.mitre.org/tactics/TA0105) to equipment and/or control processes. Modified parameters may be turned into dangerous, out-of-bounds, or unexpected values from typical operations. For example, specifying that a process run for more or less time than it should, or dictating an unusually high, low, or invalid value as a parameter.</t>
  </si>
  <si>
    <t>https://attack.mitre.org/techniques/T0836</t>
  </si>
  <si>
    <t>T0889</t>
  </si>
  <si>
    <t>attack-pattern--fc5fda7e-6b2c-4457-b036-759896a2efa2</t>
  </si>
  <si>
    <t>Modify Program</t>
  </si>
  <si>
    <t>Adversaries may modify or add a program on a controller to affect how it interacts with the physical process, peripheral devices and other hosts on the network. Modification to controller programs can be accomplished using a Program Download in addition to other types of program modification such as online edit and program append. 
Program modification encompasses the addition and modification of instructions and logic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Some programs may allow an adversary to interact directly with the native API of the controller to take advantage of obscure features or vulnerabilities.</t>
  </si>
  <si>
    <t>https://attack.mitre.org/techniques/T0889</t>
  </si>
  <si>
    <t>T0839</t>
  </si>
  <si>
    <t>attack-pattern--efbf7888-f61b-4572-9c80-7e2965c60707</t>
  </si>
  <si>
    <t>Module Firmware</t>
  </si>
  <si>
    <t>Adversaries may install malicious or vulnerable firmware onto modular hardware devices. Control system devices often contain modular hardware devices. These devices may have their own set of firmware that is separate from the firmware of the main control system equipment.   
This technique is similar to [System Firmware](https://attack.mitre.org/techniques/T0857), but is conducted on other system components that may not have the same capabilities or level of integrity checking. Although it results in a device re-image, malicious device firmware may provide persistent access to remaining devices. (Citation: Daniel Peck,  Dale Peterson January 2009)  
An easy point of access for an adversary is the Ethernet card, which may have its own CPU, RAM, and operating system. The adversary may attack and likely exploit the computer on an Ethernet card. Exploitation of the Ethernet card computer may enable the adversary to accomplish additional attacks, such as the following: (Citation: Daniel Peck,  Dale Peterson January 2009)  
* Delayed Attack - The adversary may stage an attack in advance and choose when to launch it, such as at a particularly damaging time.  
* Brick the Ethernet Card - Malicious firmware may be programmed to result in an Ethernet card failure, requiring a factory return.  
* Random Attack or Failure - The adversary may load malicious firmware onto multiple field devices. Execution of an attack and the time it occurs is generated by a pseudo-random number generator.   
* A Field Device Worm - The adversary may choose to identify all field devices of the same model, with the end goal of performing a device-wide compromise.  
* Attack Other Cards on the Field Device - Although it is not the most important module in a field device, the Ethernet card is most accessible to the adversary and malware. Compromise of the Ethernet card may provide a more direct route to compromising other modules, such as the CPU module.</t>
  </si>
  <si>
    <t>https://attack.mitre.org/techniques/T0839</t>
  </si>
  <si>
    <t>T0801</t>
  </si>
  <si>
    <t>attack-pattern--2d0d40ad-22fa-4cc8-b264-072557e1364b</t>
  </si>
  <si>
    <t>Monitor Process State</t>
  </si>
  <si>
    <t>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t>
  </si>
  <si>
    <t>https://attack.mitre.org/techniques/T0801</t>
  </si>
  <si>
    <t>T0834</t>
  </si>
  <si>
    <t>attack-pattern--b52870cc-83f3-473c-b895-72d91751030b</t>
  </si>
  <si>
    <t>Native API</t>
  </si>
  <si>
    <t>Adversaries may directly interact with the native OS application programming interface (API) to access system functions. Native APIs provide a controlled means of calling low-level OS services within the kernel, such as those involving hardware/devices, memory, and processes. (Citation: The MITRE Corporation May 2017) These native APIs are leveraged by the OS during system boot (when other system components are not yet initialized) as well as carrying out tasks and requests during routine operations. 
Functionality provided by native APIs are often also exposed to user-mode applications via interfaces and libraries. For example, functions such as memcpy and direct operations on memory registers can be used to modify user and system memory space.</t>
  </si>
  <si>
    <t>https://attack.mitre.org/techniques/T0834</t>
  </si>
  <si>
    <t>T0840</t>
  </si>
  <si>
    <t>attack-pattern--ea0c980c-5cf0-43a7-a049-59c4c207566e</t>
  </si>
  <si>
    <t>Network Connection Enumeration</t>
  </si>
  <si>
    <t>Adversaries may perform network connection enumeration to discover information about device communication patterns. If an adversary can inspect the state of a network connection with tools, such as Netstat(Citation: Netstat), in conjunction with [System Firmware](https://attack.mitre.org/techniques/T0857), then they can determine the role of certain devices on the network  (Citation: MITRE). The adversary can also use [Network Sniffing](https://attack.mitre.org/techniques/T0842) to watch network traffic for details about the source, destination, protocol, and content.</t>
  </si>
  <si>
    <t>https://attack.mitre.org/techniques/T0840</t>
  </si>
  <si>
    <t>T0842</t>
  </si>
  <si>
    <t>attack-pattern--38213338-1aab-479d-949b-c81b66ccca5c</t>
  </si>
  <si>
    <t>Network Sniffing</t>
  </si>
  <si>
    <t>Network sniffing is the practice of using a network interface on a computer system to monitor or capture information (Citation: Enterprise ATT&amp;CK January 2018) regardless of whether it is the specified destination for the information. 
An adversary may attempt to sniff the traffic to gain information about the target. This information can vary in the level of importance. Relatively unimportant information is general communications to and from machines.  Relatively important information would be login information. User credentials may be sent over an unencrypted protocol, such as Telnet, that can be captured and obtained through network packet analysis. 
In addition, ARP and Domain Name Service (DNS) poisoning can be used to capture credentials to websites, proxies, and internal systems by redirecting traffic to an adversary.</t>
  </si>
  <si>
    <t>https://attack.mitre.org/techniques/T0842</t>
  </si>
  <si>
    <t>T0861</t>
  </si>
  <si>
    <t>attack-pattern--25852363-5968-4673-b81d-341d5ed90bd1</t>
  </si>
  <si>
    <t>Point &amp; Tag Identification</t>
  </si>
  <si>
    <t>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Collecting such tags provides valuable context to environmental points and enables an adversary to map inputs, outputs, and other values to their control processes. Understanding the points being collected may inform an adversary on which processes and values to keep track of over the course of an operation.</t>
  </si>
  <si>
    <t>https://attack.mitre.org/techniques/T0861</t>
  </si>
  <si>
    <t>T0843</t>
  </si>
  <si>
    <t>attack-pattern--be69c571-d746-4b1f-bdd0-c0c9817e9068</t>
  </si>
  <si>
    <t>Program Download</t>
  </si>
  <si>
    <t>Adversaries may perform a program download to transfer a user program to a controller. 
Variations of program download, such as online edit and program append, allow a controller to continue running during the transfer and reconfiguration process without interruption to process control. However, before starting a full program download (i.e., download all) a controller may need to go into a stop state. This can have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
The granularity of control to transfer a user program in whole or parts is dictated by the management protocol (e.g., S7CommPlus, TriStation) and underlying controller API. Thus, program download is a high-level term for the suite of vendor-specific API calls used to configure a controllers user program memory space.  
[Modify Controller Tasking](https://attack.mitre.org/techniques/T0821) and [Modify Program](https://attack.mitre.org/techniques/T0889) represent the configuration changes that are transferred to a controller via a program download.</t>
  </si>
  <si>
    <t>https://attack.mitre.org/techniques/T0843</t>
  </si>
  <si>
    <t>T0845</t>
  </si>
  <si>
    <t>attack-pattern--3067b85e-271e-4bc5-81ad-ab1a81d411e3</t>
  </si>
  <si>
    <t>Program Upload</t>
  </si>
  <si>
    <t>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t>
  </si>
  <si>
    <t>https://attack.mitre.org/techniques/T0845</t>
  </si>
  <si>
    <t>T0873</t>
  </si>
  <si>
    <t>attack-pattern--e72425f8-9ae6-41d3-bfdb-e1b865e60722</t>
  </si>
  <si>
    <t>Project File Infection</t>
  </si>
  <si>
    <t>Adversaries may attempt to infect project files with malicious code. These project files may consist of objects, program organization units, variables such as tags, documentation, and other configurations needed for PLC programs to function. (Citation: Beckhoff) Using built in functions of the engineering software, adversaries may be able to download an infected program to a PLC in the operating environment enabling further [Execution](https://attack.mitre.org/tactics/TA0104) and [Persistence](https://attack.mitre.org/tactics/TA0110) techniques. (Citation: PLCdev) 
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downloaded to a PLC the workstation device may be disconnected with the infected project file still executing. (Citation: PLCdev)</t>
  </si>
  <si>
    <t>https://attack.mitre.org/techniques/T0873</t>
  </si>
  <si>
    <t>T0886</t>
  </si>
  <si>
    <t>attack-pattern--e1f9cdd2-9511-4fca-90d7-f3e92cfdd0bf</t>
  </si>
  <si>
    <t>Remote Services</t>
  </si>
  <si>
    <t>Adversaries may leverage remote services to move between assets and network segments. These services are often used to allow operators to interact with systems remotely within the network, some examples are RDP, SMB, SSH, and other similar mechanisms. (Citation: Blake Johnson, Dan Caban, Marina Krotofil, Dan Scali, Nathan Brubaker, Christopher Glyer December 2017) (Citation: Dragos December 2017) (Citation: Joe Slowik April 2019) 
Remote services could be used to support remote access, data transmission, authentication, name resolution, and other remote functions. Further, remote services may be necessary to allow operators and administrators to configure systems within the network from their engineering or management workstations. An adversary may use this technique to access devices which may be dual-homed (Citation: Blake Johnson, Dan Caban, Marina Krotofil, Dan Scali, Nathan Brubaker, Christopher Glyer December 2017) to multiple network segments, and can be used for [Program Download](https://attack.mitre.org/techniques/T0843) or to execute attacks on control devices directly through [Valid Accounts](https://attack.mitre.org/techniques/T0859).
Specific remote services (RDP &amp; VNC) may be a precursor to enable [Graphical User Interface](https://attack.mitre.org/techniques/T0823) execution on devices such as HMIs or engineering workstation software.
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t>
  </si>
  <si>
    <t>https://attack.mitre.org/techniques/T0886</t>
  </si>
  <si>
    <t>T0846</t>
  </si>
  <si>
    <t>attack-pattern--d5a69cfb-fc2a-46cb-99eb-74b236db5061</t>
  </si>
  <si>
    <t>Remote System Discovery</t>
  </si>
  <si>
    <t>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t>
  </si>
  <si>
    <t>https://attack.mitre.org/techniques/T0846</t>
  </si>
  <si>
    <t>T0888</t>
  </si>
  <si>
    <t>attack-pattern--2fedbe69-581f-447d-8a78-32ee7db939a9</t>
  </si>
  <si>
    <t>Remote System Information Discovery</t>
  </si>
  <si>
    <t>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used to scope subsequent technique usage. 
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t>
  </si>
  <si>
    <t>https://attack.mitre.org/techniques/T0888</t>
  </si>
  <si>
    <t>T0847</t>
  </si>
  <si>
    <t>attack-pattern--c267bbee-bb59-47fe-85e0-3ed210337c21</t>
  </si>
  <si>
    <t>Replication Through Removable Media</t>
  </si>
  <si>
    <t>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Operators of the German nuclear power plant, Gundremmingen, discovered malware on a facility computer not connected to the internet. (Citation: Kernkraftwerk Gundremmingen April 2016) (Citation: Trend Micro April 2016) The malware included Conficker and W32.Ramnit, which were also found on eighteen removable disk drives in the facility. (Citation: Christoph Steitz, Eric Auchard April 2016) (Citation: Catalin Cimpanu April 2016) (Citation: Peter Dockrill April 2016) (Citation: Lee Mathews April 2016) (Citation: Sean Gallagher April 2016) (Citation: Dark Reading Staff April 2016) The plant has since checked for infection and cleaned up more than 1,000 computers. (Citation: BBC April 2016) An ESET researcher commented that internet disconnection does not guarantee system safety from infection or payload execution. (Citation: ESET April 2016)</t>
  </si>
  <si>
    <t>https://attack.mitre.org/techniques/T0847</t>
  </si>
  <si>
    <t>T0848</t>
  </si>
  <si>
    <t>attack-pattern--b14395bd-5419-4ef4-9bd8-696936f509bb</t>
  </si>
  <si>
    <t>Rogue Master</t>
  </si>
  <si>
    <t>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In the case of the 2017 Dallas Siren incident, adversaries used a rogue master to send command messages to the 156 distributed sirens across the city, either through a single rogue transmitter with a strong signal, or using many distributed repeaters. (Citation: Bastille April 2017) (Citation: Zack Whittaker April 2017)</t>
  </si>
  <si>
    <t>https://attack.mitre.org/techniques/T0848</t>
  </si>
  <si>
    <t>T0851</t>
  </si>
  <si>
    <t>attack-pattern--3b6b9246-43f8-4c69-ad7a-2b11cfe0a0d9</t>
  </si>
  <si>
    <t>Rootkit</t>
  </si>
  <si>
    <t>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with device processes, an adversary may inhibit its expected response functions and possibly enable [Impact](https://attack.mitre.org/tactics/TA0105).</t>
  </si>
  <si>
    <t>https://attack.mitre.org/techniques/T0851</t>
  </si>
  <si>
    <t>T0852</t>
  </si>
  <si>
    <t>attack-pattern--c5e3cdbc-0387-4be9-8f83-ff5c0865f377</t>
  </si>
  <si>
    <t>Screen Capture</t>
  </si>
  <si>
    <t>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October 2017) Analysis of screen captures may provide the adversary with an understanding of intended operations and interactions between critical devices.</t>
  </si>
  <si>
    <t>https://attack.mitre.org/techniques/T0852</t>
  </si>
  <si>
    <t>T0853</t>
  </si>
  <si>
    <t>attack-pattern--2dc2b567-8821-49f9-9045-8740f3d0b958</t>
  </si>
  <si>
    <t>Scripting</t>
  </si>
  <si>
    <t>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In addition to being a useful tool for developers and administrators,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t>
  </si>
  <si>
    <t>https://attack.mitre.org/techniques/T0853</t>
  </si>
  <si>
    <t>T0881</t>
  </si>
  <si>
    <t>attack-pattern--063b5b92-5361-481a-9c3f-95492ed9a2d8</t>
  </si>
  <si>
    <t>Service Stop</t>
  </si>
  <si>
    <t>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t>
  </si>
  <si>
    <t>https://attack.mitre.org/techniques/T0881</t>
  </si>
  <si>
    <t>T0865</t>
  </si>
  <si>
    <t>attack-pattern--648f995e-9c3a-41e4-aeee-98bb41037426</t>
  </si>
  <si>
    <t>Spearphishing Attachment</t>
  </si>
  <si>
    <t>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[User Execution](https://attack.mitre.org/techniques/T0863) to gain execution and access. (Citation: Enterprise ATT&amp;CK October 2019) 
A Chinese spearphishing campaign running from December 9, 2011 through February 29, 2012, targeted ONG organizations and their employees. The emails were constructed with a high level of sophistication to convince employees to open the malicious file attachments. (Citation: CISA AA21-201A Pipeline Intrusion July 2021)</t>
  </si>
  <si>
    <t>https://attack.mitre.org/techniques/T0865</t>
  </si>
  <si>
    <t>T0856</t>
  </si>
  <si>
    <t>attack-pattern--8535b71e-3c12-4258-a4ab-40257a1becc4</t>
  </si>
  <si>
    <t>Spoof Reporting Message</t>
  </si>
  <si>
    <t xml:space="preserve">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</si>
  <si>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https://attack.mitre.org/techniques/T0856</t>
  </si>
  <si>
    <t>T0869</t>
  </si>
  <si>
    <t>attack-pattern--e076cca8-2f08-45c9-aff7-ea5ac798b387</t>
  </si>
  <si>
    <t>Standard Application Layer Protocol</t>
  </si>
  <si>
    <t>Adversaries may establish command and control capabilities over commonly used application layer protocols such as HTTP(S), OPC, RDP, telnet, DNP3, and modbus. These protocols may be used to disguise adversary actions as benign network traffic. Standard protocols may be seen on their associated port or in some cases over a non-standard port.  Adversaries may use these protocols to reach out of the network for command and control, or in some cases to other infected devices within the network.</t>
  </si>
  <si>
    <t>https://attack.mitre.org/techniques/T0869</t>
  </si>
  <si>
    <t>T0862</t>
  </si>
  <si>
    <t>attack-pattern--5e0f75da-e108-4688-a6de-a4f07cc2cbe3</t>
  </si>
  <si>
    <t>Supply Chain Compromise</t>
  </si>
  <si>
    <t>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systems environments with assets in both the IT and OT networks, it is possible a supply chain compromise affecting the IT environment could enable further access to the OT environment.   
Counterfeit devices may be introduced to the global supply chain posing safety and cyber risks to asset owners and operators. These devices may not meet the safety, engineering and manufacturing requirements of regulatory bodies but may feature tagging indicating conformance with industry standards. Due to the lack of adherence to standards and overall lesser quality, the counterfeit products may pose a serious safety and operational risk. (Citation: Control Global May 2019) 
Yokogawa identified instances in which their customers received counterfeit differential pressure transmitters using the Yokogawa logo. The counterfeit transmitters were nearly indistinguishable with a semblance of functionality and interface that mimics the genuine product. (Citation: Control Global May 2019) 
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(RAT).</t>
  </si>
  <si>
    <t>https://attack.mitre.org/techniques/T0862</t>
  </si>
  <si>
    <t>T0894</t>
  </si>
  <si>
    <t>attack-pattern--1c5cf58c-a34a-40d7-82f4-f987cdfc2b91</t>
  </si>
  <si>
    <t>System Binary Proxy Execution</t>
  </si>
  <si>
    <t xml:space="preserve">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 (Citation: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split to proxy execution of malicious commands. (Citation: split man page)(Citation: GTFO split)
Adversaries may abuse application binaries installed on a system for proxy execution of malicious code or domain-specific commands. These commands could be used to target local resources on the device or networked devices within the environment through defined APIs ([Execution through API](https://attack.mitre.org/techniques/T0871)) or application-specific programming languages (e.g., MicroSCADA SCIL). Application binaries may be signed by the developer or generally trusted by the operators, analysts, and monitoring tools accustomed to the environment. These applications may be developed and/or directly provided by the device vendor to enable configuration, management, and operation of their devices without many alternatives. 
Adversaries may seek to target these trusted application binaries to execute or send commands without the development of custom malware. For example, adversaries may target a SCADA server binary which has the existing ability to send commands to substation devices, such as through IEC 104 command messages. Proxy execution may still require the development of custom tools to hook into the application binary’s execution.
</t>
  </si>
  <si>
    <t>https://attack.mitre.org/techniques/T0894</t>
  </si>
  <si>
    <t>25 March 2024</t>
  </si>
  <si>
    <t>T0857</t>
  </si>
  <si>
    <t>attack-pattern--b9160e77-ea9e-4ba9-b1c8-53a3c466b13d</t>
  </si>
  <si>
    <t>System Firmware</t>
  </si>
  <si>
    <t>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t>
  </si>
  <si>
    <t>https://attack.mitre.org/techniques/T0857</t>
  </si>
  <si>
    <t>T0882</t>
  </si>
  <si>
    <t>attack-pattern--b7e13ee8-182c-4f19-92a4-a88d7d855d54</t>
  </si>
  <si>
    <t>Theft of Operational Information</t>
  </si>
  <si>
    <t>Adversaries may steal operational information on a production environment as a direct mission outcome for personal gain or to inform future operations. This information may include design documents, schedules, rotational data, or similar artifacts that provide insight on operations.    In the Bowman Dam incident, adversaries probed systems for operational data. (Citation: Mark Thompson March 2016) (Citation: Danny Yadron December 2015)</t>
  </si>
  <si>
    <t>https://attack.mitre.org/techniques/T0882</t>
  </si>
  <si>
    <t>T0864</t>
  </si>
  <si>
    <t>attack-pattern--35392fb4-a31d-4c6a-b9f2-1c65b7f5e6b9</t>
  </si>
  <si>
    <t>Transient Cyber Asset</t>
  </si>
  <si>
    <t xml:space="preserve">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connections for remote access do not exist, or 3rd party contractor/vendor access is required. 
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 end-users to interact with control system devices. 
Transient assets, in some cases, may not be deployed with a secure configuration leading to weaknesses that could allow an adversary to propagate malicious executable code, e.g., the transient asset may be infected by malware and when connected to an ICS environment the malware propagates onto other systems. </t>
  </si>
  <si>
    <t>https://attack.mitre.org/techniques/T0864</t>
  </si>
  <si>
    <t>14 October 2021</t>
  </si>
  <si>
    <t>T0855</t>
  </si>
  <si>
    <t>attack-pattern--40b300ba-f553-48bf-862e-9471b220d455</t>
  </si>
  <si>
    <t>Unauthorized Command Message</t>
  </si>
  <si>
    <t>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the normal bounds of the device's actions. An adversary could potentially instruct a control systems device to perform an action that will cause an [Impact](https://attack.mitre.org/tactics/TA0105). (Citation: Bonnie Zhu, Anthony Joseph, Shankar Sastry 2011)
In the Dallas Siren incident, adversaries were able to send command messages to activate tornado alarm systems across the city without an impending tornado or other disaster. (Citation: Zack Whittaker April 2017) (Citation: Benjamin Freed March 2019)</t>
  </si>
  <si>
    <t>https://attack.mitre.org/techniques/T0855</t>
  </si>
  <si>
    <t>T0863</t>
  </si>
  <si>
    <t>attack-pattern--2736b752-4ec5-4421-a230-8977dea7649c</t>
  </si>
  <si>
    <t>User Execution</t>
  </si>
  <si>
    <t>Adversaries may rely on a targeted organizations user interaction for the execution of malicious code. User interaction may consist of installing applications, opening email attachments, or granting higher permissions to documents. 
Adversaries may embed malicious code or visual basic code into files such as Microsoft Word and Excel documents or software installers. (Citation: Booz Allen Hamilton) Execution of this code requires that the user enable scripting or write access within the document. Embedded code may not always be noticeable to the user especially in cases of trojanized software. (Citation: Daavid Hentunen, Antti Tikkanen June 2014) 
A Chinese spearphishing campaign running from December 9, 2011 through February 29, 2012 delivered malware through spearphishing attachments which required user action to achieve execution. (Citation: CISA AA21-201A Pipeline Intrusion July 2021)</t>
  </si>
  <si>
    <t>https://attack.mitre.org/techniques/T0863</t>
  </si>
  <si>
    <t>T0859</t>
  </si>
  <si>
    <t>attack-pattern--cd2c76a4-5e23-4ca5-9c40-d5e0604f7101</t>
  </si>
  <si>
    <t>Valid Accounts</t>
  </si>
  <si>
    <t>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 to specific systems and devices or access to restricted areas of the network. Adversaries may choose not to use malware or tools, in conjunction with the legitimate access those credentials provide, to make it harder to detect their presence or to control devices and send legitimate commands in an unintended way. 
Adversaries may also create accounts, sometimes using predefined account names and passwords, to provide a means of backup access for persistence. (Citation: Booz Allen Hamilton) 
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another system.</t>
  </si>
  <si>
    <t>https://attack.mitre.org/techniques/T0859</t>
  </si>
  <si>
    <t>T0860</t>
  </si>
  <si>
    <t>attack-pattern--2877063e-1851-48d2-bcc6-bc1d2733157e</t>
  </si>
  <si>
    <t>Wireless Compromise</t>
  </si>
  <si>
    <t>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an initial access vector from a remote distance. 
A Polish student used a modified TV remote controller to gain access to and control over the Lodz city tram system in Poland. (Citation: John Bill May 2017) (Citation: Shelley Smith February 2008) The remote controller device allowed the student to interface with the trams network to modify track settings and override operator control. The adversary may have accomplished this by aligning the controller to the frequency and amplitude of IR control protocol signals. (Citation: Bruce Schneier January 2008) The controller then enabled initial access to the network, allowing the capture and replay of tram signals. (Citation: John Bill May 2017)</t>
  </si>
  <si>
    <t>https://attack.mitre.org/techniques/T0860</t>
  </si>
  <si>
    <t>T0887</t>
  </si>
  <si>
    <t>attack-pattern--0fe075d5-beac-4d02-b93e-0f874997db72</t>
  </si>
  <si>
    <t>Wireless Sniffing</t>
  </si>
  <si>
    <t>Adversaries may seek to capture radio frequency (RF) communication used for remote control and reporting in distributed environments. RF communication frequencies vary between 3 kHz to 300 GHz, although are commonly between 300 MHz to 6 GHz. (Citation: Candell, R., Hany, M., Lee, K. B., Liu,Y., Quimby, J., Remley, K. April 2018)  The wavelength and frequency of the signal affect how the signal propagates through open air, obstacles (e.g. walls and trees) and the type of radio required to capture them. These characteristics are often standardized in the protocol and hardware and may have an effect on how the signal is captured. Some examples of wireless protocols that may be found in cyber-physical environments are: WirelessHART, Zigbee, WIA-FA, and 700 MHz Public Safety Spectrum. 
Adversaries may capture RF communications by using specialized hardware, such as software defined radio (SDR), handheld radio, or a computer with radio demodulator tuned to the communication frequency. (Citation: Bastille April 2017) Information transmitted over a wireless medium may be captured in-transit whether the sniffing device is the intended destination or not. This technique may be particularly useful to an adversary when the communications are not encrypted. (Citation: Gallagher, S. April 2017) 
In the 2017 Dallas Siren incident, it is suspected that adversaries likely captured wireless command message broadcasts on a 700 MHz frequency during a regular test of the system. These messages were later replayed to trigger the alarm systems. (Citation: Gallagher, S. April 2017)</t>
  </si>
  <si>
    <t>https://attack.mitre.org/techniques/T0887</t>
  </si>
  <si>
    <t>ID_Riesgo</t>
  </si>
  <si>
    <t>Amenaza</t>
  </si>
  <si>
    <t>Vulnerabilidad</t>
  </si>
  <si>
    <t>Impacto</t>
  </si>
  <si>
    <t>Nivel_Riesgo_Inherente</t>
  </si>
  <si>
    <t>Controles_Existentes</t>
  </si>
  <si>
    <t>Probabilidad_Residual</t>
  </si>
  <si>
    <t>Impacto_Residual</t>
  </si>
  <si>
    <t>Nivel_Riesgo_Residual</t>
  </si>
  <si>
    <t>Estado_Tratamiento</t>
  </si>
  <si>
    <t>Fecha_Evaluación</t>
  </si>
  <si>
    <t>RISK-001</t>
  </si>
  <si>
    <t>Ataque DDoS</t>
  </si>
  <si>
    <t>Sin protección anti-DDoS</t>
  </si>
  <si>
    <t>Firewall básico</t>
  </si>
  <si>
    <t>En Tratamiento</t>
  </si>
  <si>
    <t>RISK-002</t>
  </si>
  <si>
    <t>Inyección SQL</t>
  </si>
  <si>
    <t>Validación de entrada insuficiente</t>
  </si>
  <si>
    <t>WAF, Consultas parametrizadas</t>
  </si>
  <si>
    <t>Mitigado</t>
  </si>
  <si>
    <t>ID_Tratamiento</t>
  </si>
  <si>
    <t>Riesgo</t>
  </si>
  <si>
    <t>Estrategia</t>
  </si>
  <si>
    <t>Medida_Control</t>
  </si>
  <si>
    <t>Tipo_Control</t>
  </si>
  <si>
    <t>Fecha_Inicio</t>
  </si>
  <si>
    <t>Fecha_Limite</t>
  </si>
  <si>
    <t>Avance_%</t>
  </si>
  <si>
    <t>Costo_Estimado</t>
  </si>
  <si>
    <t>TRAT-001</t>
  </si>
  <si>
    <t>Ataque DDoS al servidor web</t>
  </si>
  <si>
    <t>Mitigar</t>
  </si>
  <si>
    <t>Implementar servicio anti-DDoS en la nube</t>
  </si>
  <si>
    <t>Preventivo</t>
  </si>
  <si>
    <t>30/11/2025</t>
  </si>
  <si>
    <t>En Progreso</t>
  </si>
  <si>
    <t>Contratar servicio Cloudflare o AWS Shield</t>
  </si>
  <si>
    <t>TRAT-002</t>
  </si>
  <si>
    <t>Inyección SQL en BD</t>
  </si>
  <si>
    <t>Implementar consultas preparadas en toda la aplicación</t>
  </si>
  <si>
    <t>Líder Desarrollo</t>
  </si>
  <si>
    <t>15/11/2025</t>
  </si>
  <si>
    <t>Completado</t>
  </si>
  <si>
    <t>Implementado y probado</t>
  </si>
  <si>
    <t>DASHBOARD EJECUTIVO - SGSI</t>
  </si>
  <si>
    <t>RESUMEN DE ACTIVOS</t>
  </si>
  <si>
    <t>TOP 10 AMENAZAS MITRE</t>
  </si>
  <si>
    <t>Total de Activos:</t>
  </si>
  <si>
    <t>Activos Críticos:</t>
  </si>
  <si>
    <t>Activos Altos:</t>
  </si>
  <si>
    <t>RESUMEN DE RIESGOS</t>
  </si>
  <si>
    <t>Total de Riesgos:</t>
  </si>
  <si>
    <t>Riesgos Críticos (≥15):</t>
  </si>
  <si>
    <t>Riesgos Altos (10-14):</t>
  </si>
  <si>
    <t>Riesgos Medios (6-9):</t>
  </si>
  <si>
    <t>ESTADO DE TRATAMIENTOS</t>
  </si>
  <si>
    <t>Total de Tratamientos:</t>
  </si>
  <si>
    <t>Completados:</t>
  </si>
  <si>
    <t>En Progreso:</t>
  </si>
  <si>
    <t>Pendientes:</t>
  </si>
  <si>
    <t>INDICADORES CLAVE (KPIs)</t>
  </si>
  <si>
    <t>Indicador</t>
  </si>
  <si>
    <t>Meta</t>
  </si>
  <si>
    <t>% Riesgos Mitigados</t>
  </si>
  <si>
    <t>80%</t>
  </si>
  <si>
    <t>Tiempo Promedio Mitigación</t>
  </si>
  <si>
    <t>TBD</t>
  </si>
  <si>
    <t>30 días</t>
  </si>
  <si>
    <t>% Activos con Análisis</t>
  </si>
  <si>
    <t>100%</t>
  </si>
  <si>
    <t>Cobertura de Controles</t>
  </si>
  <si>
    <t>90%</t>
  </si>
  <si>
    <t>CONFIGURACIÓN DE CATEGORÍAS Y SUBCATEGORÍAS</t>
  </si>
  <si>
    <t>Use esta hoja para definir las categorías y subcategorías de activos. Estos valores se usarán en listas desplegables.</t>
  </si>
  <si>
    <t>CATEGORÍAS DE ACTIVOS</t>
  </si>
  <si>
    <t>SUBCATEGORÍAS</t>
  </si>
  <si>
    <t>ID_Categoría</t>
  </si>
  <si>
    <t>Nombre_Categoría</t>
  </si>
  <si>
    <t>ID_Subcategoría</t>
  </si>
  <si>
    <t>Categoría_Padre</t>
  </si>
  <si>
    <t>Nombre_Subcategoría</t>
  </si>
  <si>
    <t>CAT-01</t>
  </si>
  <si>
    <t>SUB-01</t>
  </si>
  <si>
    <t>CAT-02</t>
  </si>
  <si>
    <t>SUB-02</t>
  </si>
  <si>
    <t>Almacenamiento</t>
  </si>
  <si>
    <t>CAT-03</t>
  </si>
  <si>
    <t>Aplicaciones</t>
  </si>
  <si>
    <t>SUB-03</t>
  </si>
  <si>
    <t>CAT-04</t>
  </si>
  <si>
    <t>Personas</t>
  </si>
  <si>
    <t>SUB-04</t>
  </si>
  <si>
    <t>CAT-05</t>
  </si>
  <si>
    <t>Servicios</t>
  </si>
  <si>
    <t>SUB-05</t>
  </si>
  <si>
    <t>CAT-06</t>
  </si>
  <si>
    <t>Hardware</t>
  </si>
  <si>
    <t>SUB-06</t>
  </si>
  <si>
    <t>Documentos</t>
  </si>
  <si>
    <t>CAT-07</t>
  </si>
  <si>
    <t>Software</t>
  </si>
  <si>
    <t>SUB-07</t>
  </si>
  <si>
    <t>Archivos Configuración</t>
  </si>
  <si>
    <t>CAT-08</t>
  </si>
  <si>
    <t>Redes</t>
  </si>
  <si>
    <t>SUB-08</t>
  </si>
  <si>
    <t>Aplicaciones Web</t>
  </si>
  <si>
    <t>CAT-09</t>
  </si>
  <si>
    <t>Dispositivos Móviles</t>
  </si>
  <si>
    <t>SUB-09</t>
  </si>
  <si>
    <t>Aplicaciones Móviles</t>
  </si>
  <si>
    <t>CAT-10</t>
  </si>
  <si>
    <t>Sistemas de Control</t>
  </si>
  <si>
    <t>SUB-10</t>
  </si>
  <si>
    <t>Aplicaciones Escritorio</t>
  </si>
  <si>
    <t>SUB-11</t>
  </si>
  <si>
    <t>Personal TI</t>
  </si>
  <si>
    <t>SUB-12</t>
  </si>
  <si>
    <t>Usuarios Finales</t>
  </si>
  <si>
    <t>SUB-13</t>
  </si>
  <si>
    <t>Administradores</t>
  </si>
  <si>
    <t>SUB-14</t>
  </si>
  <si>
    <t>Servicios Cloud</t>
  </si>
  <si>
    <t>SUB-15</t>
  </si>
  <si>
    <t>Servicios Externos</t>
  </si>
  <si>
    <t>SUB-16</t>
  </si>
  <si>
    <t>Equipos de Red</t>
  </si>
  <si>
    <t>SUB-17</t>
  </si>
  <si>
    <t>Estaciones de Trabajo</t>
  </si>
  <si>
    <t>SUB-18</t>
  </si>
  <si>
    <t>Sistemas Operativos</t>
  </si>
  <si>
    <t>SUB-19</t>
  </si>
  <si>
    <t>Aplicaciones Base</t>
  </si>
  <si>
    <t>SUB-20</t>
  </si>
  <si>
    <t>LAN/WAN</t>
  </si>
  <si>
    <t>SUB-21</t>
  </si>
  <si>
    <t>Wireless</t>
  </si>
  <si>
    <t>SUB-22</t>
  </si>
  <si>
    <t>Smartphones</t>
  </si>
  <si>
    <t>SUB-23</t>
  </si>
  <si>
    <t>Tablets</t>
  </si>
  <si>
    <t>SUB-24</t>
  </si>
  <si>
    <t>SCADA</t>
  </si>
  <si>
    <t>SUB-25</t>
  </si>
  <si>
    <t>PLC</t>
  </si>
  <si>
    <t>CONFIGURACIÓN DE ÁREAS Y UBICACIONES</t>
  </si>
  <si>
    <t>Defina las áreas organizacionales y ubicaciones físicas donde se encuentran los activos.</t>
  </si>
  <si>
    <t>ÁREAS ORGANIZACIONALES</t>
  </si>
  <si>
    <t>UBICACIONES FÍSICAS</t>
  </si>
  <si>
    <t>ID_Área</t>
  </si>
  <si>
    <t>Nombre_Área</t>
  </si>
  <si>
    <t>ID_Ubicación</t>
  </si>
  <si>
    <t>Nombre_Ubicación</t>
  </si>
  <si>
    <t>Dirección</t>
  </si>
  <si>
    <t>AREA-01</t>
  </si>
  <si>
    <t>UBI-01</t>
  </si>
  <si>
    <t>AREA-02</t>
  </si>
  <si>
    <t>UBI-02</t>
  </si>
  <si>
    <t>Datacenter Respaldo</t>
  </si>
  <si>
    <t>AREA-03</t>
  </si>
  <si>
    <t>Operaciones</t>
  </si>
  <si>
    <t>UBI-03</t>
  </si>
  <si>
    <t>Oficina Central</t>
  </si>
  <si>
    <t>AREA-04</t>
  </si>
  <si>
    <t>Desarrollo</t>
  </si>
  <si>
    <t>UBI-04</t>
  </si>
  <si>
    <t>Oficina Sucursal 1</t>
  </si>
  <si>
    <t>AREA-05</t>
  </si>
  <si>
    <t>UBI-05</t>
  </si>
  <si>
    <t>Oficina Sucursal 2</t>
  </si>
  <si>
    <t>AREA-06</t>
  </si>
  <si>
    <t>Redes y Comunicaciones</t>
  </si>
  <si>
    <t>UBI-06</t>
  </si>
  <si>
    <t>Cloud AWS</t>
  </si>
  <si>
    <t>AREA-07</t>
  </si>
  <si>
    <t>UBI-07</t>
  </si>
  <si>
    <t>Cloud Azure</t>
  </si>
  <si>
    <t>AREA-08</t>
  </si>
  <si>
    <t>Administración</t>
  </si>
  <si>
    <t>UBI-08</t>
  </si>
  <si>
    <t>Sala de Servidores</t>
  </si>
  <si>
    <t>AREA-09</t>
  </si>
  <si>
    <t>UBI-09</t>
  </si>
  <si>
    <t>Zona Desmilitarizada</t>
  </si>
  <si>
    <t>AREA-10</t>
  </si>
  <si>
    <t>Finanzas</t>
  </si>
  <si>
    <t>UBI-10</t>
  </si>
  <si>
    <t>Remoto/Teletrabajo</t>
  </si>
  <si>
    <t>Ubicación Remota</t>
  </si>
  <si>
    <t>CONFIGURACIÓN DE CLASES Y SUBCLASES DE ACTIVOS</t>
  </si>
  <si>
    <t>Defina las clases y subclases para clasificación detallada de activos.</t>
  </si>
  <si>
    <t>CLASES DE ACTIVOS</t>
  </si>
  <si>
    <t>SUBCLASES DE ACTIVOS</t>
  </si>
  <si>
    <t>ID_Clase</t>
  </si>
  <si>
    <t>Nombre_Clase</t>
  </si>
  <si>
    <t>ID_Subclase</t>
  </si>
  <si>
    <t>Clase_Padre</t>
  </si>
  <si>
    <t>Nombre_Subclase</t>
  </si>
  <si>
    <t>CLS-01</t>
  </si>
  <si>
    <t>SCLS-01</t>
  </si>
  <si>
    <t>Datos de Empleados</t>
  </si>
  <si>
    <t>CLS-02</t>
  </si>
  <si>
    <t>Datos Financieros</t>
  </si>
  <si>
    <t>SCLS-02</t>
  </si>
  <si>
    <t>CLS-03</t>
  </si>
  <si>
    <t>Propiedad Intelectual</t>
  </si>
  <si>
    <t>SCLS-03</t>
  </si>
  <si>
    <t>Información Bancaria</t>
  </si>
  <si>
    <t>CLS-04</t>
  </si>
  <si>
    <t>SCLS-04</t>
  </si>
  <si>
    <t>Registros Contables</t>
  </si>
  <si>
    <t>CLS-05</t>
  </si>
  <si>
    <t>SCLS-05</t>
  </si>
  <si>
    <t>Patentes</t>
  </si>
  <si>
    <t>CLS-06</t>
  </si>
  <si>
    <t>Credenciales y Accesos</t>
  </si>
  <si>
    <t>SCLS-06</t>
  </si>
  <si>
    <t>Diseños</t>
  </si>
  <si>
    <t>CLS-07</t>
  </si>
  <si>
    <t>Logs y Auditoría</t>
  </si>
  <si>
    <t>SCLS-07</t>
  </si>
  <si>
    <t>Métricas de Sistema</t>
  </si>
  <si>
    <t>CLS-08</t>
  </si>
  <si>
    <t>Backups</t>
  </si>
  <si>
    <t>SCLS-08</t>
  </si>
  <si>
    <t>CLS-09</t>
  </si>
  <si>
    <t>Documentación Técnica</t>
  </si>
  <si>
    <t>SCLS-09</t>
  </si>
  <si>
    <t>Configuración de Red</t>
  </si>
  <si>
    <t>CLS-10</t>
  </si>
  <si>
    <t>Código Fuente</t>
  </si>
  <si>
    <t>SCLS-10</t>
  </si>
  <si>
    <t>SCLS-11</t>
  </si>
  <si>
    <t>Contraseñas</t>
  </si>
  <si>
    <t>SCLS-12</t>
  </si>
  <si>
    <t>Certificados</t>
  </si>
  <si>
    <t>SCLS-13</t>
  </si>
  <si>
    <t>Logs de Acceso</t>
  </si>
  <si>
    <t>SCLS-14</t>
  </si>
  <si>
    <t>Logs de Seguridad</t>
  </si>
  <si>
    <t>SCLS-15</t>
  </si>
  <si>
    <t>Backups Completos</t>
  </si>
  <si>
    <t>SCLS-16</t>
  </si>
  <si>
    <t>Backups Incrementales</t>
  </si>
  <si>
    <t>REGISTRO DE ACCIONES DEL SISTEMA</t>
  </si>
  <si>
    <t>Usuario</t>
  </si>
  <si>
    <t>Detalles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</si>
</sst>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Calibri"/>
      <family val="2"/>
      <scheme val="minor"/>
    </font>
    <font>
      <b/>
      <sz val="14"/>
      <color rgb="FFFFFFFF"/>
      <name val="Segoe UI"/>
    </font>
    <font>
      <b/>
      <sz val="12"/>
      <color rgb="FFFFFFFF"/>
      <name val="Segoe UI"/>
    </font>
    <font>
      <b/>
      <sz val="9"/>
      <name val="Segoe UI"/>
    </font>
    <font>
      <sz val="9"/>
      <name val="Segoe UI"/>
    </font>
    <font>
      <b/>
      <sz val="10"/>
      <color rgb="FFFFFFFF"/>
      <name val="Segoe UI"/>
    </font>
    <font>
      <i/>
      <sz val="8"/>
      <name val="Segoe UI"/>
    </font>
    <font>
      <sz val="8"/>
      <name val="Segoe UI"/>
    </font>
    <font>
      <sz val="11"/>
      <color rgb="FFCCCCCC"/>
      <name val="Calibri"/>
    </font>
    <font>
      <b/>
      <sz val="9"/>
      <color rgb="FFFFFFFF"/>
      <name val="Segoe UI"/>
    </font>
    <font>
      <b/>
      <sz val="11"/>
      <color rgb="FFFFFFFF"/>
      <name val="Segoe UI"/>
    </font>
    <font>
      <b/>
      <sz val="10"/>
      <name val="Segoe UI"/>
    </font>
    <font>
      <b/>
      <sz val="9"/>
      <name val="Calibri"/>
    </font>
    <font>
      <sz val="8"/>
      <name val="Calibri"/>
    </font>
    <font>
      <b/>
      <sz val="9"/>
      <color rgb="FFFFFFFF"/>
      <name val="Calibri"/>
    </font>
    <font>
      <b/>
      <sz val="11"/>
      <color rgb="FFFFFFFF"/>
      <name val="Calibri"/>
    </font>
    <font>
      <sz val="9"/>
      <name val="Calibri"/>
    </font>
    <font>
      <b/>
      <sz val="16"/>
      <color rgb="FFFFFFFF"/>
      <name val="Arial"/>
    </font>
    <font>
      <b/>
      <sz val="9"/>
      <name val="Arial"/>
    </font>
    <font>
      <sz val="9"/>
      <name val="Arial"/>
    </font>
    <font>
      <b/>
      <sz val="12"/>
      <color rgb="FFFFFFFF"/>
      <name val="Arial"/>
    </font>
    <font>
      <sz val="10"/>
      <name val="Arial"/>
    </font>
    <font>
      <b/>
      <sz val="10"/>
      <name val="Arial"/>
    </font>
    <font>
      <b/>
      <sz val="10"/>
      <color rgb="FFFFFFFF"/>
      <name val="Arial"/>
    </font>
    <font>
      <i/>
      <sz val="9"/>
      <name val="Arial"/>
    </font>
    <font>
      <b/>
      <sz val="9"/>
      <color rgb="FFFFFFFF"/>
      <name val="Arial"/>
    </font>
    <font>
      <b/>
      <sz val="11"/>
      <color rgb="FFFFFFFF"/>
      <name val="Arial"/>
    </font>
    <font>
      <b/>
      <sz val="16"/>
      <color rgb="FF1F4E78"/>
      <name val="Calibri"/>
    </font>
    <font>
      <b/>
      <sz val="14"/>
      <color rgb="FF4472C4"/>
      <name val="Calibri"/>
    </font>
    <font>
      <b/>
      <sz val="11"/>
      <name val="Calibri"/>
    </font>
    <font>
      <b/>
      <sz val="14"/>
      <color rgb="FF1F4E78"/>
      <name val="Calibri"/>
    </font>
    <font>
      <b/>
      <sz val="12"/>
      <color rgb="FF1F4E78"/>
      <name val="Calibri"/>
    </font>
    <font>
      <b/>
      <sz val="11"/>
      <color rgb="FF1F4E78"/>
      <name val="Calibri"/>
    </font>
    <font>
      <b/>
      <sz val="12"/>
      <name val="Calibri"/>
    </font>
    <font>
      <b/>
      <sz val="12"/>
      <color rgb="FFFFFFFF"/>
      <name val="Calibri"/>
    </font>
    <font>
      <i/>
      <sz val="9"/>
      <name val="Calibri"/>
    </font>
    <font>
      <b/>
      <sz val="18"/>
      <color rgb="FFFFFFFF"/>
      <name val="Arial"/>
    </font>
    <font>
      <i/>
      <sz val="10"/>
      <name val="Arial"/>
    </font>
    <font>
      <b/>
      <sz val="12"/>
      <color rgb="FFFFFFFF"/>
      <name val="Arial"/>
    </font>
    <font>
      <b/>
      <sz val="11"/>
      <color rgb="FFFFFFFF"/>
      <name val="Arial"/>
    </font>
    <font>
      <b/>
      <sz val="14"/>
      <color rgb="FFFFFFFF"/>
      <name val="Arial"/>
    </font>
    <font>
      <b/>
      <sz val="10"/>
      <color rgb="FFFFFFFF"/>
      <name val="Arial"/>
    </font>
  </fonts>
  <fills count="29">
    <fill>
      <patternFill patternType="none"/>
    </fill>
    <fill>
      <patternFill patternType="gray125"/>
    </fill>
    <fill>
      <patternFill patternType="solid">
        <fgColor rgb="FF0A2647"/>
        <bgColor rgb="FF0A2647"/>
      </patternFill>
    </fill>
    <fill>
      <patternFill patternType="solid">
        <fgColor rgb="FF144272"/>
        <bgColor rgb="FF144272"/>
      </patternFill>
    </fill>
    <fill>
      <patternFill patternType="solid">
        <fgColor rgb="FFE8F4F8"/>
        <bgColor rgb="FFE8F4F8"/>
      </patternFill>
    </fill>
    <fill>
      <patternFill patternType="solid">
        <fgColor rgb="FF2C74B3"/>
        <bgColor rgb="FF2C74B3"/>
      </patternFill>
    </fill>
    <fill>
      <patternFill patternType="solid">
        <fgColor rgb="FF205295"/>
        <bgColor rgb="FF205295"/>
      </patternFill>
    </fill>
    <fill>
      <patternFill patternType="solid">
        <fgColor rgb="FFFF6B35"/>
        <bgColor rgb="FFFF6B35"/>
      </patternFill>
    </fill>
    <fill>
      <patternFill patternType="solid">
        <fgColor rgb="FFC62828"/>
        <bgColor rgb="FFC62828"/>
      </patternFill>
    </fill>
    <fill>
      <patternFill patternType="solid">
        <fgColor rgb="FFC6EFCE"/>
        <bgColor rgb="FFC6EFCE"/>
      </patternFill>
    </fill>
    <fill>
      <patternFill patternType="solid">
        <fgColor rgb="FF1F4E78"/>
        <bgColor rgb="FF1F4E78"/>
      </patternFill>
    </fill>
    <fill>
      <patternFill patternType="solid">
        <fgColor rgb="FFE7E6E6"/>
        <bgColor rgb="FFE7E6E6"/>
      </patternFill>
    </fill>
    <fill>
      <patternFill patternType="solid">
        <fgColor rgb="FF4472C4"/>
        <bgColor rgb="FF4472C4"/>
      </patternFill>
    </fill>
    <fill>
      <patternFill patternType="solid">
        <fgColor rgb="FF00B0F0"/>
        <bgColor rgb="FF00B0F0"/>
      </patternFill>
    </fill>
    <fill>
      <patternFill patternType="solid">
        <fgColor rgb="FFFFF2CC"/>
        <bgColor rgb="FFFFF2CC"/>
      </patternFill>
    </fill>
    <fill>
      <patternFill patternType="solid">
        <fgColor rgb="FFC00000"/>
        <bgColor rgb="FFC00000"/>
      </patternFill>
    </fill>
    <fill>
      <patternFill patternType="solid">
        <fgColor rgb="FFFF6B00"/>
        <bgColor rgb="FFFF6B00"/>
      </patternFill>
    </fill>
    <fill>
      <patternFill patternType="solid">
        <fgColor rgb="FFFFC000"/>
        <bgColor rgb="FFFFC000"/>
      </patternFill>
    </fill>
    <fill>
      <patternFill patternType="solid">
        <fgColor rgb="FF92D050"/>
        <bgColor rgb="FF92D050"/>
      </patternFill>
    </fill>
    <fill>
      <patternFill patternType="solid">
        <fgColor rgb="FFFF0000"/>
        <bgColor rgb="FFFF0000"/>
      </patternFill>
    </fill>
    <fill>
      <patternFill patternType="solid">
        <fgColor rgb="FFD9E1F2"/>
        <bgColor rgb="FFD9E1F2"/>
      </patternFill>
    </fill>
    <fill>
      <patternFill patternType="solid">
        <fgColor rgb="FFFFFF00"/>
        <bgColor rgb="FFFFFF00"/>
      </patternFill>
    </fill>
    <fill>
      <patternFill patternType="solid">
        <fgColor rgb="FF44546A"/>
        <bgColor rgb="FF44546A"/>
      </patternFill>
    </fill>
    <fill>
      <patternFill patternType="solid">
        <fgColor rgb="FF1F4E78"/>
        <bgColor rgb="FF1F4E78"/>
      </patternFill>
    </fill>
    <fill>
      <patternFill patternType="solid">
        <fgColor rgb="FF4472C4"/>
        <bgColor rgb="FF4472C4"/>
      </patternFill>
    </fill>
    <fill>
      <patternFill patternType="solid">
        <fgColor rgb="FFFF6B00"/>
        <bgColor rgb="FFFF6B00"/>
      </patternFill>
    </fill>
    <fill>
      <patternFill patternType="solid">
        <fgColor rgb="FF92D050"/>
        <bgColor rgb="FF92D050"/>
      </patternFill>
    </fill>
    <fill>
      <patternFill patternType="solid">
        <fgColor rgb="FF00B0F0"/>
        <bgColor rgb="FF00B0F0"/>
      </patternFill>
    </fill>
    <fill>
      <patternFill patternType="solid">
        <fgColor rgb="FFFFC000"/>
        <bgColor rgb="FFFFC000"/>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157">
    <xf numFmtId="0" fontId="0" fillId="0" borderId="0" xfId="0"/>
    <xf numFmtId="0" fontId="3" fillId="4" borderId="1" xfId="0" applyFont="1" applyFill="1" applyBorder="1" applyAlignment="1">
      <alignment horizontal="right" vertical="center"/>
    </xf>
    <xf numFmtId="0" fontId="6" fillId="0" borderId="0" xfId="0" applyFont="1"/>
    <xf numFmtId="0" fontId="9" fillId="6" borderId="1" xfId="0" applyFont="1" applyFill="1" applyBorder="1" applyAlignment="1">
      <alignment horizontal="center" vertical="center" wrapText="1"/>
    </xf>
    <xf numFmtId="0" fontId="7" fillId="0" borderId="1" xfId="0" applyFont="1" applyBorder="1" applyAlignment="1">
      <alignment horizontal="left" vertical="center"/>
    </xf>
    <xf numFmtId="0" fontId="12" fillId="6" borderId="0" xfId="0" applyFont="1" applyFill="1" applyAlignment="1">
      <alignment horizontal="center" vertical="center"/>
    </xf>
    <xf numFmtId="0" fontId="13" fillId="0" borderId="0" xfId="0" applyFont="1" applyAlignment="1">
      <alignment horizontal="left" vertical="center"/>
    </xf>
    <xf numFmtId="0" fontId="12" fillId="6" borderId="0" xfId="0" applyFont="1" applyFill="1" applyAlignment="1">
      <alignment horizontal="center" vertical="center" wrapText="1"/>
    </xf>
    <xf numFmtId="0" fontId="12" fillId="6" borderId="0" xfId="0" applyFont="1" applyFill="1"/>
    <xf numFmtId="0" fontId="13" fillId="0" borderId="0" xfId="0" applyFont="1"/>
    <xf numFmtId="0" fontId="12" fillId="0" borderId="0" xfId="0" applyFont="1"/>
    <xf numFmtId="0" fontId="14" fillId="8" borderId="0" xfId="0" applyFont="1" applyFill="1" applyAlignment="1">
      <alignment horizontal="center" vertical="center" wrapText="1"/>
    </xf>
    <xf numFmtId="0" fontId="13" fillId="0" borderId="1" xfId="0" applyFont="1" applyBorder="1" applyAlignment="1">
      <alignment horizontal="left" vertical="center" wrapText="1"/>
    </xf>
    <xf numFmtId="0" fontId="13" fillId="9" borderId="1" xfId="0" applyFont="1" applyFill="1" applyBorder="1" applyAlignment="1">
      <alignment horizontal="left" vertical="center" wrapText="1"/>
    </xf>
    <xf numFmtId="0" fontId="14" fillId="6" borderId="0" xfId="0" applyFont="1" applyFill="1" applyAlignment="1">
      <alignment horizontal="center" vertical="center"/>
    </xf>
    <xf numFmtId="0" fontId="18" fillId="11" borderId="0" xfId="0" applyFont="1" applyFill="1"/>
    <xf numFmtId="0" fontId="19" fillId="0" borderId="0" xfId="0" applyFont="1"/>
    <xf numFmtId="0" fontId="22" fillId="0" borderId="0" xfId="0" applyFont="1"/>
    <xf numFmtId="0" fontId="23" fillId="10" borderId="0" xfId="0" applyFont="1" applyFill="1" applyAlignment="1">
      <alignment horizontal="center" vertical="center" wrapText="1"/>
    </xf>
    <xf numFmtId="0" fontId="19" fillId="0" borderId="1" xfId="0" applyFont="1" applyBorder="1" applyAlignment="1">
      <alignment horizontal="left" vertical="top" wrapText="1"/>
    </xf>
    <xf numFmtId="0" fontId="22" fillId="11" borderId="0" xfId="0" applyFont="1" applyFill="1" applyAlignment="1">
      <alignment horizontal="center" vertical="center"/>
    </xf>
    <xf numFmtId="0" fontId="19" fillId="0" borderId="0" xfId="0" applyFont="1" applyAlignment="1">
      <alignment horizontal="left" vertical="top" wrapText="1"/>
    </xf>
    <xf numFmtId="0" fontId="23" fillId="10" borderId="0" xfId="0" applyFont="1" applyFill="1" applyAlignment="1">
      <alignment horizontal="center" vertical="center"/>
    </xf>
    <xf numFmtId="0" fontId="19" fillId="0" borderId="0" xfId="0" applyFont="1" applyAlignment="1">
      <alignment horizontal="left" vertical="center" wrapText="1"/>
    </xf>
    <xf numFmtId="0" fontId="19" fillId="0" borderId="0" xfId="0" applyFont="1" applyAlignment="1">
      <alignment wrapText="1"/>
    </xf>
    <xf numFmtId="0" fontId="25" fillId="15" borderId="0" xfId="0" applyFont="1" applyFill="1" applyAlignment="1">
      <alignment horizontal="center"/>
    </xf>
    <xf numFmtId="0" fontId="25" fillId="16" borderId="0" xfId="0" applyFont="1" applyFill="1" applyAlignment="1">
      <alignment horizontal="center"/>
    </xf>
    <xf numFmtId="0" fontId="25" fillId="17" borderId="0" xfId="0" applyFont="1" applyFill="1" applyAlignment="1">
      <alignment horizontal="center"/>
    </xf>
    <xf numFmtId="0" fontId="19" fillId="0" borderId="0" xfId="0" applyFont="1" applyAlignment="1">
      <alignment vertical="top" wrapText="1"/>
    </xf>
    <xf numFmtId="0" fontId="19" fillId="0" borderId="0" xfId="0" applyFont="1" applyAlignment="1">
      <alignment horizontal="center"/>
    </xf>
    <xf numFmtId="0" fontId="18" fillId="0" borderId="0" xfId="0" applyFont="1"/>
    <xf numFmtId="0" fontId="19" fillId="0" borderId="0" xfId="0" applyFont="1" applyAlignment="1">
      <alignment horizontal="right"/>
    </xf>
    <xf numFmtId="0" fontId="23" fillId="16" borderId="0" xfId="0" applyFont="1" applyFill="1"/>
    <xf numFmtId="0" fontId="23" fillId="16" borderId="0" xfId="0" applyFont="1" applyFill="1" applyAlignment="1">
      <alignment horizontal="right"/>
    </xf>
    <xf numFmtId="0" fontId="23" fillId="16" borderId="0" xfId="0" applyFont="1" applyFill="1" applyAlignment="1">
      <alignment wrapText="1"/>
    </xf>
    <xf numFmtId="0" fontId="19" fillId="0" borderId="0" xfId="0" applyFont="1" applyAlignment="1">
      <alignment vertical="center" wrapText="1"/>
    </xf>
    <xf numFmtId="0" fontId="25" fillId="16" borderId="0" xfId="0" applyFont="1" applyFill="1" applyAlignment="1">
      <alignment horizontal="center" vertical="center"/>
    </xf>
    <xf numFmtId="0" fontId="25" fillId="17" borderId="0" xfId="0" applyFont="1" applyFill="1" applyAlignment="1">
      <alignment horizontal="center" vertical="center"/>
    </xf>
    <xf numFmtId="0" fontId="19" fillId="0" borderId="0" xfId="0" applyFont="1" applyAlignment="1">
      <alignment horizontal="center" vertical="center"/>
    </xf>
    <xf numFmtId="0" fontId="19" fillId="0" borderId="0" xfId="0" applyFont="1" applyAlignment="1">
      <alignment horizontal="left" vertical="center"/>
    </xf>
    <xf numFmtId="0" fontId="18" fillId="0" borderId="0" xfId="0" applyFont="1" applyAlignment="1">
      <alignment horizontal="center"/>
    </xf>
    <xf numFmtId="0" fontId="18" fillId="0" borderId="0" xfId="0" applyFont="1" applyAlignment="1">
      <alignment horizontal="right" vertical="center"/>
    </xf>
    <xf numFmtId="0" fontId="22" fillId="17" borderId="0" xfId="0" applyFont="1" applyFill="1"/>
    <xf numFmtId="0" fontId="18" fillId="0" borderId="0" xfId="0" applyFont="1" applyAlignment="1">
      <alignment horizontal="right"/>
    </xf>
    <xf numFmtId="0" fontId="26" fillId="15" borderId="0" xfId="0" applyFont="1" applyFill="1"/>
    <xf numFmtId="0" fontId="25" fillId="18" borderId="0" xfId="0" applyFont="1" applyFill="1" applyAlignment="1">
      <alignment horizontal="center"/>
    </xf>
    <xf numFmtId="0" fontId="25" fillId="13" borderId="0" xfId="0" applyFont="1" applyFill="1" applyAlignment="1">
      <alignment horizontal="center"/>
    </xf>
    <xf numFmtId="0" fontId="29" fillId="0" borderId="0" xfId="0" applyFont="1"/>
    <xf numFmtId="0" fontId="15" fillId="10" borderId="1" xfId="0" applyFont="1" applyFill="1" applyBorder="1" applyAlignment="1">
      <alignment horizontal="center" vertical="center" wrapText="1"/>
    </xf>
    <xf numFmtId="0" fontId="0" fillId="0" borderId="1" xfId="0" applyBorder="1"/>
    <xf numFmtId="0" fontId="15" fillId="19" borderId="1" xfId="0" applyFont="1" applyFill="1" applyBorder="1"/>
    <xf numFmtId="14" fontId="0" fillId="0" borderId="0" xfId="0" applyNumberFormat="1"/>
    <xf numFmtId="0" fontId="29" fillId="20" borderId="0" xfId="0" applyFont="1" applyFill="1"/>
    <xf numFmtId="0" fontId="29" fillId="20" borderId="0" xfId="0" applyFont="1" applyFill="1" applyAlignment="1">
      <alignment horizontal="center" vertical="center" wrapText="1"/>
    </xf>
    <xf numFmtId="0" fontId="29" fillId="20" borderId="0" xfId="0" applyFont="1" applyFill="1" applyAlignment="1">
      <alignment horizontal="center" vertical="center"/>
    </xf>
    <xf numFmtId="0" fontId="33" fillId="21" borderId="1" xfId="0" applyFont="1" applyFill="1" applyBorder="1" applyAlignment="1">
      <alignment horizontal="center" vertical="center"/>
    </xf>
    <xf numFmtId="0" fontId="34" fillId="19" borderId="1" xfId="0" applyFont="1" applyFill="1" applyBorder="1" applyAlignment="1">
      <alignment horizontal="center" vertical="center"/>
    </xf>
    <xf numFmtId="0" fontId="34" fillId="15" borderId="1" xfId="0" applyFont="1" applyFill="1" applyBorder="1" applyAlignment="1">
      <alignment horizontal="center" vertical="center"/>
    </xf>
    <xf numFmtId="0" fontId="33" fillId="17" borderId="1" xfId="0" applyFont="1" applyFill="1" applyBorder="1" applyAlignment="1">
      <alignment horizontal="center" vertical="center"/>
    </xf>
    <xf numFmtId="0" fontId="33" fillId="18" borderId="1" xfId="0" applyFont="1" applyFill="1" applyBorder="1" applyAlignment="1">
      <alignment horizontal="center" vertical="center"/>
    </xf>
    <xf numFmtId="0" fontId="15" fillId="15" borderId="0" xfId="0" applyFont="1" applyFill="1"/>
    <xf numFmtId="0" fontId="15" fillId="19" borderId="0" xfId="0" applyFont="1" applyFill="1"/>
    <xf numFmtId="0" fontId="29" fillId="17" borderId="0" xfId="0" applyFont="1" applyFill="1"/>
    <xf numFmtId="0" fontId="29" fillId="21" borderId="0" xfId="0" applyFont="1" applyFill="1"/>
    <xf numFmtId="0" fontId="29" fillId="18" borderId="0" xfId="0" applyFont="1" applyFill="1"/>
    <xf numFmtId="0" fontId="29" fillId="17" borderId="1" xfId="0" applyFont="1" applyFill="1" applyBorder="1"/>
    <xf numFmtId="0" fontId="29" fillId="12" borderId="0" xfId="0" applyFont="1" applyFill="1"/>
    <xf numFmtId="0" fontId="15" fillId="12" borderId="1" xfId="0" applyFont="1" applyFill="1" applyBorder="1"/>
    <xf numFmtId="0" fontId="41" fillId="24" borderId="0" xfId="0" applyFont="1" applyFill="1"/>
    <xf numFmtId="0" fontId="39" fillId="28" borderId="0" xfId="0" applyFont="1" applyFill="1" applyAlignment="1">
      <alignment horizontal="center" vertical="center"/>
    </xf>
    <xf numFmtId="0" fontId="0" fillId="0" borderId="0" xfId="0"/>
    <xf numFmtId="0" fontId="24" fillId="0" borderId="0" xfId="0" applyFont="1" applyAlignment="1">
      <alignment horizontal="left" vertical="center"/>
    </xf>
    <xf numFmtId="0" fontId="39" fillId="24" borderId="4" xfId="0" applyFont="1" applyFill="1" applyBorder="1" applyAlignment="1">
      <alignment horizontal="left" vertical="center"/>
    </xf>
    <xf numFmtId="0" fontId="38" fillId="24" borderId="0" xfId="0" applyFont="1" applyFill="1" applyAlignment="1">
      <alignment horizontal="center" vertical="center"/>
    </xf>
    <xf numFmtId="0" fontId="19" fillId="0" borderId="0" xfId="0" applyFont="1" applyAlignment="1">
      <alignment horizontal="left" vertical="center" wrapText="1"/>
    </xf>
    <xf numFmtId="0" fontId="39" fillId="25" borderId="4" xfId="0" applyFont="1" applyFill="1" applyBorder="1" applyAlignment="1">
      <alignment horizontal="left" vertical="center"/>
    </xf>
    <xf numFmtId="0" fontId="39" fillId="27" borderId="4" xfId="0" applyFont="1" applyFill="1" applyBorder="1" applyAlignment="1">
      <alignment horizontal="left" vertical="center"/>
    </xf>
    <xf numFmtId="0" fontId="36" fillId="23" borderId="0" xfId="0" applyFont="1" applyFill="1" applyAlignment="1">
      <alignment horizontal="center" vertical="center"/>
    </xf>
    <xf numFmtId="0" fontId="37" fillId="0" borderId="0" xfId="0" applyFont="1" applyAlignment="1">
      <alignment horizontal="center"/>
    </xf>
    <xf numFmtId="0" fontId="39" fillId="26" borderId="4" xfId="0" applyFont="1" applyFill="1" applyBorder="1" applyAlignment="1">
      <alignment horizontal="left" vertical="center"/>
    </xf>
    <xf numFmtId="0" fontId="8" fillId="0" borderId="0" xfId="0" applyFont="1" applyAlignment="1">
      <alignment horizontal="center"/>
    </xf>
    <xf numFmtId="0" fontId="4" fillId="0" borderId="1" xfId="0" applyFont="1" applyBorder="1" applyAlignment="1">
      <alignment horizontal="left" vertical="center"/>
    </xf>
    <xf numFmtId="0" fontId="0" fillId="0" borderId="2" xfId="0" applyBorder="1"/>
    <xf numFmtId="0" fontId="0" fillId="0" borderId="3" xfId="0" applyBorder="1"/>
    <xf numFmtId="0" fontId="5" fillId="5" borderId="0" xfId="0" applyFont="1" applyFill="1" applyAlignment="1">
      <alignment horizontal="center" vertical="center"/>
    </xf>
    <xf numFmtId="0" fontId="7" fillId="0" borderId="0" xfId="0" applyFont="1"/>
    <xf numFmtId="0" fontId="2" fillId="3" borderId="0" xfId="0" applyFont="1" applyFill="1" applyAlignment="1">
      <alignment horizontal="center" vertical="center"/>
    </xf>
    <xf numFmtId="0" fontId="1" fillId="2" borderId="0" xfId="0" applyFont="1" applyFill="1" applyAlignment="1">
      <alignment horizontal="center" vertical="center"/>
    </xf>
    <xf numFmtId="0" fontId="4" fillId="0" borderId="0" xfId="0" applyFont="1" applyAlignment="1">
      <alignment horizontal="left" vertical="top" wrapText="1" indent="2"/>
    </xf>
    <xf numFmtId="0" fontId="11" fillId="4" borderId="0" xfId="0" applyFont="1" applyFill="1" applyAlignment="1">
      <alignment horizontal="left" vertical="center" indent="1"/>
    </xf>
    <xf numFmtId="0" fontId="10" fillId="5" borderId="0" xfId="0" applyFont="1" applyFill="1" applyAlignment="1">
      <alignment horizontal="left" vertical="center" indent="1"/>
    </xf>
    <xf numFmtId="0" fontId="10" fillId="7" borderId="0" xfId="0" applyFont="1" applyFill="1" applyAlignment="1">
      <alignment horizontal="center" vertical="center"/>
    </xf>
    <xf numFmtId="0" fontId="13" fillId="0" borderId="0" xfId="0" applyFont="1"/>
    <xf numFmtId="0" fontId="11" fillId="4" borderId="0" xfId="0" applyFont="1" applyFill="1"/>
    <xf numFmtId="0" fontId="15" fillId="5" borderId="0" xfId="0" applyFont="1" applyFill="1"/>
    <xf numFmtId="0" fontId="16" fillId="0" borderId="0" xfId="0" applyFont="1"/>
    <xf numFmtId="0" fontId="13" fillId="0" borderId="0" xfId="0" applyFont="1" applyAlignment="1">
      <alignment wrapText="1"/>
    </xf>
    <xf numFmtId="0" fontId="21" fillId="0" borderId="0" xfId="0" applyFont="1"/>
    <xf numFmtId="0" fontId="19" fillId="0" borderId="0" xfId="0" applyFont="1"/>
    <xf numFmtId="0" fontId="20" fillId="12" borderId="0" xfId="0" applyFont="1" applyFill="1"/>
    <xf numFmtId="0" fontId="17" fillId="10" borderId="0" xfId="0" applyFont="1" applyFill="1" applyAlignment="1">
      <alignment horizontal="center" vertical="center"/>
    </xf>
    <xf numFmtId="0" fontId="19" fillId="0" borderId="0" xfId="0" applyFont="1" applyAlignment="1">
      <alignment vertical="top" wrapText="1"/>
    </xf>
    <xf numFmtId="0" fontId="24" fillId="14" borderId="0" xfId="0" applyFont="1" applyFill="1" applyAlignment="1">
      <alignment vertical="top" wrapText="1"/>
    </xf>
    <xf numFmtId="0" fontId="21" fillId="0" borderId="0" xfId="0" applyFont="1" applyAlignment="1">
      <alignment wrapText="1"/>
    </xf>
    <xf numFmtId="0" fontId="19" fillId="0" borderId="0" xfId="0" applyFont="1" applyAlignment="1">
      <alignment wrapText="1"/>
    </xf>
    <xf numFmtId="0" fontId="26" fillId="13" borderId="0" xfId="0" applyFont="1" applyFill="1"/>
    <xf numFmtId="0" fontId="26" fillId="15" borderId="0" xfId="0" applyFont="1" applyFill="1"/>
    <xf numFmtId="0" fontId="21" fillId="0" borderId="0" xfId="0" applyFont="1" applyAlignment="1">
      <alignment vertical="center" wrapText="1"/>
    </xf>
    <xf numFmtId="0" fontId="28" fillId="0" borderId="0" xfId="0" applyFont="1"/>
    <xf numFmtId="0" fontId="27" fillId="0" borderId="0" xfId="0" applyFont="1"/>
    <xf numFmtId="0" fontId="30" fillId="0" borderId="0" xfId="0" applyFont="1"/>
    <xf numFmtId="0" fontId="31" fillId="0" borderId="0" xfId="0" applyFont="1"/>
    <xf numFmtId="0" fontId="32" fillId="0" borderId="0" xfId="0" applyFont="1"/>
    <xf numFmtId="0" fontId="15" fillId="22" borderId="0" xfId="0" applyFont="1" applyFill="1" applyAlignment="1">
      <alignment horizontal="center"/>
    </xf>
    <xf numFmtId="0" fontId="35" fillId="0" borderId="0" xfId="0" applyFont="1"/>
    <xf numFmtId="0" fontId="40" fillId="23" borderId="0" xfId="0" applyFont="1" applyFill="1"/>
    <xf numFmtId="0" fontId="20" fillId="12" borderId="1" xfId="0" applyFont="1" applyFill="1" applyBorder="1"/>
    <xf numFmtId="0" fontId="0" fillId="0" borderId="1" xfId="0" applyBorder="1"/>
    <xf numFmtId="0" fontId="21" fillId="0" borderId="1" xfId="0" applyFont="1" applyBorder="1"/>
    <xf numFmtId="0" fontId="21" fillId="0" borderId="1" xfId="0" applyFont="1" applyBorder="1"/>
    <xf numFmtId="0" fontId="21" fillId="0" borderId="1" xfId="0" applyFont="1" applyBorder="1" applyAlignment="1">
      <alignment horizontal="right"/>
    </xf>
    <xf numFmtId="0" fontId="22" fillId="13" borderId="1" xfId="0" applyFont="1" applyFill="1" applyBorder="1"/>
    <xf numFmtId="0" fontId="22" fillId="13" borderId="1" xfId="0" applyFont="1" applyFill="1" applyBorder="1" applyAlignment="1">
      <alignment horizontal="right"/>
    </xf>
    <xf numFmtId="0" fontId="16" fillId="0" borderId="1" xfId="0" applyFont="1" applyBorder="1" applyAlignment="1">
      <alignment horizontal="left" vertical="center" indent="1"/>
    </xf>
    <xf numFmtId="0" fontId="22" fillId="0" borderId="1" xfId="0" applyFont="1" applyBorder="1"/>
    <xf numFmtId="0" fontId="21" fillId="0" borderId="1" xfId="0" applyFont="1" applyBorder="1" applyAlignment="1">
      <alignment horizontal="left" wrapText="1"/>
    </xf>
    <xf numFmtId="0" fontId="6" fillId="0" borderId="1" xfId="0" applyFont="1" applyBorder="1"/>
    <xf numFmtId="0" fontId="7" fillId="0" borderId="1" xfId="0" applyFont="1" applyBorder="1"/>
    <xf numFmtId="0" fontId="8" fillId="0" borderId="1" xfId="0" applyFont="1" applyBorder="1" applyAlignment="1">
      <alignment horizontal="center"/>
    </xf>
    <xf numFmtId="0" fontId="20" fillId="12" borderId="1" xfId="0" applyFont="1" applyFill="1" applyBorder="1" applyAlignment="1">
      <alignment horizontal="center" vertical="center"/>
    </xf>
    <xf numFmtId="0" fontId="21" fillId="0" borderId="1" xfId="0" applyFont="1" applyBorder="1" applyAlignment="1">
      <alignment horizontal="left" vertical="center" wrapText="1"/>
    </xf>
    <xf numFmtId="0" fontId="5" fillId="5" borderId="1" xfId="0" applyFont="1" applyFill="1" applyBorder="1" applyAlignment="1">
      <alignment horizontal="center" vertical="center"/>
    </xf>
    <xf numFmtId="0" fontId="0" fillId="0" borderId="0" xfId="0" applyBorder="1"/>
    <xf numFmtId="0" fontId="17" fillId="10" borderId="1" xfId="0" applyFont="1" applyFill="1" applyBorder="1" applyAlignment="1">
      <alignment horizontal="center" vertical="center"/>
    </xf>
    <xf numFmtId="0" fontId="18" fillId="11" borderId="1" xfId="0" applyFont="1" applyFill="1" applyBorder="1"/>
    <xf numFmtId="0" fontId="19" fillId="0" borderId="1" xfId="0" applyFont="1" applyBorder="1"/>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Border="1"/>
    <xf numFmtId="0" fontId="3" fillId="4" borderId="0" xfId="0" applyFont="1" applyFill="1" applyBorder="1" applyAlignment="1">
      <alignment horizontal="right" vertical="center"/>
    </xf>
    <xf numFmtId="0" fontId="4" fillId="0" borderId="0" xfId="0" applyFont="1" applyBorder="1" applyAlignment="1">
      <alignment horizontal="left" vertical="center"/>
    </xf>
    <xf numFmtId="0" fontId="6" fillId="0" borderId="0" xfId="0" applyFont="1" applyBorder="1"/>
    <xf numFmtId="0" fontId="7" fillId="0" borderId="0" xfId="0" applyFont="1" applyBorder="1"/>
    <xf numFmtId="0" fontId="15" fillId="8" borderId="0" xfId="0" applyFont="1" applyFill="1" applyBorder="1"/>
    <xf numFmtId="0" fontId="16" fillId="0" borderId="0" xfId="0" applyFont="1" applyBorder="1" applyAlignment="1">
      <alignment horizontal="left" vertical="center" indent="1"/>
    </xf>
    <xf numFmtId="0" fontId="15" fillId="5" borderId="1" xfId="0" applyFont="1" applyFill="1" applyBorder="1"/>
    <xf numFmtId="0" fontId="14" fillId="6" borderId="1" xfId="0" applyFont="1" applyFill="1" applyBorder="1" applyAlignment="1">
      <alignment horizontal="center" vertical="center" wrapText="1"/>
    </xf>
    <xf numFmtId="0" fontId="23" fillId="10" borderId="1" xfId="0" applyFont="1" applyFill="1" applyBorder="1" applyAlignment="1">
      <alignment horizontal="center" vertical="center" wrapText="1"/>
    </xf>
    <xf numFmtId="0" fontId="22" fillId="11" borderId="1" xfId="0" applyFont="1" applyFill="1" applyBorder="1" applyAlignment="1">
      <alignment horizontal="center" vertical="center"/>
    </xf>
    <xf numFmtId="0" fontId="19" fillId="0" borderId="1" xfId="0" applyFont="1" applyBorder="1" applyAlignment="1">
      <alignment horizontal="left" vertical="top" wrapText="1"/>
    </xf>
    <xf numFmtId="0" fontId="24" fillId="14" borderId="1" xfId="0" applyFont="1" applyFill="1" applyBorder="1" applyAlignment="1">
      <alignment horizontal="left" vertical="top" wrapText="1"/>
    </xf>
    <xf numFmtId="0" fontId="23" fillId="15" borderId="1" xfId="0" applyFont="1" applyFill="1" applyBorder="1" applyAlignment="1">
      <alignment horizontal="center" vertical="center"/>
    </xf>
    <xf numFmtId="0" fontId="23" fillId="16" borderId="1" xfId="0" applyFont="1" applyFill="1" applyBorder="1" applyAlignment="1">
      <alignment horizontal="center" vertical="center"/>
    </xf>
    <xf numFmtId="0" fontId="23" fillId="17" borderId="1" xfId="0" applyFont="1" applyFill="1" applyBorder="1" applyAlignment="1">
      <alignment horizontal="center" vertical="center"/>
    </xf>
    <xf numFmtId="0" fontId="23" fillId="18" borderId="1" xfId="0" applyFont="1" applyFill="1" applyBorder="1" applyAlignment="1">
      <alignment horizontal="center" vertical="center"/>
    </xf>
    <xf numFmtId="0" fontId="23" fillId="10" borderId="1" xfId="0" applyFont="1" applyFill="1" applyBorder="1" applyAlignment="1">
      <alignment horizontal="center" vertical="center"/>
    </xf>
    <xf numFmtId="0" fontId="19"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H40"/>
  <sheetViews>
    <sheetView workbookViewId="0"/>
  </sheetViews>
  <sheetFormatPr baseColWidth="10" defaultColWidth="9.140625" defaultRowHeight="15"/>
  <cols>
    <col min="1" max="1" width="8" customWidth="1"/>
    <col min="2" max="2" width="28" customWidth="1"/>
    <col min="3" max="3" width="8" customWidth="1"/>
    <col min="4" max="4" width="45" customWidth="1"/>
  </cols>
  <sheetData>
    <row r="1" spans="1:8" ht="39.950000000000003" customHeight="1">
      <c r="A1" s="77" t="s">
        <v>0</v>
      </c>
      <c r="B1" s="70"/>
      <c r="C1" s="70"/>
      <c r="D1" s="70"/>
      <c r="E1" s="70"/>
      <c r="F1" s="70"/>
      <c r="G1" s="70"/>
      <c r="H1" s="70"/>
    </row>
    <row r="3" spans="1:8">
      <c r="A3" s="78" t="s">
        <v>1</v>
      </c>
      <c r="B3" s="70"/>
      <c r="C3" s="70"/>
      <c r="D3" s="70"/>
      <c r="E3" s="70"/>
      <c r="F3" s="70"/>
      <c r="G3" s="70"/>
      <c r="H3" s="70"/>
    </row>
    <row r="5" spans="1:8" ht="24.95" customHeight="1">
      <c r="A5" s="73" t="s">
        <v>2</v>
      </c>
      <c r="B5" s="70"/>
      <c r="C5" s="70"/>
      <c r="D5" s="70"/>
    </row>
    <row r="6" spans="1:8" ht="30" customHeight="1">
      <c r="A6" s="72" t="s">
        <v>3</v>
      </c>
      <c r="B6" s="70"/>
      <c r="C6" s="71" t="s">
        <v>4</v>
      </c>
      <c r="D6" s="70"/>
    </row>
    <row r="7" spans="1:8" ht="30" customHeight="1">
      <c r="A7" s="72" t="s">
        <v>5</v>
      </c>
      <c r="B7" s="70"/>
      <c r="C7" s="71" t="s">
        <v>6</v>
      </c>
      <c r="D7" s="70"/>
    </row>
    <row r="8" spans="1:8" ht="30" customHeight="1">
      <c r="A8" s="72" t="s">
        <v>7</v>
      </c>
      <c r="B8" s="70"/>
      <c r="C8" s="71" t="s">
        <v>8</v>
      </c>
      <c r="D8" s="70"/>
    </row>
    <row r="9" spans="1:8" ht="30" customHeight="1">
      <c r="A9" s="72" t="s">
        <v>9</v>
      </c>
      <c r="B9" s="70"/>
      <c r="C9" s="71" t="s">
        <v>10</v>
      </c>
      <c r="D9" s="70"/>
    </row>
    <row r="10" spans="1:8" ht="30" customHeight="1">
      <c r="A10" s="72" t="s">
        <v>11</v>
      </c>
      <c r="B10" s="70"/>
      <c r="C10" s="71" t="s">
        <v>12</v>
      </c>
      <c r="D10" s="70"/>
    </row>
    <row r="11" spans="1:8" ht="30" customHeight="1">
      <c r="A11" s="72" t="s">
        <v>13</v>
      </c>
      <c r="B11" s="70"/>
      <c r="C11" s="71" t="s">
        <v>14</v>
      </c>
      <c r="D11" s="70"/>
    </row>
    <row r="12" spans="1:8" ht="30" customHeight="1">
      <c r="A12" s="72" t="s">
        <v>15</v>
      </c>
      <c r="B12" s="70"/>
      <c r="C12" s="71" t="s">
        <v>16</v>
      </c>
      <c r="D12" s="70"/>
    </row>
    <row r="14" spans="1:8" ht="24.95" customHeight="1">
      <c r="A14" s="73" t="s">
        <v>17</v>
      </c>
      <c r="B14" s="70"/>
      <c r="C14" s="70"/>
      <c r="D14" s="70"/>
    </row>
    <row r="15" spans="1:8" ht="30" customHeight="1">
      <c r="A15" s="75" t="s">
        <v>18</v>
      </c>
      <c r="B15" s="70"/>
      <c r="C15" s="71" t="s">
        <v>19</v>
      </c>
      <c r="D15" s="70"/>
    </row>
    <row r="16" spans="1:8" ht="30" customHeight="1">
      <c r="A16" s="75" t="s">
        <v>20</v>
      </c>
      <c r="B16" s="70"/>
      <c r="C16" s="71" t="s">
        <v>21</v>
      </c>
      <c r="D16" s="70"/>
    </row>
    <row r="17" spans="1:4" ht="30" customHeight="1">
      <c r="A17" s="75" t="s">
        <v>22</v>
      </c>
      <c r="B17" s="70"/>
      <c r="C17" s="71" t="s">
        <v>23</v>
      </c>
      <c r="D17" s="70"/>
    </row>
    <row r="18" spans="1:4" ht="30" customHeight="1">
      <c r="A18" s="75" t="s">
        <v>24</v>
      </c>
      <c r="B18" s="70"/>
      <c r="C18" s="71" t="s">
        <v>25</v>
      </c>
      <c r="D18" s="70"/>
    </row>
    <row r="19" spans="1:4" ht="30" customHeight="1">
      <c r="A19" s="75" t="s">
        <v>26</v>
      </c>
      <c r="B19" s="70"/>
      <c r="C19" s="71" t="s">
        <v>27</v>
      </c>
      <c r="D19" s="70"/>
    </row>
    <row r="21" spans="1:4" ht="24.95" customHeight="1">
      <c r="A21" s="73" t="s">
        <v>28</v>
      </c>
      <c r="B21" s="70"/>
      <c r="C21" s="70"/>
      <c r="D21" s="70"/>
    </row>
    <row r="22" spans="1:4" ht="30" customHeight="1">
      <c r="A22" s="79" t="s">
        <v>29</v>
      </c>
      <c r="B22" s="70"/>
      <c r="C22" s="71" t="s">
        <v>30</v>
      </c>
      <c r="D22" s="70"/>
    </row>
    <row r="23" spans="1:4" ht="30" customHeight="1">
      <c r="A23" s="79" t="s">
        <v>31</v>
      </c>
      <c r="B23" s="70"/>
      <c r="C23" s="71" t="s">
        <v>32</v>
      </c>
      <c r="D23" s="70"/>
    </row>
    <row r="24" spans="1:4" ht="30" customHeight="1">
      <c r="A24" s="79" t="s">
        <v>33</v>
      </c>
      <c r="B24" s="70"/>
      <c r="C24" s="71" t="s">
        <v>34</v>
      </c>
      <c r="D24" s="70"/>
    </row>
    <row r="26" spans="1:4" ht="24.95" customHeight="1">
      <c r="A26" s="73" t="s">
        <v>35</v>
      </c>
      <c r="B26" s="70"/>
      <c r="C26" s="70"/>
      <c r="D26" s="70"/>
    </row>
    <row r="27" spans="1:4" ht="30" customHeight="1">
      <c r="A27" s="76" t="s">
        <v>36</v>
      </c>
      <c r="B27" s="70"/>
      <c r="C27" s="71" t="s">
        <v>37</v>
      </c>
      <c r="D27" s="70"/>
    </row>
    <row r="28" spans="1:4" ht="30" customHeight="1">
      <c r="A28" s="76" t="s">
        <v>38</v>
      </c>
      <c r="B28" s="70"/>
      <c r="C28" s="71" t="s">
        <v>39</v>
      </c>
      <c r="D28" s="70"/>
    </row>
    <row r="29" spans="1:4" ht="30" customHeight="1">
      <c r="A29" s="76" t="s">
        <v>40</v>
      </c>
      <c r="B29" s="70"/>
      <c r="C29" s="71" t="s">
        <v>41</v>
      </c>
      <c r="D29" s="70"/>
    </row>
    <row r="30" spans="1:4" ht="30" customHeight="1">
      <c r="A30" s="76" t="s">
        <v>42</v>
      </c>
      <c r="B30" s="70"/>
      <c r="C30" s="71" t="s">
        <v>43</v>
      </c>
      <c r="D30" s="70"/>
    </row>
    <row r="33" spans="1:4">
      <c r="A33" s="69" t="s">
        <v>44</v>
      </c>
      <c r="B33" s="70"/>
      <c r="C33" s="70"/>
      <c r="D33" s="70"/>
    </row>
    <row r="34" spans="1:4" ht="20.100000000000001" customHeight="1">
      <c r="A34" s="74" t="s">
        <v>45</v>
      </c>
      <c r="B34" s="70"/>
      <c r="C34" s="70"/>
      <c r="D34" s="70"/>
    </row>
    <row r="35" spans="1:4" ht="20.100000000000001" customHeight="1">
      <c r="A35" s="74" t="s">
        <v>46</v>
      </c>
      <c r="B35" s="70"/>
      <c r="C35" s="70"/>
      <c r="D35" s="70"/>
    </row>
    <row r="36" spans="1:4" ht="20.100000000000001" customHeight="1">
      <c r="A36" s="74" t="s">
        <v>47</v>
      </c>
      <c r="B36" s="70"/>
      <c r="C36" s="70"/>
      <c r="D36" s="70"/>
    </row>
    <row r="37" spans="1:4" ht="20.100000000000001" customHeight="1">
      <c r="A37" s="74" t="s">
        <v>48</v>
      </c>
      <c r="B37" s="70"/>
      <c r="C37" s="70"/>
      <c r="D37" s="70"/>
    </row>
    <row r="38" spans="1:4" ht="20.100000000000001" customHeight="1">
      <c r="A38" s="74" t="s">
        <v>49</v>
      </c>
      <c r="B38" s="70"/>
      <c r="C38" s="70"/>
      <c r="D38" s="70"/>
    </row>
    <row r="39" spans="1:4" ht="20.100000000000001" customHeight="1">
      <c r="A39" s="74" t="s">
        <v>50</v>
      </c>
      <c r="B39" s="70"/>
      <c r="C39" s="70"/>
      <c r="D39" s="70"/>
    </row>
    <row r="40" spans="1:4" ht="20.100000000000001" customHeight="1">
      <c r="A40" s="74" t="s">
        <v>51</v>
      </c>
      <c r="B40" s="70"/>
      <c r="C40" s="70"/>
      <c r="D40" s="70"/>
    </row>
  </sheetData>
  <mergeCells count="52">
    <mergeCell ref="C19:D19"/>
    <mergeCell ref="A21:D21"/>
    <mergeCell ref="A28:B28"/>
    <mergeCell ref="C28:D28"/>
    <mergeCell ref="A1:H1"/>
    <mergeCell ref="A6:B6"/>
    <mergeCell ref="A3:H3"/>
    <mergeCell ref="C27:D27"/>
    <mergeCell ref="A17:B17"/>
    <mergeCell ref="A23:B23"/>
    <mergeCell ref="A8:B8"/>
    <mergeCell ref="C17:D17"/>
    <mergeCell ref="C23:D23"/>
    <mergeCell ref="C8:D8"/>
    <mergeCell ref="A22:B22"/>
    <mergeCell ref="C7:D7"/>
    <mergeCell ref="A5:D5"/>
    <mergeCell ref="A24:B24"/>
    <mergeCell ref="C6:D6"/>
    <mergeCell ref="A15:B15"/>
    <mergeCell ref="A7:B7"/>
    <mergeCell ref="C16:D16"/>
    <mergeCell ref="A34:D34"/>
    <mergeCell ref="A39:D39"/>
    <mergeCell ref="C22:D22"/>
    <mergeCell ref="C9:D9"/>
    <mergeCell ref="A18:B18"/>
    <mergeCell ref="A27:B27"/>
    <mergeCell ref="A36:D36"/>
    <mergeCell ref="A12:B12"/>
    <mergeCell ref="C12:D12"/>
    <mergeCell ref="C11:D11"/>
    <mergeCell ref="A35:D35"/>
    <mergeCell ref="A11:B11"/>
    <mergeCell ref="A38:D38"/>
    <mergeCell ref="A37:D37"/>
    <mergeCell ref="A33:D33"/>
    <mergeCell ref="C18:D18"/>
    <mergeCell ref="A9:B9"/>
    <mergeCell ref="A14:D14"/>
    <mergeCell ref="A40:D40"/>
    <mergeCell ref="A16:B16"/>
    <mergeCell ref="C29:D29"/>
    <mergeCell ref="C10:D10"/>
    <mergeCell ref="A30:B30"/>
    <mergeCell ref="C24:D24"/>
    <mergeCell ref="C30:D30"/>
    <mergeCell ref="C15:D15"/>
    <mergeCell ref="A29:B29"/>
    <mergeCell ref="A19:B19"/>
    <mergeCell ref="A26:D26"/>
    <mergeCell ref="A10:B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B1:K27"/>
  <sheetViews>
    <sheetView workbookViewId="0"/>
  </sheetViews>
  <sheetFormatPr baseColWidth="10" defaultColWidth="9.140625" defaultRowHeight="15"/>
  <cols>
    <col min="1" max="1" width="3" customWidth="1"/>
    <col min="2" max="2" width="17.7109375" bestFit="1" customWidth="1"/>
    <col min="3" max="11" width="15" customWidth="1"/>
  </cols>
  <sheetData>
    <row r="1" spans="2:5" ht="30" customHeight="1">
      <c r="B1" s="87" t="s">
        <v>52</v>
      </c>
      <c r="C1" s="70"/>
      <c r="D1" s="70"/>
      <c r="E1" s="70"/>
    </row>
    <row r="2" spans="2:5" ht="24.95" customHeight="1">
      <c r="B2" s="86" t="s">
        <v>53</v>
      </c>
      <c r="C2" s="70"/>
      <c r="D2" s="70"/>
      <c r="E2" s="70"/>
    </row>
    <row r="3" spans="2:5" ht="9.9499999999999993" customHeight="1"/>
    <row r="4" spans="2:5" ht="20.100000000000001" customHeight="1">
      <c r="B4" s="1" t="s">
        <v>54</v>
      </c>
      <c r="C4" s="81" t="s">
        <v>55</v>
      </c>
      <c r="D4" s="82"/>
      <c r="E4" s="83"/>
    </row>
    <row r="5" spans="2:5" ht="20.100000000000001" customHeight="1">
      <c r="B5" s="1" t="s">
        <v>56</v>
      </c>
      <c r="C5" s="81" t="s">
        <v>57</v>
      </c>
      <c r="D5" s="82"/>
      <c r="E5" s="83"/>
    </row>
    <row r="6" spans="2:5" ht="20.100000000000001" customHeight="1">
      <c r="B6" s="1" t="s">
        <v>58</v>
      </c>
      <c r="C6" s="81" t="s">
        <v>59</v>
      </c>
      <c r="D6" s="82"/>
      <c r="E6" s="83"/>
    </row>
    <row r="7" spans="2:5" ht="20.100000000000001" customHeight="1">
      <c r="B7" s="1" t="s">
        <v>60</v>
      </c>
      <c r="C7" s="81" t="s">
        <v>61</v>
      </c>
      <c r="D7" s="82"/>
      <c r="E7" s="83"/>
    </row>
    <row r="8" spans="2:5" ht="20.100000000000001" customHeight="1">
      <c r="B8" s="1" t="s">
        <v>62</v>
      </c>
      <c r="C8" s="81" t="s">
        <v>63</v>
      </c>
      <c r="D8" s="82"/>
      <c r="E8" s="83"/>
    </row>
    <row r="9" spans="2:5" ht="20.100000000000001" customHeight="1">
      <c r="B9" s="1" t="s">
        <v>64</v>
      </c>
      <c r="C9" s="81" t="s">
        <v>65</v>
      </c>
      <c r="D9" s="82"/>
      <c r="E9" s="83"/>
    </row>
    <row r="10" spans="2:5" ht="20.100000000000001" customHeight="1">
      <c r="B10" s="1" t="s">
        <v>66</v>
      </c>
      <c r="C10" s="81" t="s">
        <v>67</v>
      </c>
      <c r="D10" s="82"/>
      <c r="E10" s="83"/>
    </row>
    <row r="11" spans="2:5" ht="20.100000000000001" customHeight="1">
      <c r="B11" s="1" t="s">
        <v>68</v>
      </c>
      <c r="C11" s="81" t="s">
        <v>69</v>
      </c>
      <c r="D11" s="82"/>
      <c r="E11" s="83"/>
    </row>
    <row r="12" spans="2:5" ht="20.100000000000001" customHeight="1">
      <c r="B12" s="1" t="s">
        <v>70</v>
      </c>
      <c r="C12" s="81" t="s">
        <v>71</v>
      </c>
      <c r="D12" s="82"/>
      <c r="E12" s="83"/>
    </row>
    <row r="14" spans="2:5">
      <c r="B14" s="84" t="s">
        <v>72</v>
      </c>
      <c r="C14" s="70"/>
      <c r="D14" s="70"/>
      <c r="E14" s="70"/>
    </row>
    <row r="15" spans="2:5" ht="18" customHeight="1">
      <c r="B15" s="2" t="s">
        <v>73</v>
      </c>
      <c r="C15" s="85" t="s">
        <v>74</v>
      </c>
      <c r="D15" s="70"/>
      <c r="E15" s="70"/>
    </row>
    <row r="16" spans="2:5" ht="18" customHeight="1">
      <c r="B16" s="2" t="s">
        <v>75</v>
      </c>
      <c r="C16" s="85" t="s">
        <v>76</v>
      </c>
      <c r="D16" s="70"/>
      <c r="E16" s="70"/>
    </row>
    <row r="17" spans="2:11" ht="18" customHeight="1">
      <c r="B17" s="2" t="s">
        <v>77</v>
      </c>
      <c r="C17" s="85" t="s">
        <v>78</v>
      </c>
      <c r="D17" s="70"/>
      <c r="E17" s="70"/>
    </row>
    <row r="18" spans="2:11" ht="18" customHeight="1">
      <c r="B18" s="2" t="s">
        <v>79</v>
      </c>
      <c r="C18" s="85" t="s">
        <v>80</v>
      </c>
      <c r="D18" s="70"/>
      <c r="E18" s="70"/>
    </row>
    <row r="20" spans="2:11">
      <c r="B20" s="80" t="s">
        <v>81</v>
      </c>
      <c r="C20" s="70"/>
      <c r="D20" s="70"/>
      <c r="E20" s="70"/>
    </row>
    <row r="22" spans="2:11" ht="35.1" customHeight="1">
      <c r="B22" s="3" t="s">
        <v>82</v>
      </c>
      <c r="C22" s="3" t="s">
        <v>83</v>
      </c>
      <c r="D22" s="3" t="s">
        <v>84</v>
      </c>
      <c r="E22" s="3" t="s">
        <v>85</v>
      </c>
      <c r="F22" s="3" t="s">
        <v>86</v>
      </c>
      <c r="G22" s="3" t="s">
        <v>87</v>
      </c>
      <c r="H22" s="3" t="s">
        <v>88</v>
      </c>
      <c r="I22" s="3" t="s">
        <v>89</v>
      </c>
      <c r="J22" s="3" t="s">
        <v>90</v>
      </c>
      <c r="K22" s="3" t="s">
        <v>91</v>
      </c>
    </row>
    <row r="23" spans="2:11">
      <c r="B23" s="4" t="s">
        <v>92</v>
      </c>
      <c r="C23" s="4" t="s">
        <v>93</v>
      </c>
      <c r="D23" s="4" t="s">
        <v>94</v>
      </c>
      <c r="E23" s="4" t="s">
        <v>57</v>
      </c>
      <c r="F23" s="4" t="s">
        <v>59</v>
      </c>
      <c r="G23" s="4" t="s">
        <v>65</v>
      </c>
      <c r="H23" s="4" t="s">
        <v>95</v>
      </c>
      <c r="I23" s="4" t="s">
        <v>69</v>
      </c>
      <c r="J23" s="4" t="s">
        <v>96</v>
      </c>
      <c r="K23" s="4" t="s">
        <v>97</v>
      </c>
    </row>
    <row r="24" spans="2:11">
      <c r="B24" s="4" t="s">
        <v>98</v>
      </c>
      <c r="C24" s="4" t="s">
        <v>99</v>
      </c>
      <c r="D24" s="4" t="s">
        <v>100</v>
      </c>
      <c r="E24" s="4" t="s">
        <v>57</v>
      </c>
      <c r="F24" s="4" t="s">
        <v>59</v>
      </c>
      <c r="G24" s="4" t="s">
        <v>65</v>
      </c>
      <c r="H24" s="4" t="s">
        <v>101</v>
      </c>
      <c r="I24" s="4" t="s">
        <v>69</v>
      </c>
      <c r="J24" s="4" t="s">
        <v>67</v>
      </c>
      <c r="K24" s="4" t="s">
        <v>102</v>
      </c>
    </row>
    <row r="25" spans="2:11">
      <c r="B25" s="4" t="s">
        <v>103</v>
      </c>
      <c r="C25" s="4" t="s">
        <v>104</v>
      </c>
      <c r="D25" s="4" t="s">
        <v>61</v>
      </c>
      <c r="E25" s="4" t="s">
        <v>57</v>
      </c>
      <c r="F25" s="4" t="s">
        <v>59</v>
      </c>
      <c r="G25" s="4" t="s">
        <v>65</v>
      </c>
      <c r="H25" s="4" t="s">
        <v>101</v>
      </c>
      <c r="I25" s="4" t="s">
        <v>69</v>
      </c>
      <c r="J25" s="4" t="s">
        <v>105</v>
      </c>
      <c r="K25" s="4" t="s">
        <v>106</v>
      </c>
    </row>
    <row r="26" spans="2:11">
      <c r="B26" s="4" t="s">
        <v>107</v>
      </c>
      <c r="C26" s="4" t="s">
        <v>108</v>
      </c>
      <c r="D26" s="4" t="s">
        <v>109</v>
      </c>
      <c r="E26" s="4" t="s">
        <v>57</v>
      </c>
      <c r="F26" s="4" t="s">
        <v>59</v>
      </c>
      <c r="G26" s="4" t="s">
        <v>110</v>
      </c>
      <c r="H26" s="4" t="s">
        <v>65</v>
      </c>
      <c r="I26" s="4" t="s">
        <v>69</v>
      </c>
      <c r="J26" s="4" t="s">
        <v>105</v>
      </c>
      <c r="K26" s="4" t="s">
        <v>111</v>
      </c>
    </row>
    <row r="27" spans="2:11">
      <c r="B27" s="4" t="s">
        <v>112</v>
      </c>
      <c r="C27" s="4" t="s">
        <v>113</v>
      </c>
      <c r="D27" s="4" t="s">
        <v>114</v>
      </c>
      <c r="E27" s="4" t="s">
        <v>57</v>
      </c>
      <c r="F27" s="4" t="s">
        <v>59</v>
      </c>
      <c r="G27" s="4" t="s">
        <v>65</v>
      </c>
      <c r="H27" s="4" t="s">
        <v>95</v>
      </c>
      <c r="I27" s="4" t="s">
        <v>69</v>
      </c>
      <c r="J27" s="4" t="s">
        <v>67</v>
      </c>
      <c r="K27" s="4" t="s">
        <v>115</v>
      </c>
    </row>
  </sheetData>
  <mergeCells count="17">
    <mergeCell ref="B1:E1"/>
    <mergeCell ref="C11:E11"/>
    <mergeCell ref="C5:E5"/>
    <mergeCell ref="C8:E8"/>
    <mergeCell ref="C4:E4"/>
    <mergeCell ref="C17:E17"/>
    <mergeCell ref="B2:E2"/>
    <mergeCell ref="C6:E6"/>
    <mergeCell ref="C16:E16"/>
    <mergeCell ref="B20:E20"/>
    <mergeCell ref="C7:E7"/>
    <mergeCell ref="B14:E14"/>
    <mergeCell ref="C15:E15"/>
    <mergeCell ref="C12:E12"/>
    <mergeCell ref="C10:E10"/>
    <mergeCell ref="C18:E18"/>
    <mergeCell ref="C9:E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B1:E42"/>
  <sheetViews>
    <sheetView workbookViewId="0"/>
  </sheetViews>
  <sheetFormatPr baseColWidth="10" defaultColWidth="9.140625" defaultRowHeight="15"/>
  <cols>
    <col min="1" max="1" width="3" customWidth="1"/>
    <col min="2" max="2" width="20" customWidth="1"/>
    <col min="3" max="3" width="30" customWidth="1"/>
    <col min="4" max="4" width="20" customWidth="1"/>
    <col min="5" max="5" width="30" customWidth="1"/>
    <col min="6" max="6" width="3" customWidth="1"/>
  </cols>
  <sheetData>
    <row r="1" spans="2:5" ht="30" customHeight="1">
      <c r="B1" s="87" t="s">
        <v>52</v>
      </c>
      <c r="C1" s="70"/>
      <c r="D1" s="70"/>
      <c r="E1" s="70"/>
    </row>
    <row r="2" spans="2:5" ht="24.95" customHeight="1">
      <c r="B2" s="86" t="s">
        <v>116</v>
      </c>
      <c r="C2" s="70"/>
      <c r="D2" s="70"/>
      <c r="E2" s="70"/>
    </row>
    <row r="3" spans="2:5" ht="9.9499999999999993" customHeight="1"/>
    <row r="4" spans="2:5" ht="20.100000000000001" customHeight="1">
      <c r="B4" s="1" t="s">
        <v>54</v>
      </c>
      <c r="C4" s="81" t="s">
        <v>92</v>
      </c>
      <c r="D4" s="82"/>
      <c r="E4" s="83"/>
    </row>
    <row r="5" spans="2:5" ht="20.100000000000001" customHeight="1">
      <c r="B5" s="1" t="s">
        <v>56</v>
      </c>
      <c r="C5" s="81" t="s">
        <v>57</v>
      </c>
      <c r="D5" s="82"/>
      <c r="E5" s="83"/>
    </row>
    <row r="6" spans="2:5" ht="20.100000000000001" customHeight="1">
      <c r="B6" s="1" t="s">
        <v>58</v>
      </c>
      <c r="C6" s="81" t="s">
        <v>59</v>
      </c>
      <c r="D6" s="82"/>
      <c r="E6" s="83"/>
    </row>
    <row r="7" spans="2:5" ht="20.100000000000001" customHeight="1">
      <c r="B7" s="1" t="s">
        <v>60</v>
      </c>
      <c r="C7" s="81" t="s">
        <v>117</v>
      </c>
      <c r="D7" s="82"/>
      <c r="E7" s="83"/>
    </row>
    <row r="8" spans="2:5" ht="20.100000000000001" customHeight="1">
      <c r="B8" s="1" t="s">
        <v>62</v>
      </c>
      <c r="C8" s="81" t="s">
        <v>63</v>
      </c>
      <c r="D8" s="82"/>
      <c r="E8" s="83"/>
    </row>
    <row r="9" spans="2:5" ht="20.100000000000001" customHeight="1">
      <c r="B9" s="1" t="s">
        <v>64</v>
      </c>
      <c r="C9" s="81" t="s">
        <v>65</v>
      </c>
      <c r="D9" s="82"/>
      <c r="E9" s="83"/>
    </row>
    <row r="10" spans="2:5" ht="20.100000000000001" customHeight="1">
      <c r="B10" s="1" t="s">
        <v>66</v>
      </c>
      <c r="C10" s="81" t="s">
        <v>67</v>
      </c>
      <c r="D10" s="82"/>
      <c r="E10" s="83"/>
    </row>
    <row r="11" spans="2:5" ht="20.100000000000001" customHeight="1">
      <c r="B11" s="1" t="s">
        <v>68</v>
      </c>
      <c r="C11" s="81" t="s">
        <v>69</v>
      </c>
      <c r="D11" s="82"/>
      <c r="E11" s="83"/>
    </row>
    <row r="12" spans="2:5" ht="20.100000000000001" customHeight="1">
      <c r="B12" s="1" t="s">
        <v>70</v>
      </c>
      <c r="C12" s="81" t="s">
        <v>71</v>
      </c>
      <c r="D12" s="82"/>
      <c r="E12" s="83"/>
    </row>
    <row r="14" spans="2:5">
      <c r="B14" s="84" t="s">
        <v>72</v>
      </c>
      <c r="C14" s="70"/>
      <c r="D14" s="70"/>
      <c r="E14" s="70"/>
    </row>
    <row r="15" spans="2:5" ht="18" customHeight="1">
      <c r="B15" s="2" t="s">
        <v>73</v>
      </c>
      <c r="C15" s="85" t="s">
        <v>74</v>
      </c>
      <c r="D15" s="70"/>
      <c r="E15" s="70"/>
    </row>
    <row r="16" spans="2:5" ht="18" customHeight="1">
      <c r="B16" s="2" t="s">
        <v>75</v>
      </c>
      <c r="C16" s="85" t="s">
        <v>76</v>
      </c>
      <c r="D16" s="70"/>
      <c r="E16" s="70"/>
    </row>
    <row r="17" spans="2:5" ht="18" customHeight="1">
      <c r="B17" s="2" t="s">
        <v>77</v>
      </c>
      <c r="C17" s="85" t="s">
        <v>78</v>
      </c>
      <c r="D17" s="70"/>
      <c r="E17" s="70"/>
    </row>
    <row r="18" spans="2:5" ht="18" customHeight="1">
      <c r="B18" s="2" t="s">
        <v>79</v>
      </c>
      <c r="C18" s="85" t="s">
        <v>80</v>
      </c>
      <c r="D18" s="70"/>
      <c r="E18" s="70"/>
    </row>
    <row r="20" spans="2:5">
      <c r="B20" s="80" t="s">
        <v>81</v>
      </c>
      <c r="C20" s="70"/>
      <c r="D20" s="70"/>
      <c r="E20" s="70"/>
    </row>
    <row r="22" spans="2:5" ht="16.5" customHeight="1">
      <c r="B22" s="90" t="s">
        <v>118</v>
      </c>
      <c r="C22" s="70"/>
      <c r="D22" s="70"/>
      <c r="E22" s="70"/>
    </row>
    <row r="23" spans="2:5" ht="20.100000000000001" customHeight="1">
      <c r="B23" s="89" t="s">
        <v>119</v>
      </c>
      <c r="C23" s="70"/>
      <c r="D23" s="70"/>
      <c r="E23" s="70"/>
    </row>
    <row r="24" spans="2:5" ht="50.1" customHeight="1">
      <c r="B24" s="88" t="s">
        <v>120</v>
      </c>
      <c r="C24" s="70"/>
      <c r="D24" s="70"/>
      <c r="E24" s="70"/>
    </row>
    <row r="25" spans="2:5" ht="20.100000000000001" customHeight="1">
      <c r="B25" s="89" t="s">
        <v>121</v>
      </c>
      <c r="C25" s="70"/>
      <c r="D25" s="70"/>
      <c r="E25" s="70"/>
    </row>
    <row r="26" spans="2:5" ht="50.1" customHeight="1">
      <c r="B26" s="88" t="s">
        <v>122</v>
      </c>
      <c r="C26" s="70"/>
      <c r="D26" s="70"/>
      <c r="E26" s="70"/>
    </row>
    <row r="27" spans="2:5" ht="20.100000000000001" customHeight="1">
      <c r="B27" s="89" t="s">
        <v>123</v>
      </c>
      <c r="C27" s="70"/>
      <c r="D27" s="70"/>
      <c r="E27" s="70"/>
    </row>
    <row r="28" spans="2:5" ht="50.1" customHeight="1">
      <c r="B28" s="88" t="s">
        <v>124</v>
      </c>
      <c r="C28" s="70"/>
      <c r="D28" s="70"/>
      <c r="E28" s="70"/>
    </row>
    <row r="29" spans="2:5" ht="20.100000000000001" customHeight="1">
      <c r="B29" s="89" t="s">
        <v>125</v>
      </c>
      <c r="C29" s="70"/>
      <c r="D29" s="70"/>
      <c r="E29" s="70"/>
    </row>
    <row r="30" spans="2:5" ht="50.1" customHeight="1">
      <c r="B30" s="88" t="s">
        <v>126</v>
      </c>
      <c r="C30" s="70"/>
      <c r="D30" s="70"/>
      <c r="E30" s="70"/>
    </row>
    <row r="31" spans="2:5" ht="20.100000000000001" customHeight="1">
      <c r="B31" s="89" t="s">
        <v>127</v>
      </c>
      <c r="C31" s="70"/>
      <c r="D31" s="70"/>
      <c r="E31" s="70"/>
    </row>
    <row r="32" spans="2:5" ht="50.1" customHeight="1">
      <c r="B32" s="88" t="s">
        <v>128</v>
      </c>
      <c r="C32" s="70"/>
      <c r="D32" s="70"/>
      <c r="E32" s="70"/>
    </row>
    <row r="33" spans="2:5" ht="20.100000000000001" customHeight="1">
      <c r="B33" s="89" t="s">
        <v>129</v>
      </c>
      <c r="C33" s="70"/>
      <c r="D33" s="70"/>
      <c r="E33" s="70"/>
    </row>
    <row r="34" spans="2:5" ht="50.1" customHeight="1">
      <c r="B34" s="88" t="s">
        <v>130</v>
      </c>
      <c r="C34" s="70"/>
      <c r="D34" s="70"/>
      <c r="E34" s="70"/>
    </row>
    <row r="35" spans="2:5" ht="20.100000000000001" customHeight="1">
      <c r="B35" s="89" t="s">
        <v>131</v>
      </c>
      <c r="C35" s="70"/>
      <c r="D35" s="70"/>
      <c r="E35" s="70"/>
    </row>
    <row r="36" spans="2:5" ht="50.1" customHeight="1">
      <c r="B36" s="88" t="s">
        <v>132</v>
      </c>
      <c r="C36" s="70"/>
      <c r="D36" s="70"/>
      <c r="E36" s="70"/>
    </row>
    <row r="37" spans="2:5" ht="20.100000000000001" customHeight="1">
      <c r="B37" s="89" t="s">
        <v>133</v>
      </c>
      <c r="C37" s="70"/>
      <c r="D37" s="70"/>
      <c r="E37" s="70"/>
    </row>
    <row r="38" spans="2:5" ht="50.1" customHeight="1">
      <c r="B38" s="88" t="s">
        <v>134</v>
      </c>
      <c r="C38" s="70"/>
      <c r="D38" s="70"/>
      <c r="E38" s="70"/>
    </row>
    <row r="39" spans="2:5" ht="20.100000000000001" customHeight="1">
      <c r="B39" s="89" t="s">
        <v>135</v>
      </c>
      <c r="C39" s="70"/>
      <c r="D39" s="70"/>
      <c r="E39" s="70"/>
    </row>
    <row r="40" spans="2:5" ht="50.1" customHeight="1">
      <c r="B40" s="88" t="s">
        <v>136</v>
      </c>
      <c r="C40" s="70"/>
      <c r="D40" s="70"/>
      <c r="E40" s="70"/>
    </row>
    <row r="41" spans="2:5" ht="20.100000000000001" customHeight="1">
      <c r="B41" s="89" t="s">
        <v>137</v>
      </c>
      <c r="C41" s="70"/>
      <c r="D41" s="70"/>
      <c r="E41" s="70"/>
    </row>
    <row r="42" spans="2:5" ht="50.1" customHeight="1">
      <c r="B42" s="88" t="s">
        <v>138</v>
      </c>
      <c r="C42" s="70"/>
      <c r="D42" s="70"/>
      <c r="E42" s="70"/>
    </row>
  </sheetData>
  <mergeCells count="38">
    <mergeCell ref="B39:E39"/>
    <mergeCell ref="C16:E16"/>
    <mergeCell ref="B40:E40"/>
    <mergeCell ref="B37:E37"/>
    <mergeCell ref="B30:E30"/>
    <mergeCell ref="B33:E33"/>
    <mergeCell ref="B24:E24"/>
    <mergeCell ref="B20:E20"/>
    <mergeCell ref="B36:E36"/>
    <mergeCell ref="B32:E32"/>
    <mergeCell ref="B26:E26"/>
    <mergeCell ref="B42:E42"/>
    <mergeCell ref="C15:E15"/>
    <mergeCell ref="C6:E6"/>
    <mergeCell ref="B14:E14"/>
    <mergeCell ref="B23:E23"/>
    <mergeCell ref="C7:E7"/>
    <mergeCell ref="B22:E22"/>
    <mergeCell ref="B31:E31"/>
    <mergeCell ref="B27:E27"/>
    <mergeCell ref="C18:E18"/>
    <mergeCell ref="B41:E41"/>
    <mergeCell ref="C11:E11"/>
    <mergeCell ref="B35:E35"/>
    <mergeCell ref="C8:E8"/>
    <mergeCell ref="C17:E17"/>
    <mergeCell ref="B25:E25"/>
    <mergeCell ref="B1:E1"/>
    <mergeCell ref="C5:E5"/>
    <mergeCell ref="B38:E38"/>
    <mergeCell ref="C4:E4"/>
    <mergeCell ref="B29:E29"/>
    <mergeCell ref="B34:E34"/>
    <mergeCell ref="B28:E28"/>
    <mergeCell ref="C10:E10"/>
    <mergeCell ref="B2:E2"/>
    <mergeCell ref="C9:E9"/>
    <mergeCell ref="C12:E1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B1:F54"/>
  <sheetViews>
    <sheetView workbookViewId="0"/>
  </sheetViews>
  <sheetFormatPr baseColWidth="10" defaultColWidth="9.140625" defaultRowHeight="15"/>
  <cols>
    <col min="1" max="1" width="3" customWidth="1"/>
    <col min="2" max="2" width="20" customWidth="1"/>
    <col min="3" max="3" width="30" customWidth="1"/>
    <col min="4" max="4" width="20" customWidth="1"/>
    <col min="5" max="5" width="30" customWidth="1"/>
    <col min="6" max="6" width="3" customWidth="1"/>
  </cols>
  <sheetData>
    <row r="1" spans="2:5" ht="30" customHeight="1">
      <c r="B1" s="87" t="s">
        <v>52</v>
      </c>
      <c r="C1" s="70"/>
      <c r="D1" s="70"/>
      <c r="E1" s="70"/>
    </row>
    <row r="2" spans="2:5" ht="24.95" customHeight="1">
      <c r="B2" s="86" t="s">
        <v>139</v>
      </c>
      <c r="C2" s="70"/>
      <c r="D2" s="70"/>
      <c r="E2" s="70"/>
    </row>
    <row r="3" spans="2:5" ht="9.9499999999999993" customHeight="1"/>
    <row r="4" spans="2:5" ht="20.100000000000001" customHeight="1">
      <c r="B4" s="1" t="s">
        <v>54</v>
      </c>
      <c r="C4" s="81" t="s">
        <v>103</v>
      </c>
      <c r="D4" s="82"/>
      <c r="E4" s="83"/>
    </row>
    <row r="5" spans="2:5" ht="20.100000000000001" customHeight="1">
      <c r="B5" s="1" t="s">
        <v>56</v>
      </c>
      <c r="C5" s="81" t="s">
        <v>57</v>
      </c>
      <c r="D5" s="82"/>
      <c r="E5" s="83"/>
    </row>
    <row r="6" spans="2:5" ht="20.100000000000001" customHeight="1">
      <c r="B6" s="1" t="s">
        <v>58</v>
      </c>
      <c r="C6" s="81" t="s">
        <v>59</v>
      </c>
      <c r="D6" s="82"/>
      <c r="E6" s="83"/>
    </row>
    <row r="7" spans="2:5" ht="20.100000000000001" customHeight="1">
      <c r="B7" s="1" t="s">
        <v>60</v>
      </c>
      <c r="C7" s="81" t="s">
        <v>61</v>
      </c>
      <c r="D7" s="82"/>
      <c r="E7" s="83"/>
    </row>
    <row r="8" spans="2:5" ht="20.100000000000001" customHeight="1">
      <c r="B8" s="1" t="s">
        <v>62</v>
      </c>
      <c r="C8" s="81" t="s">
        <v>63</v>
      </c>
      <c r="D8" s="82"/>
      <c r="E8" s="83"/>
    </row>
    <row r="9" spans="2:5" ht="20.100000000000001" customHeight="1">
      <c r="B9" s="1" t="s">
        <v>64</v>
      </c>
      <c r="C9" s="81" t="s">
        <v>65</v>
      </c>
      <c r="D9" s="82"/>
      <c r="E9" s="83"/>
    </row>
    <row r="10" spans="2:5" ht="20.100000000000001" customHeight="1">
      <c r="B10" s="1" t="s">
        <v>66</v>
      </c>
      <c r="C10" s="81" t="s">
        <v>67</v>
      </c>
      <c r="D10" s="82"/>
      <c r="E10" s="83"/>
    </row>
    <row r="11" spans="2:5" ht="20.100000000000001" customHeight="1">
      <c r="B11" s="1" t="s">
        <v>68</v>
      </c>
      <c r="C11" s="81" t="s">
        <v>69</v>
      </c>
      <c r="D11" s="82"/>
      <c r="E11" s="83"/>
    </row>
    <row r="12" spans="2:5" ht="20.100000000000001" customHeight="1">
      <c r="B12" s="1" t="s">
        <v>70</v>
      </c>
      <c r="C12" s="81" t="s">
        <v>71</v>
      </c>
      <c r="D12" s="82"/>
      <c r="E12" s="83"/>
    </row>
    <row r="14" spans="2:5">
      <c r="B14" s="84" t="s">
        <v>72</v>
      </c>
      <c r="C14" s="70"/>
      <c r="D14" s="70"/>
      <c r="E14" s="70"/>
    </row>
    <row r="15" spans="2:5" ht="18" customHeight="1">
      <c r="B15" s="2" t="s">
        <v>73</v>
      </c>
      <c r="C15" s="85" t="s">
        <v>74</v>
      </c>
      <c r="D15" s="70"/>
      <c r="E15" s="70"/>
    </row>
    <row r="16" spans="2:5" ht="18" customHeight="1">
      <c r="B16" s="2" t="s">
        <v>75</v>
      </c>
      <c r="C16" s="85" t="s">
        <v>76</v>
      </c>
      <c r="D16" s="70"/>
      <c r="E16" s="70"/>
    </row>
    <row r="17" spans="2:5" ht="18" customHeight="1">
      <c r="B17" s="2" t="s">
        <v>77</v>
      </c>
      <c r="C17" s="85" t="s">
        <v>78</v>
      </c>
      <c r="D17" s="70"/>
      <c r="E17" s="70"/>
    </row>
    <row r="18" spans="2:5" ht="18" customHeight="1">
      <c r="B18" s="2" t="s">
        <v>79</v>
      </c>
      <c r="C18" s="85" t="s">
        <v>80</v>
      </c>
      <c r="D18" s="70"/>
      <c r="E18" s="70"/>
    </row>
    <row r="20" spans="2:5">
      <c r="B20" s="80" t="s">
        <v>81</v>
      </c>
      <c r="C20" s="70"/>
      <c r="D20" s="70"/>
      <c r="E20" s="70"/>
    </row>
    <row r="22" spans="2:5" ht="16.5" customHeight="1">
      <c r="B22" s="91" t="s">
        <v>140</v>
      </c>
      <c r="C22" s="70"/>
      <c r="D22" s="70"/>
      <c r="E22" s="70"/>
    </row>
    <row r="24" spans="2:5">
      <c r="B24" s="93" t="s">
        <v>141</v>
      </c>
      <c r="C24" s="70"/>
      <c r="D24" s="70"/>
      <c r="E24" s="70"/>
    </row>
    <row r="25" spans="2:5">
      <c r="B25" s="5" t="s">
        <v>142</v>
      </c>
      <c r="C25" s="5" t="s">
        <v>143</v>
      </c>
      <c r="D25" s="5" t="s">
        <v>144</v>
      </c>
      <c r="E25" s="5" t="s">
        <v>145</v>
      </c>
    </row>
    <row r="26" spans="2:5">
      <c r="B26" s="6" t="s">
        <v>146</v>
      </c>
      <c r="C26" s="6" t="s">
        <v>147</v>
      </c>
      <c r="D26" s="6" t="s">
        <v>148</v>
      </c>
      <c r="E26" s="6" t="s">
        <v>149</v>
      </c>
    </row>
    <row r="27" spans="2:5">
      <c r="B27" s="6" t="s">
        <v>150</v>
      </c>
      <c r="C27" s="6" t="s">
        <v>151</v>
      </c>
      <c r="D27" s="6" t="s">
        <v>152</v>
      </c>
      <c r="E27" s="6" t="s">
        <v>153</v>
      </c>
    </row>
    <row r="28" spans="2:5">
      <c r="B28" s="6" t="s">
        <v>154</v>
      </c>
      <c r="C28" s="6" t="s">
        <v>155</v>
      </c>
      <c r="D28" s="6" t="s">
        <v>156</v>
      </c>
      <c r="E28" s="6" t="s">
        <v>157</v>
      </c>
    </row>
    <row r="29" spans="2:5">
      <c r="B29" s="6" t="s">
        <v>158</v>
      </c>
      <c r="C29" s="6" t="s">
        <v>159</v>
      </c>
      <c r="D29" s="6" t="s">
        <v>160</v>
      </c>
      <c r="E29" s="6" t="s">
        <v>161</v>
      </c>
    </row>
    <row r="30" spans="2:5">
      <c r="B30" s="6" t="s">
        <v>162</v>
      </c>
      <c r="C30" s="6" t="s">
        <v>163</v>
      </c>
      <c r="D30" s="6" t="s">
        <v>164</v>
      </c>
      <c r="E30" s="6" t="s">
        <v>165</v>
      </c>
    </row>
    <row r="32" spans="2:5">
      <c r="B32" s="93" t="s">
        <v>166</v>
      </c>
      <c r="C32" s="70"/>
      <c r="D32" s="70"/>
      <c r="E32" s="70"/>
    </row>
    <row r="33" spans="2:6" ht="24" customHeight="1">
      <c r="B33" s="7" t="s">
        <v>142</v>
      </c>
      <c r="C33" s="7" t="s">
        <v>167</v>
      </c>
      <c r="D33" s="7" t="s">
        <v>168</v>
      </c>
      <c r="E33" s="7" t="s">
        <v>169</v>
      </c>
      <c r="F33" s="7" t="s">
        <v>145</v>
      </c>
    </row>
    <row r="34" spans="2:6">
      <c r="B34" s="6" t="s">
        <v>170</v>
      </c>
      <c r="C34" s="6" t="s">
        <v>171</v>
      </c>
      <c r="D34" s="6" t="s">
        <v>172</v>
      </c>
      <c r="E34" s="6" t="s">
        <v>173</v>
      </c>
      <c r="F34" s="6" t="s">
        <v>149</v>
      </c>
    </row>
    <row r="35" spans="2:6">
      <c r="B35" s="6" t="s">
        <v>174</v>
      </c>
      <c r="C35" s="6" t="s">
        <v>175</v>
      </c>
      <c r="D35" s="6" t="s">
        <v>176</v>
      </c>
      <c r="E35" s="6" t="s">
        <v>177</v>
      </c>
      <c r="F35" s="6" t="s">
        <v>153</v>
      </c>
    </row>
    <row r="36" spans="2:6">
      <c r="B36" s="6" t="s">
        <v>178</v>
      </c>
      <c r="C36" s="6" t="s">
        <v>179</v>
      </c>
      <c r="D36" s="6" t="s">
        <v>180</v>
      </c>
      <c r="E36" s="6" t="s">
        <v>181</v>
      </c>
      <c r="F36" s="6" t="s">
        <v>157</v>
      </c>
    </row>
    <row r="37" spans="2:6">
      <c r="B37" s="6" t="s">
        <v>182</v>
      </c>
      <c r="C37" s="6" t="s">
        <v>183</v>
      </c>
      <c r="D37" s="6" t="s">
        <v>184</v>
      </c>
      <c r="E37" s="6" t="s">
        <v>185</v>
      </c>
      <c r="F37" s="6" t="s">
        <v>161</v>
      </c>
    </row>
    <row r="38" spans="2:6">
      <c r="B38" s="6" t="s">
        <v>186</v>
      </c>
      <c r="C38" s="6" t="s">
        <v>187</v>
      </c>
      <c r="D38" s="6" t="s">
        <v>188</v>
      </c>
      <c r="E38" s="6" t="s">
        <v>189</v>
      </c>
      <c r="F38" s="6" t="s">
        <v>165</v>
      </c>
    </row>
    <row r="41" spans="2:6">
      <c r="B41" s="93" t="s">
        <v>190</v>
      </c>
      <c r="C41" s="70"/>
      <c r="D41" s="70"/>
      <c r="E41" s="70"/>
    </row>
    <row r="42" spans="2:6">
      <c r="B42" s="8" t="s">
        <v>191</v>
      </c>
      <c r="C42" s="8" t="s">
        <v>142</v>
      </c>
      <c r="D42" s="8" t="s">
        <v>192</v>
      </c>
      <c r="E42" s="8" t="s">
        <v>193</v>
      </c>
    </row>
    <row r="43" spans="2:6">
      <c r="B43" s="9" t="s">
        <v>194</v>
      </c>
      <c r="C43" s="9" t="s">
        <v>195</v>
      </c>
      <c r="D43" s="9" t="s">
        <v>196</v>
      </c>
      <c r="E43" s="9" t="s">
        <v>197</v>
      </c>
    </row>
    <row r="44" spans="2:6">
      <c r="B44" s="9" t="s">
        <v>198</v>
      </c>
      <c r="C44" s="9" t="s">
        <v>199</v>
      </c>
      <c r="D44" s="9" t="s">
        <v>200</v>
      </c>
      <c r="E44" s="9" t="s">
        <v>201</v>
      </c>
    </row>
    <row r="45" spans="2:6">
      <c r="B45" s="9" t="s">
        <v>202</v>
      </c>
      <c r="C45" s="9" t="s">
        <v>203</v>
      </c>
      <c r="D45" s="9" t="s">
        <v>204</v>
      </c>
      <c r="E45" s="9" t="s">
        <v>205</v>
      </c>
    </row>
    <row r="46" spans="2:6">
      <c r="B46" s="9" t="s">
        <v>206</v>
      </c>
      <c r="C46" s="9" t="s">
        <v>207</v>
      </c>
      <c r="D46" s="9" t="s">
        <v>208</v>
      </c>
      <c r="E46" s="9" t="s">
        <v>209</v>
      </c>
    </row>
    <row r="47" spans="2:6">
      <c r="B47" s="9" t="s">
        <v>210</v>
      </c>
      <c r="C47" s="9" t="s">
        <v>211</v>
      </c>
      <c r="D47" s="9" t="s">
        <v>212</v>
      </c>
      <c r="E47" s="9" t="s">
        <v>213</v>
      </c>
    </row>
    <row r="50" spans="2:5">
      <c r="B50" s="93" t="s">
        <v>214</v>
      </c>
      <c r="C50" s="70"/>
      <c r="D50" s="70"/>
      <c r="E50" s="70"/>
    </row>
    <row r="51" spans="2:5">
      <c r="B51" s="10" t="s">
        <v>215</v>
      </c>
      <c r="C51" s="92" t="s">
        <v>216</v>
      </c>
      <c r="D51" s="70"/>
      <c r="E51" s="70"/>
    </row>
    <row r="52" spans="2:5">
      <c r="B52" s="10" t="s">
        <v>217</v>
      </c>
      <c r="C52" s="92" t="s">
        <v>218</v>
      </c>
      <c r="D52" s="70"/>
      <c r="E52" s="70"/>
    </row>
    <row r="53" spans="2:5">
      <c r="B53" s="10" t="s">
        <v>219</v>
      </c>
      <c r="C53" s="92" t="s">
        <v>220</v>
      </c>
      <c r="D53" s="70"/>
      <c r="E53" s="70"/>
    </row>
    <row r="54" spans="2:5">
      <c r="B54" s="10" t="s">
        <v>221</v>
      </c>
      <c r="C54" s="92" t="s">
        <v>222</v>
      </c>
      <c r="D54" s="70"/>
      <c r="E54" s="70"/>
    </row>
  </sheetData>
  <mergeCells count="26">
    <mergeCell ref="C54:E54"/>
    <mergeCell ref="C9:E9"/>
    <mergeCell ref="B24:E24"/>
    <mergeCell ref="B20:E20"/>
    <mergeCell ref="C12:E12"/>
    <mergeCell ref="C51:E51"/>
    <mergeCell ref="B32:E32"/>
    <mergeCell ref="B41:E41"/>
    <mergeCell ref="C11:E11"/>
    <mergeCell ref="B50:E50"/>
    <mergeCell ref="C52:E52"/>
    <mergeCell ref="C17:E17"/>
    <mergeCell ref="C7:E7"/>
    <mergeCell ref="B22:E22"/>
    <mergeCell ref="C53:E53"/>
    <mergeCell ref="C18:E18"/>
    <mergeCell ref="C16:E16"/>
    <mergeCell ref="B2:E2"/>
    <mergeCell ref="C15:E15"/>
    <mergeCell ref="C6:E6"/>
    <mergeCell ref="B14:E14"/>
    <mergeCell ref="B1:E1"/>
    <mergeCell ref="C5:E5"/>
    <mergeCell ref="C4:E4"/>
    <mergeCell ref="C10:E10"/>
    <mergeCell ref="C8:E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1:H53"/>
  <sheetViews>
    <sheetView workbookViewId="0"/>
  </sheetViews>
  <sheetFormatPr baseColWidth="10" defaultColWidth="9.140625" defaultRowHeight="15"/>
  <cols>
    <col min="1" max="1" width="3" customWidth="1"/>
    <col min="2" max="8" width="15" customWidth="1"/>
  </cols>
  <sheetData>
    <row r="1" spans="2:5" ht="30" customHeight="1">
      <c r="B1" s="87" t="s">
        <v>52</v>
      </c>
      <c r="C1" s="70"/>
      <c r="D1" s="70"/>
      <c r="E1" s="70"/>
    </row>
    <row r="2" spans="2:5" ht="24.95" customHeight="1">
      <c r="B2" s="86" t="s">
        <v>223</v>
      </c>
      <c r="C2" s="70"/>
      <c r="D2" s="70"/>
      <c r="E2" s="70"/>
    </row>
    <row r="3" spans="2:5" ht="9.9499999999999993" customHeight="1"/>
    <row r="4" spans="2:5" ht="20.100000000000001" customHeight="1">
      <c r="B4" s="1" t="s">
        <v>54</v>
      </c>
      <c r="C4" s="81" t="s">
        <v>98</v>
      </c>
      <c r="D4" s="82"/>
      <c r="E4" s="83"/>
    </row>
    <row r="5" spans="2:5" ht="20.100000000000001" customHeight="1">
      <c r="B5" s="1" t="s">
        <v>56</v>
      </c>
      <c r="C5" s="81" t="s">
        <v>57</v>
      </c>
      <c r="D5" s="82"/>
      <c r="E5" s="83"/>
    </row>
    <row r="6" spans="2:5" ht="20.100000000000001" customHeight="1">
      <c r="B6" s="1" t="s">
        <v>58</v>
      </c>
      <c r="C6" s="81" t="s">
        <v>59</v>
      </c>
      <c r="D6" s="82"/>
      <c r="E6" s="83"/>
    </row>
    <row r="7" spans="2:5" ht="20.100000000000001" customHeight="1">
      <c r="B7" s="1" t="s">
        <v>60</v>
      </c>
      <c r="C7" s="81" t="s">
        <v>100</v>
      </c>
      <c r="D7" s="82"/>
      <c r="E7" s="83"/>
    </row>
    <row r="8" spans="2:5" ht="20.100000000000001" customHeight="1">
      <c r="B8" s="1" t="s">
        <v>62</v>
      </c>
      <c r="C8" s="81" t="s">
        <v>63</v>
      </c>
      <c r="D8" s="82"/>
      <c r="E8" s="83"/>
    </row>
    <row r="9" spans="2:5" ht="20.100000000000001" customHeight="1">
      <c r="B9" s="1" t="s">
        <v>64</v>
      </c>
      <c r="C9" s="81" t="s">
        <v>65</v>
      </c>
      <c r="D9" s="82"/>
      <c r="E9" s="83"/>
    </row>
    <row r="10" spans="2:5" ht="20.100000000000001" customHeight="1">
      <c r="B10" s="1" t="s">
        <v>66</v>
      </c>
      <c r="C10" s="81" t="s">
        <v>67</v>
      </c>
      <c r="D10" s="82"/>
      <c r="E10" s="83"/>
    </row>
    <row r="11" spans="2:5" ht="20.100000000000001" customHeight="1">
      <c r="B11" s="1" t="s">
        <v>68</v>
      </c>
      <c r="C11" s="81" t="s">
        <v>69</v>
      </c>
      <c r="D11" s="82"/>
      <c r="E11" s="83"/>
    </row>
    <row r="12" spans="2:5" ht="20.100000000000001" customHeight="1">
      <c r="B12" s="1" t="s">
        <v>70</v>
      </c>
      <c r="C12" s="81" t="s">
        <v>71</v>
      </c>
      <c r="D12" s="82"/>
      <c r="E12" s="83"/>
    </row>
    <row r="14" spans="2:5">
      <c r="B14" s="84" t="s">
        <v>72</v>
      </c>
      <c r="C14" s="70"/>
      <c r="D14" s="70"/>
      <c r="E14" s="70"/>
    </row>
    <row r="15" spans="2:5" ht="18" customHeight="1">
      <c r="B15" s="2" t="s">
        <v>73</v>
      </c>
      <c r="C15" s="85" t="s">
        <v>74</v>
      </c>
      <c r="D15" s="70"/>
      <c r="E15" s="70"/>
    </row>
    <row r="16" spans="2:5" ht="18" customHeight="1">
      <c r="B16" s="2" t="s">
        <v>75</v>
      </c>
      <c r="C16" s="85" t="s">
        <v>76</v>
      </c>
      <c r="D16" s="70"/>
      <c r="E16" s="70"/>
    </row>
    <row r="17" spans="2:8" ht="18" customHeight="1">
      <c r="B17" s="2" t="s">
        <v>77</v>
      </c>
      <c r="C17" s="85" t="s">
        <v>78</v>
      </c>
      <c r="D17" s="70"/>
      <c r="E17" s="70"/>
    </row>
    <row r="18" spans="2:8" ht="18" customHeight="1">
      <c r="B18" s="2" t="s">
        <v>79</v>
      </c>
      <c r="C18" s="85" t="s">
        <v>80</v>
      </c>
      <c r="D18" s="70"/>
      <c r="E18" s="70"/>
    </row>
    <row r="20" spans="2:8">
      <c r="B20" s="80" t="s">
        <v>81</v>
      </c>
      <c r="C20" s="70"/>
      <c r="D20" s="70"/>
      <c r="E20" s="70"/>
    </row>
    <row r="22" spans="2:8" ht="35.1" customHeight="1">
      <c r="B22" s="11" t="s">
        <v>224</v>
      </c>
      <c r="C22" s="11" t="s">
        <v>225</v>
      </c>
      <c r="D22" s="11" t="s">
        <v>226</v>
      </c>
      <c r="E22" s="11" t="s">
        <v>227</v>
      </c>
      <c r="F22" s="11" t="s">
        <v>228</v>
      </c>
      <c r="G22" s="11" t="s">
        <v>229</v>
      </c>
      <c r="H22" s="11" t="s">
        <v>230</v>
      </c>
    </row>
    <row r="23" spans="2:8" ht="24.95" customHeight="1">
      <c r="B23" s="12" t="s">
        <v>231</v>
      </c>
      <c r="C23" s="12" t="s">
        <v>232</v>
      </c>
      <c r="D23" s="13" t="s">
        <v>233</v>
      </c>
      <c r="E23" s="12" t="s">
        <v>234</v>
      </c>
      <c r="F23" s="12" t="s">
        <v>233</v>
      </c>
      <c r="G23" s="12" t="s">
        <v>65</v>
      </c>
      <c r="H23" s="12" t="s">
        <v>92</v>
      </c>
    </row>
    <row r="24" spans="2:8" ht="24.95" customHeight="1">
      <c r="B24" s="12" t="s">
        <v>235</v>
      </c>
      <c r="C24" s="12" t="s">
        <v>236</v>
      </c>
      <c r="D24" s="13" t="s">
        <v>233</v>
      </c>
      <c r="E24" s="12" t="s">
        <v>237</v>
      </c>
      <c r="F24" s="12" t="s">
        <v>238</v>
      </c>
      <c r="G24" s="12" t="s">
        <v>239</v>
      </c>
      <c r="H24" s="12" t="s">
        <v>240</v>
      </c>
    </row>
    <row r="25" spans="2:8" ht="24.95" customHeight="1">
      <c r="B25" s="12" t="s">
        <v>241</v>
      </c>
      <c r="C25" s="12" t="s">
        <v>242</v>
      </c>
      <c r="D25" s="13" t="s">
        <v>233</v>
      </c>
      <c r="E25" s="12" t="s">
        <v>243</v>
      </c>
      <c r="F25" s="12" t="s">
        <v>233</v>
      </c>
      <c r="G25" s="12" t="s">
        <v>65</v>
      </c>
      <c r="H25" s="12" t="s">
        <v>244</v>
      </c>
    </row>
    <row r="26" spans="2:8" ht="24.95" customHeight="1">
      <c r="B26" s="12" t="s">
        <v>245</v>
      </c>
      <c r="C26" s="12" t="s">
        <v>246</v>
      </c>
      <c r="D26" s="13" t="s">
        <v>233</v>
      </c>
      <c r="E26" s="12" t="s">
        <v>247</v>
      </c>
      <c r="F26" s="12" t="s">
        <v>233</v>
      </c>
      <c r="G26" s="12" t="s">
        <v>248</v>
      </c>
      <c r="H26" s="12" t="s">
        <v>249</v>
      </c>
    </row>
    <row r="27" spans="2:8" ht="24.95" customHeight="1">
      <c r="B27" s="12" t="s">
        <v>250</v>
      </c>
      <c r="C27" s="12" t="s">
        <v>251</v>
      </c>
      <c r="D27" s="13" t="s">
        <v>233</v>
      </c>
      <c r="E27" s="12" t="s">
        <v>252</v>
      </c>
      <c r="F27" s="12" t="s">
        <v>238</v>
      </c>
      <c r="G27" s="12" t="s">
        <v>253</v>
      </c>
      <c r="H27" s="12" t="s">
        <v>254</v>
      </c>
    </row>
    <row r="28" spans="2:8" ht="24.95" customHeight="1">
      <c r="B28" s="12" t="s">
        <v>255</v>
      </c>
      <c r="C28" s="12" t="s">
        <v>256</v>
      </c>
      <c r="D28" s="13" t="s">
        <v>233</v>
      </c>
      <c r="E28" s="12" t="s">
        <v>257</v>
      </c>
      <c r="F28" s="12" t="s">
        <v>233</v>
      </c>
      <c r="G28" s="12" t="s">
        <v>65</v>
      </c>
      <c r="H28" s="12" t="s">
        <v>258</v>
      </c>
    </row>
    <row r="29" spans="2:8" ht="24.95" customHeight="1">
      <c r="B29" s="12" t="s">
        <v>259</v>
      </c>
      <c r="C29" s="12" t="s">
        <v>260</v>
      </c>
      <c r="D29" s="13" t="s">
        <v>233</v>
      </c>
      <c r="E29" s="12" t="s">
        <v>261</v>
      </c>
      <c r="F29" s="12" t="s">
        <v>233</v>
      </c>
      <c r="G29" s="12" t="s">
        <v>262</v>
      </c>
      <c r="H29" s="12" t="s">
        <v>263</v>
      </c>
    </row>
    <row r="30" spans="2:8" ht="24.95" customHeight="1">
      <c r="B30" s="12" t="s">
        <v>264</v>
      </c>
      <c r="C30" s="12" t="s">
        <v>265</v>
      </c>
      <c r="D30" s="13" t="s">
        <v>233</v>
      </c>
      <c r="E30" s="12" t="s">
        <v>266</v>
      </c>
      <c r="F30" s="12" t="s">
        <v>233</v>
      </c>
      <c r="G30" s="12" t="s">
        <v>262</v>
      </c>
      <c r="H30" s="12" t="s">
        <v>267</v>
      </c>
    </row>
    <row r="31" spans="2:8" ht="24.95" customHeight="1">
      <c r="B31" s="12" t="s">
        <v>268</v>
      </c>
      <c r="C31" s="12" t="s">
        <v>269</v>
      </c>
      <c r="D31" s="13" t="s">
        <v>233</v>
      </c>
      <c r="E31" s="12" t="s">
        <v>270</v>
      </c>
      <c r="F31" s="12" t="s">
        <v>233</v>
      </c>
      <c r="G31" s="12" t="s">
        <v>262</v>
      </c>
      <c r="H31" s="12" t="s">
        <v>271</v>
      </c>
    </row>
    <row r="32" spans="2:8" ht="24.95" customHeight="1">
      <c r="B32" s="12" t="s">
        <v>272</v>
      </c>
      <c r="C32" s="12" t="s">
        <v>273</v>
      </c>
      <c r="D32" s="13" t="s">
        <v>233</v>
      </c>
      <c r="E32" s="12" t="s">
        <v>274</v>
      </c>
      <c r="F32" s="12" t="s">
        <v>233</v>
      </c>
      <c r="G32" s="12" t="s">
        <v>262</v>
      </c>
      <c r="H32" s="12" t="s">
        <v>275</v>
      </c>
    </row>
    <row r="33" spans="2:8" ht="24.95" customHeight="1">
      <c r="B33" s="12" t="s">
        <v>276</v>
      </c>
      <c r="C33" s="12" t="s">
        <v>277</v>
      </c>
      <c r="D33" s="13" t="s">
        <v>233</v>
      </c>
      <c r="E33" s="12" t="s">
        <v>278</v>
      </c>
      <c r="F33" s="12" t="s">
        <v>238</v>
      </c>
      <c r="G33" s="12" t="s">
        <v>262</v>
      </c>
      <c r="H33" s="12" t="s">
        <v>279</v>
      </c>
    </row>
    <row r="34" spans="2:8" ht="24.95" customHeight="1">
      <c r="B34" s="12" t="s">
        <v>280</v>
      </c>
      <c r="C34" s="12" t="s">
        <v>281</v>
      </c>
      <c r="D34" s="13" t="s">
        <v>233</v>
      </c>
      <c r="E34" s="12" t="s">
        <v>282</v>
      </c>
      <c r="F34" s="12" t="s">
        <v>233</v>
      </c>
      <c r="G34" s="12" t="s">
        <v>239</v>
      </c>
      <c r="H34" s="12" t="s">
        <v>283</v>
      </c>
    </row>
    <row r="35" spans="2:8" ht="24.95" customHeight="1">
      <c r="B35" s="12" t="s">
        <v>284</v>
      </c>
      <c r="C35" s="12" t="s">
        <v>285</v>
      </c>
      <c r="D35" s="13" t="s">
        <v>233</v>
      </c>
      <c r="E35" s="12" t="s">
        <v>286</v>
      </c>
      <c r="F35" s="12" t="s">
        <v>233</v>
      </c>
      <c r="G35" s="12" t="s">
        <v>287</v>
      </c>
      <c r="H35" s="12" t="s">
        <v>288</v>
      </c>
    </row>
    <row r="36" spans="2:8" ht="24.95" customHeight="1">
      <c r="B36" s="12" t="s">
        <v>289</v>
      </c>
      <c r="C36" s="12" t="s">
        <v>290</v>
      </c>
      <c r="D36" s="13" t="s">
        <v>233</v>
      </c>
      <c r="E36" s="12" t="s">
        <v>291</v>
      </c>
      <c r="F36" s="12" t="s">
        <v>238</v>
      </c>
      <c r="G36" s="12" t="s">
        <v>65</v>
      </c>
      <c r="H36" s="12" t="s">
        <v>292</v>
      </c>
    </row>
    <row r="37" spans="2:8" ht="24.95" customHeight="1">
      <c r="B37" s="12" t="s">
        <v>293</v>
      </c>
      <c r="C37" s="12" t="s">
        <v>294</v>
      </c>
      <c r="D37" s="13" t="s">
        <v>233</v>
      </c>
      <c r="E37" s="12" t="s">
        <v>295</v>
      </c>
      <c r="F37" s="12" t="s">
        <v>233</v>
      </c>
      <c r="G37" s="12" t="s">
        <v>239</v>
      </c>
      <c r="H37" s="12" t="s">
        <v>296</v>
      </c>
    </row>
    <row r="38" spans="2:8" ht="24.95" customHeight="1">
      <c r="B38" s="12" t="s">
        <v>297</v>
      </c>
      <c r="C38" s="12" t="s">
        <v>298</v>
      </c>
      <c r="D38" s="13" t="s">
        <v>233</v>
      </c>
      <c r="E38" s="12" t="s">
        <v>299</v>
      </c>
      <c r="F38" s="12" t="s">
        <v>233</v>
      </c>
      <c r="G38" s="12" t="s">
        <v>239</v>
      </c>
      <c r="H38" s="12" t="s">
        <v>300</v>
      </c>
    </row>
    <row r="39" spans="2:8" ht="24.95" customHeight="1">
      <c r="B39" s="12" t="s">
        <v>301</v>
      </c>
      <c r="C39" s="12" t="s">
        <v>302</v>
      </c>
      <c r="D39" s="13" t="s">
        <v>233</v>
      </c>
      <c r="E39" s="12" t="s">
        <v>303</v>
      </c>
      <c r="F39" s="12" t="s">
        <v>233</v>
      </c>
      <c r="G39" s="12" t="s">
        <v>304</v>
      </c>
      <c r="H39" s="12" t="s">
        <v>305</v>
      </c>
    </row>
    <row r="40" spans="2:8" ht="24.95" customHeight="1">
      <c r="B40" s="12" t="s">
        <v>306</v>
      </c>
      <c r="C40" s="12" t="s">
        <v>307</v>
      </c>
      <c r="D40" s="13" t="s">
        <v>233</v>
      </c>
      <c r="E40" s="12" t="s">
        <v>308</v>
      </c>
      <c r="F40" s="12" t="s">
        <v>233</v>
      </c>
      <c r="G40" s="12" t="s">
        <v>304</v>
      </c>
      <c r="H40" s="12" t="s">
        <v>309</v>
      </c>
    </row>
    <row r="41" spans="2:8" ht="24.95" customHeight="1">
      <c r="B41" s="12" t="s">
        <v>310</v>
      </c>
      <c r="C41" s="12" t="s">
        <v>311</v>
      </c>
      <c r="D41" s="13" t="s">
        <v>233</v>
      </c>
      <c r="E41" s="12" t="s">
        <v>312</v>
      </c>
      <c r="F41" s="12" t="s">
        <v>233</v>
      </c>
      <c r="G41" s="12" t="s">
        <v>304</v>
      </c>
      <c r="H41" s="12" t="s">
        <v>313</v>
      </c>
    </row>
    <row r="42" spans="2:8" ht="24.95" customHeight="1">
      <c r="B42" s="12" t="s">
        <v>314</v>
      </c>
      <c r="C42" s="12" t="s">
        <v>315</v>
      </c>
      <c r="D42" s="13" t="s">
        <v>233</v>
      </c>
      <c r="E42" s="12" t="s">
        <v>316</v>
      </c>
      <c r="F42" s="12" t="s">
        <v>233</v>
      </c>
      <c r="G42" s="12" t="s">
        <v>262</v>
      </c>
      <c r="H42" s="12" t="s">
        <v>317</v>
      </c>
    </row>
    <row r="43" spans="2:8" ht="24.95" customHeight="1">
      <c r="B43" s="12" t="s">
        <v>318</v>
      </c>
      <c r="C43" s="12" t="s">
        <v>319</v>
      </c>
      <c r="D43" s="13" t="s">
        <v>233</v>
      </c>
      <c r="E43" s="12" t="s">
        <v>320</v>
      </c>
      <c r="F43" s="12" t="s">
        <v>233</v>
      </c>
      <c r="G43" s="12" t="s">
        <v>262</v>
      </c>
      <c r="H43" s="12" t="s">
        <v>321</v>
      </c>
    </row>
    <row r="44" spans="2:8" ht="24.95" customHeight="1">
      <c r="B44" s="12" t="s">
        <v>322</v>
      </c>
      <c r="C44" s="12" t="s">
        <v>323</v>
      </c>
      <c r="D44" s="13" t="s">
        <v>233</v>
      </c>
      <c r="E44" s="12" t="s">
        <v>324</v>
      </c>
      <c r="F44" s="12" t="s">
        <v>238</v>
      </c>
      <c r="G44" s="12" t="s">
        <v>262</v>
      </c>
      <c r="H44" s="12" t="s">
        <v>325</v>
      </c>
    </row>
    <row r="45" spans="2:8" ht="24.95" customHeight="1">
      <c r="B45" s="12" t="s">
        <v>326</v>
      </c>
      <c r="C45" s="12" t="s">
        <v>327</v>
      </c>
      <c r="D45" s="13" t="s">
        <v>233</v>
      </c>
      <c r="E45" s="12" t="s">
        <v>328</v>
      </c>
      <c r="F45" s="12" t="s">
        <v>238</v>
      </c>
      <c r="G45" s="12" t="s">
        <v>262</v>
      </c>
      <c r="H45" s="12" t="s">
        <v>329</v>
      </c>
    </row>
    <row r="46" spans="2:8" ht="24.95" customHeight="1">
      <c r="B46" s="12" t="s">
        <v>330</v>
      </c>
      <c r="C46" s="12" t="s">
        <v>331</v>
      </c>
      <c r="D46" s="13" t="s">
        <v>233</v>
      </c>
      <c r="E46" s="12" t="s">
        <v>332</v>
      </c>
      <c r="F46" s="12" t="s">
        <v>233</v>
      </c>
      <c r="G46" s="12" t="s">
        <v>262</v>
      </c>
      <c r="H46" s="12" t="s">
        <v>333</v>
      </c>
    </row>
    <row r="47" spans="2:8" ht="24.95" customHeight="1">
      <c r="B47" s="12" t="s">
        <v>334</v>
      </c>
      <c r="C47" s="12" t="s">
        <v>335</v>
      </c>
      <c r="D47" s="13" t="s">
        <v>233</v>
      </c>
      <c r="E47" s="12" t="s">
        <v>336</v>
      </c>
      <c r="F47" s="12" t="s">
        <v>337</v>
      </c>
      <c r="G47" s="12" t="s">
        <v>262</v>
      </c>
      <c r="H47" s="12" t="s">
        <v>338</v>
      </c>
    </row>
    <row r="48" spans="2:8" ht="24.95" customHeight="1">
      <c r="B48" s="12" t="s">
        <v>339</v>
      </c>
      <c r="C48" s="12" t="s">
        <v>340</v>
      </c>
      <c r="D48" s="13" t="s">
        <v>233</v>
      </c>
      <c r="E48" s="12" t="s">
        <v>341</v>
      </c>
      <c r="F48" s="12" t="s">
        <v>233</v>
      </c>
      <c r="G48" s="12" t="s">
        <v>262</v>
      </c>
      <c r="H48" s="12" t="s">
        <v>61</v>
      </c>
    </row>
    <row r="49" spans="2:8" ht="24.95" customHeight="1">
      <c r="B49" s="12" t="s">
        <v>342</v>
      </c>
      <c r="C49" s="12" t="s">
        <v>343</v>
      </c>
      <c r="D49" s="13" t="s">
        <v>233</v>
      </c>
      <c r="E49" s="12" t="s">
        <v>344</v>
      </c>
      <c r="F49" s="12" t="s">
        <v>238</v>
      </c>
      <c r="G49" s="12" t="s">
        <v>345</v>
      </c>
      <c r="H49" s="12" t="s">
        <v>346</v>
      </c>
    </row>
    <row r="50" spans="2:8" ht="24.95" customHeight="1">
      <c r="B50" s="12" t="s">
        <v>347</v>
      </c>
      <c r="C50" s="12" t="s">
        <v>348</v>
      </c>
      <c r="D50" s="13" t="s">
        <v>233</v>
      </c>
      <c r="E50" s="12" t="s">
        <v>349</v>
      </c>
      <c r="F50" s="12" t="s">
        <v>238</v>
      </c>
      <c r="G50" s="12" t="s">
        <v>262</v>
      </c>
      <c r="H50" s="12" t="s">
        <v>350</v>
      </c>
    </row>
    <row r="51" spans="2:8" ht="24.95" customHeight="1">
      <c r="B51" s="12" t="s">
        <v>351</v>
      </c>
      <c r="C51" s="12" t="s">
        <v>352</v>
      </c>
      <c r="D51" s="13" t="s">
        <v>233</v>
      </c>
      <c r="E51" s="12" t="s">
        <v>353</v>
      </c>
      <c r="F51" s="12" t="s">
        <v>233</v>
      </c>
      <c r="G51" s="12" t="s">
        <v>248</v>
      </c>
      <c r="H51" s="12" t="s">
        <v>354</v>
      </c>
    </row>
    <row r="52" spans="2:8" ht="24.95" customHeight="1">
      <c r="B52" s="12" t="s">
        <v>355</v>
      </c>
      <c r="C52" s="12" t="s">
        <v>356</v>
      </c>
      <c r="D52" s="13" t="s">
        <v>233</v>
      </c>
      <c r="E52" s="12" t="s">
        <v>357</v>
      </c>
      <c r="F52" s="12" t="s">
        <v>233</v>
      </c>
      <c r="G52" s="12" t="s">
        <v>262</v>
      </c>
      <c r="H52" s="12" t="s">
        <v>358</v>
      </c>
    </row>
    <row r="53" spans="2:8" ht="24.95" customHeight="1">
      <c r="B53" s="12" t="s">
        <v>359</v>
      </c>
      <c r="C53" s="12" t="s">
        <v>360</v>
      </c>
      <c r="D53" s="13" t="s">
        <v>233</v>
      </c>
      <c r="E53" s="12" t="s">
        <v>361</v>
      </c>
      <c r="F53" s="12" t="s">
        <v>233</v>
      </c>
      <c r="G53" s="12" t="s">
        <v>262</v>
      </c>
      <c r="H53" s="12" t="s">
        <v>362</v>
      </c>
    </row>
  </sheetData>
  <mergeCells count="17">
    <mergeCell ref="B1:E1"/>
    <mergeCell ref="C11:E11"/>
    <mergeCell ref="C5:E5"/>
    <mergeCell ref="C8:E8"/>
    <mergeCell ref="C4:E4"/>
    <mergeCell ref="C17:E17"/>
    <mergeCell ref="B2:E2"/>
    <mergeCell ref="C6:E6"/>
    <mergeCell ref="C16:E16"/>
    <mergeCell ref="B20:E20"/>
    <mergeCell ref="C7:E7"/>
    <mergeCell ref="B14:E14"/>
    <mergeCell ref="C15:E15"/>
    <mergeCell ref="C12:E12"/>
    <mergeCell ref="C10:E10"/>
    <mergeCell ref="C18:E18"/>
    <mergeCell ref="C9:E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B1:G41"/>
  <sheetViews>
    <sheetView workbookViewId="0"/>
  </sheetViews>
  <sheetFormatPr baseColWidth="10" defaultColWidth="9.140625" defaultRowHeight="15"/>
  <cols>
    <col min="1" max="1" width="3" customWidth="1"/>
    <col min="2" max="2" width="20" customWidth="1"/>
    <col min="3" max="3" width="30" customWidth="1"/>
    <col min="4" max="4" width="20" customWidth="1"/>
    <col min="5" max="5" width="30" customWidth="1"/>
    <col min="6" max="6" width="3" customWidth="1"/>
  </cols>
  <sheetData>
    <row r="1" spans="2:5" ht="30" customHeight="1">
      <c r="B1" s="87" t="s">
        <v>52</v>
      </c>
      <c r="C1" s="70"/>
      <c r="D1" s="70"/>
      <c r="E1" s="70"/>
    </row>
    <row r="2" spans="2:5" ht="24.95" customHeight="1">
      <c r="B2" s="86" t="s">
        <v>363</v>
      </c>
      <c r="C2" s="70"/>
      <c r="D2" s="70"/>
      <c r="E2" s="70"/>
    </row>
    <row r="3" spans="2:5" ht="9.9499999999999993" customHeight="1"/>
    <row r="4" spans="2:5" ht="20.100000000000001" customHeight="1">
      <c r="B4" s="1" t="s">
        <v>54</v>
      </c>
      <c r="C4" s="81" t="s">
        <v>107</v>
      </c>
      <c r="D4" s="82"/>
      <c r="E4" s="83"/>
    </row>
    <row r="5" spans="2:5" ht="20.100000000000001" customHeight="1">
      <c r="B5" s="1" t="s">
        <v>56</v>
      </c>
      <c r="C5" s="81" t="s">
        <v>57</v>
      </c>
      <c r="D5" s="82"/>
      <c r="E5" s="83"/>
    </row>
    <row r="6" spans="2:5" ht="20.100000000000001" customHeight="1">
      <c r="B6" s="1" t="s">
        <v>58</v>
      </c>
      <c r="C6" s="81" t="s">
        <v>59</v>
      </c>
      <c r="D6" s="82"/>
      <c r="E6" s="83"/>
    </row>
    <row r="7" spans="2:5" ht="20.100000000000001" customHeight="1">
      <c r="B7" s="1" t="s">
        <v>60</v>
      </c>
      <c r="C7" s="81" t="s">
        <v>109</v>
      </c>
      <c r="D7" s="82"/>
      <c r="E7" s="83"/>
    </row>
    <row r="8" spans="2:5" ht="20.100000000000001" customHeight="1">
      <c r="B8" s="1" t="s">
        <v>62</v>
      </c>
      <c r="C8" s="81" t="s">
        <v>63</v>
      </c>
      <c r="D8" s="82"/>
      <c r="E8" s="83"/>
    </row>
    <row r="9" spans="2:5" ht="20.100000000000001" customHeight="1">
      <c r="B9" s="1" t="s">
        <v>64</v>
      </c>
      <c r="C9" s="81" t="s">
        <v>65</v>
      </c>
      <c r="D9" s="82"/>
      <c r="E9" s="83"/>
    </row>
    <row r="10" spans="2:5" ht="20.100000000000001" customHeight="1">
      <c r="B10" s="1" t="s">
        <v>66</v>
      </c>
      <c r="C10" s="81" t="s">
        <v>67</v>
      </c>
      <c r="D10" s="82"/>
      <c r="E10" s="83"/>
    </row>
    <row r="11" spans="2:5" ht="20.100000000000001" customHeight="1">
      <c r="B11" s="1" t="s">
        <v>68</v>
      </c>
      <c r="C11" s="81" t="s">
        <v>69</v>
      </c>
      <c r="D11" s="82"/>
      <c r="E11" s="83"/>
    </row>
    <row r="12" spans="2:5" ht="20.100000000000001" customHeight="1">
      <c r="B12" s="1" t="s">
        <v>70</v>
      </c>
      <c r="C12" s="81" t="s">
        <v>71</v>
      </c>
      <c r="D12" s="82"/>
      <c r="E12" s="83"/>
    </row>
    <row r="14" spans="2:5">
      <c r="B14" s="84" t="s">
        <v>72</v>
      </c>
      <c r="C14" s="70"/>
      <c r="D14" s="70"/>
      <c r="E14" s="70"/>
    </row>
    <row r="15" spans="2:5" ht="18" customHeight="1">
      <c r="B15" s="2" t="s">
        <v>73</v>
      </c>
      <c r="C15" s="85" t="s">
        <v>74</v>
      </c>
      <c r="D15" s="70"/>
      <c r="E15" s="70"/>
    </row>
    <row r="16" spans="2:5" ht="18" customHeight="1">
      <c r="B16" s="2" t="s">
        <v>75</v>
      </c>
      <c r="C16" s="85" t="s">
        <v>76</v>
      </c>
      <c r="D16" s="70"/>
      <c r="E16" s="70"/>
    </row>
    <row r="17" spans="2:7" ht="18" customHeight="1">
      <c r="B17" s="2" t="s">
        <v>77</v>
      </c>
      <c r="C17" s="85" t="s">
        <v>78</v>
      </c>
      <c r="D17" s="70"/>
      <c r="E17" s="70"/>
    </row>
    <row r="18" spans="2:7" ht="18" customHeight="1">
      <c r="B18" s="2" t="s">
        <v>79</v>
      </c>
      <c r="C18" s="85" t="s">
        <v>80</v>
      </c>
      <c r="D18" s="70"/>
      <c r="E18" s="70"/>
    </row>
    <row r="20" spans="2:7">
      <c r="B20" s="80" t="s">
        <v>81</v>
      </c>
      <c r="C20" s="70"/>
      <c r="D20" s="70"/>
      <c r="E20" s="70"/>
    </row>
    <row r="22" spans="2:7">
      <c r="B22" s="94" t="s">
        <v>364</v>
      </c>
      <c r="C22" s="70"/>
      <c r="D22" s="70"/>
      <c r="E22" s="70"/>
    </row>
    <row r="23" spans="2:7">
      <c r="B23" s="10" t="s">
        <v>365</v>
      </c>
      <c r="C23" s="95" t="s">
        <v>366</v>
      </c>
      <c r="D23" s="70"/>
      <c r="E23" s="70"/>
    </row>
    <row r="24" spans="2:7">
      <c r="B24" s="10" t="s">
        <v>367</v>
      </c>
      <c r="C24" s="95" t="s">
        <v>368</v>
      </c>
      <c r="D24" s="70"/>
      <c r="E24" s="70"/>
    </row>
    <row r="25" spans="2:7">
      <c r="B25" s="10" t="s">
        <v>369</v>
      </c>
      <c r="C25" s="95" t="s">
        <v>370</v>
      </c>
      <c r="D25" s="70"/>
      <c r="E25" s="70"/>
    </row>
    <row r="26" spans="2:7">
      <c r="B26" s="10" t="s">
        <v>371</v>
      </c>
      <c r="C26" s="95" t="s">
        <v>370</v>
      </c>
      <c r="D26" s="70"/>
      <c r="E26" s="70"/>
    </row>
    <row r="27" spans="2:7">
      <c r="B27" s="10" t="s">
        <v>372</v>
      </c>
      <c r="C27" s="95" t="s">
        <v>373</v>
      </c>
      <c r="D27" s="70"/>
      <c r="E27" s="70"/>
    </row>
    <row r="29" spans="2:7">
      <c r="B29" s="94" t="s">
        <v>374</v>
      </c>
      <c r="C29" s="70"/>
      <c r="D29" s="70"/>
      <c r="E29" s="70"/>
    </row>
    <row r="30" spans="2:7">
      <c r="B30" s="14" t="s">
        <v>375</v>
      </c>
      <c r="C30" s="14" t="s">
        <v>376</v>
      </c>
      <c r="D30" s="14" t="s">
        <v>377</v>
      </c>
      <c r="E30" s="14" t="s">
        <v>378</v>
      </c>
      <c r="F30" s="14" t="s">
        <v>89</v>
      </c>
      <c r="G30" s="14" t="s">
        <v>379</v>
      </c>
    </row>
    <row r="31" spans="2:7">
      <c r="B31" s="6" t="s">
        <v>380</v>
      </c>
      <c r="C31" s="6" t="s">
        <v>381</v>
      </c>
      <c r="D31" s="6" t="s">
        <v>382</v>
      </c>
      <c r="E31" s="6" t="s">
        <v>383</v>
      </c>
      <c r="F31" s="6" t="s">
        <v>384</v>
      </c>
      <c r="G31" s="6" t="s">
        <v>385</v>
      </c>
    </row>
    <row r="32" spans="2:7">
      <c r="B32" s="6" t="s">
        <v>386</v>
      </c>
      <c r="C32" s="6" t="s">
        <v>387</v>
      </c>
      <c r="D32" s="6" t="s">
        <v>388</v>
      </c>
      <c r="E32" s="6" t="s">
        <v>389</v>
      </c>
      <c r="F32" s="6" t="s">
        <v>384</v>
      </c>
      <c r="G32" s="6" t="s">
        <v>385</v>
      </c>
    </row>
    <row r="33" spans="2:7">
      <c r="B33" s="6" t="s">
        <v>390</v>
      </c>
      <c r="C33" s="6" t="s">
        <v>391</v>
      </c>
      <c r="D33" s="6" t="s">
        <v>392</v>
      </c>
      <c r="E33" s="6" t="s">
        <v>389</v>
      </c>
      <c r="F33" s="6" t="s">
        <v>384</v>
      </c>
      <c r="G33" s="6" t="s">
        <v>385</v>
      </c>
    </row>
    <row r="34" spans="2:7">
      <c r="B34" s="6" t="s">
        <v>393</v>
      </c>
      <c r="C34" s="6" t="s">
        <v>394</v>
      </c>
      <c r="D34" s="6" t="s">
        <v>395</v>
      </c>
      <c r="E34" s="6" t="s">
        <v>383</v>
      </c>
      <c r="F34" s="6" t="s">
        <v>384</v>
      </c>
      <c r="G34" s="6" t="s">
        <v>385</v>
      </c>
    </row>
    <row r="37" spans="2:7">
      <c r="B37" s="94" t="s">
        <v>396</v>
      </c>
      <c r="C37" s="70"/>
      <c r="D37" s="70"/>
      <c r="E37" s="70"/>
    </row>
    <row r="38" spans="2:7" ht="24.95" customHeight="1">
      <c r="B38" s="10" t="s">
        <v>397</v>
      </c>
      <c r="C38" s="96" t="s">
        <v>398</v>
      </c>
      <c r="D38" s="70"/>
      <c r="E38" s="70"/>
    </row>
    <row r="39" spans="2:7" ht="24.95" customHeight="1">
      <c r="B39" s="10" t="s">
        <v>399</v>
      </c>
      <c r="C39" s="96" t="s">
        <v>400</v>
      </c>
      <c r="D39" s="70"/>
      <c r="E39" s="70"/>
    </row>
    <row r="40" spans="2:7" ht="24.95" customHeight="1">
      <c r="B40" s="10" t="s">
        <v>401</v>
      </c>
      <c r="C40" s="96" t="s">
        <v>402</v>
      </c>
      <c r="D40" s="70"/>
      <c r="E40" s="70"/>
    </row>
    <row r="41" spans="2:7" ht="24.95" customHeight="1">
      <c r="B41" s="10" t="s">
        <v>403</v>
      </c>
      <c r="C41" s="96" t="s">
        <v>404</v>
      </c>
      <c r="D41" s="70"/>
      <c r="E41" s="70"/>
    </row>
  </sheetData>
  <mergeCells count="29">
    <mergeCell ref="C9:E9"/>
    <mergeCell ref="B20:E20"/>
    <mergeCell ref="C12:E12"/>
    <mergeCell ref="C11:E11"/>
    <mergeCell ref="C27:E27"/>
    <mergeCell ref="C23:E23"/>
    <mergeCell ref="C38:E38"/>
    <mergeCell ref="C18:E18"/>
    <mergeCell ref="B37:E37"/>
    <mergeCell ref="C16:E16"/>
    <mergeCell ref="C41:E41"/>
    <mergeCell ref="C40:E40"/>
    <mergeCell ref="C39:E39"/>
    <mergeCell ref="B1:E1"/>
    <mergeCell ref="C5:E5"/>
    <mergeCell ref="C4:E4"/>
    <mergeCell ref="B29:E29"/>
    <mergeCell ref="C26:E26"/>
    <mergeCell ref="C25:E25"/>
    <mergeCell ref="C10:E10"/>
    <mergeCell ref="B2:E2"/>
    <mergeCell ref="C15:E15"/>
    <mergeCell ref="C6:E6"/>
    <mergeCell ref="C24:E24"/>
    <mergeCell ref="B14:E14"/>
    <mergeCell ref="C8:E8"/>
    <mergeCell ref="C17:E17"/>
    <mergeCell ref="C7:E7"/>
    <mergeCell ref="B22:E2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H40"/>
  <sheetViews>
    <sheetView workbookViewId="0"/>
  </sheetViews>
  <sheetFormatPr baseColWidth="10" defaultColWidth="9.140625" defaultRowHeight="15"/>
  <cols>
    <col min="1" max="1" width="3" style="138" customWidth="1"/>
    <col min="2" max="7" width="18" style="138" customWidth="1"/>
    <col min="8" max="16384" width="9.140625" style="138"/>
  </cols>
  <sheetData>
    <row r="1" spans="1:8" ht="30" customHeight="1">
      <c r="A1" s="49"/>
      <c r="B1" s="136" t="s">
        <v>52</v>
      </c>
      <c r="C1" s="117"/>
      <c r="D1" s="117"/>
      <c r="E1" s="117"/>
      <c r="F1" s="49"/>
      <c r="G1" s="49"/>
      <c r="H1" s="49"/>
    </row>
    <row r="2" spans="1:8" ht="24.95" customHeight="1">
      <c r="A2" s="49"/>
      <c r="B2" s="137" t="s">
        <v>405</v>
      </c>
      <c r="C2" s="117"/>
      <c r="D2" s="117"/>
      <c r="E2" s="117"/>
      <c r="F2" s="49"/>
      <c r="G2" s="49"/>
      <c r="H2" s="49"/>
    </row>
    <row r="3" spans="1:8" ht="9.9499999999999993" customHeight="1">
      <c r="A3" s="49"/>
      <c r="B3" s="49"/>
      <c r="C3" s="49"/>
      <c r="D3" s="49"/>
      <c r="E3" s="49"/>
      <c r="F3" s="49"/>
      <c r="G3" s="49"/>
      <c r="H3" s="49"/>
    </row>
    <row r="4" spans="1:8" ht="20.100000000000001" customHeight="1">
      <c r="A4" s="49"/>
      <c r="B4" s="1" t="s">
        <v>54</v>
      </c>
      <c r="C4" s="81" t="s">
        <v>112</v>
      </c>
      <c r="D4" s="117"/>
      <c r="E4" s="117"/>
      <c r="F4" s="49"/>
      <c r="G4" s="49"/>
      <c r="H4" s="49"/>
    </row>
    <row r="5" spans="1:8" ht="20.100000000000001" customHeight="1">
      <c r="A5" s="49"/>
      <c r="B5" s="1" t="s">
        <v>56</v>
      </c>
      <c r="C5" s="81" t="s">
        <v>57</v>
      </c>
      <c r="D5" s="117"/>
      <c r="E5" s="117"/>
      <c r="F5" s="49"/>
      <c r="G5" s="49"/>
      <c r="H5" s="49"/>
    </row>
    <row r="6" spans="1:8" ht="20.100000000000001" customHeight="1">
      <c r="A6" s="49"/>
      <c r="B6" s="1" t="s">
        <v>58</v>
      </c>
      <c r="C6" s="81" t="s">
        <v>59</v>
      </c>
      <c r="D6" s="117"/>
      <c r="E6" s="117"/>
      <c r="F6" s="49"/>
      <c r="G6" s="49"/>
      <c r="H6" s="49"/>
    </row>
    <row r="7" spans="1:8" ht="20.100000000000001" customHeight="1">
      <c r="A7" s="49"/>
      <c r="B7" s="1" t="s">
        <v>60</v>
      </c>
      <c r="C7" s="81" t="s">
        <v>114</v>
      </c>
      <c r="D7" s="117"/>
      <c r="E7" s="117"/>
      <c r="F7" s="49"/>
      <c r="G7" s="49"/>
      <c r="H7" s="49"/>
    </row>
    <row r="8" spans="1:8" ht="20.100000000000001" customHeight="1">
      <c r="B8" s="139" t="s">
        <v>62</v>
      </c>
      <c r="C8" s="140" t="s">
        <v>63</v>
      </c>
      <c r="D8" s="132"/>
      <c r="E8" s="132"/>
    </row>
    <row r="9" spans="1:8" ht="20.100000000000001" customHeight="1">
      <c r="A9" s="49"/>
      <c r="B9" s="1" t="s">
        <v>64</v>
      </c>
      <c r="C9" s="81" t="s">
        <v>65</v>
      </c>
      <c r="D9" s="117"/>
      <c r="E9" s="117"/>
      <c r="F9" s="49"/>
      <c r="G9" s="49"/>
      <c r="H9" s="49"/>
    </row>
    <row r="10" spans="1:8" ht="20.100000000000001" customHeight="1">
      <c r="A10" s="49"/>
      <c r="B10" s="1" t="s">
        <v>66</v>
      </c>
      <c r="C10" s="81" t="s">
        <v>67</v>
      </c>
      <c r="D10" s="117"/>
      <c r="E10" s="117"/>
      <c r="F10" s="49"/>
      <c r="G10" s="49"/>
      <c r="H10" s="49"/>
    </row>
    <row r="11" spans="1:8" ht="20.100000000000001" customHeight="1">
      <c r="A11" s="49"/>
      <c r="B11" s="1" t="s">
        <v>68</v>
      </c>
      <c r="C11" s="81" t="s">
        <v>69</v>
      </c>
      <c r="D11" s="117"/>
      <c r="E11" s="117"/>
      <c r="F11" s="49"/>
      <c r="G11" s="49"/>
      <c r="H11" s="49"/>
    </row>
    <row r="12" spans="1:8" ht="20.100000000000001" customHeight="1">
      <c r="A12" s="49"/>
      <c r="B12" s="1" t="s">
        <v>70</v>
      </c>
      <c r="C12" s="81" t="s">
        <v>71</v>
      </c>
      <c r="D12" s="117"/>
      <c r="E12" s="117"/>
      <c r="F12" s="49"/>
      <c r="G12" s="49"/>
      <c r="H12" s="49"/>
    </row>
    <row r="13" spans="1:8">
      <c r="A13" s="49"/>
      <c r="B13" s="49"/>
      <c r="C13" s="49"/>
      <c r="D13" s="49"/>
      <c r="E13" s="49"/>
      <c r="F13" s="49"/>
      <c r="G13" s="49"/>
      <c r="H13" s="49"/>
    </row>
    <row r="14" spans="1:8">
      <c r="A14" s="49"/>
      <c r="B14" s="131" t="s">
        <v>72</v>
      </c>
      <c r="C14" s="117"/>
      <c r="D14" s="117"/>
      <c r="E14" s="117"/>
      <c r="F14" s="49"/>
      <c r="G14" s="49"/>
      <c r="H14" s="49"/>
    </row>
    <row r="15" spans="1:8" ht="18" customHeight="1">
      <c r="B15" s="141" t="s">
        <v>73</v>
      </c>
      <c r="C15" s="142" t="s">
        <v>74</v>
      </c>
      <c r="D15" s="132"/>
      <c r="E15" s="132"/>
    </row>
    <row r="16" spans="1:8" ht="18" customHeight="1">
      <c r="A16" s="49"/>
      <c r="B16" s="126" t="s">
        <v>75</v>
      </c>
      <c r="C16" s="127" t="s">
        <v>76</v>
      </c>
      <c r="D16" s="117"/>
      <c r="E16" s="117"/>
      <c r="F16" s="49"/>
      <c r="G16" s="49"/>
      <c r="H16" s="49"/>
    </row>
    <row r="17" spans="1:8" ht="18" customHeight="1">
      <c r="A17" s="49"/>
      <c r="B17" s="126" t="s">
        <v>77</v>
      </c>
      <c r="C17" s="127" t="s">
        <v>78</v>
      </c>
      <c r="D17" s="117"/>
      <c r="E17" s="117"/>
      <c r="F17" s="49"/>
      <c r="G17" s="49"/>
      <c r="H17" s="49"/>
    </row>
    <row r="18" spans="1:8" ht="18" customHeight="1">
      <c r="A18" s="49"/>
      <c r="B18" s="126" t="s">
        <v>79</v>
      </c>
      <c r="C18" s="127" t="s">
        <v>80</v>
      </c>
      <c r="D18" s="117"/>
      <c r="E18" s="117"/>
      <c r="F18" s="49"/>
      <c r="G18" s="49"/>
      <c r="H18" s="49"/>
    </row>
    <row r="19" spans="1:8">
      <c r="A19" s="49"/>
      <c r="B19" s="49"/>
      <c r="C19" s="49"/>
      <c r="D19" s="49"/>
      <c r="E19" s="49"/>
      <c r="F19" s="49"/>
      <c r="G19" s="49"/>
      <c r="H19" s="49"/>
    </row>
    <row r="20" spans="1:8">
      <c r="A20" s="49"/>
      <c r="B20" s="128" t="s">
        <v>81</v>
      </c>
      <c r="C20" s="117"/>
      <c r="D20" s="117"/>
      <c r="E20" s="117"/>
      <c r="F20" s="49"/>
      <c r="G20" s="49"/>
      <c r="H20" s="49"/>
    </row>
    <row r="21" spans="1:8">
      <c r="A21" s="49"/>
      <c r="B21" s="49"/>
      <c r="C21" s="49"/>
      <c r="D21" s="49"/>
      <c r="E21" s="49"/>
      <c r="F21" s="49"/>
      <c r="G21" s="49"/>
      <c r="H21" s="49"/>
    </row>
    <row r="22" spans="1:8">
      <c r="B22" s="143" t="s">
        <v>406</v>
      </c>
      <c r="C22" s="132"/>
      <c r="D22" s="132"/>
      <c r="E22" s="132"/>
    </row>
    <row r="23" spans="1:8">
      <c r="A23" s="49"/>
      <c r="B23" s="146" t="s">
        <v>407</v>
      </c>
      <c r="C23" s="146" t="s">
        <v>84</v>
      </c>
      <c r="D23" s="146" t="s">
        <v>408</v>
      </c>
      <c r="E23" s="146" t="s">
        <v>409</v>
      </c>
      <c r="F23" s="146" t="s">
        <v>410</v>
      </c>
      <c r="G23" s="146" t="s">
        <v>114</v>
      </c>
      <c r="H23" s="49"/>
    </row>
    <row r="24" spans="1:8" ht="30" customHeight="1">
      <c r="A24" s="49"/>
      <c r="B24" s="12" t="s">
        <v>59</v>
      </c>
      <c r="C24" s="12" t="s">
        <v>411</v>
      </c>
      <c r="D24" s="12" t="s">
        <v>412</v>
      </c>
      <c r="E24" s="12" t="s">
        <v>413</v>
      </c>
      <c r="F24" s="12" t="s">
        <v>414</v>
      </c>
      <c r="G24" s="12" t="s">
        <v>415</v>
      </c>
      <c r="H24" s="49"/>
    </row>
    <row r="25" spans="1:8">
      <c r="A25" s="49"/>
      <c r="B25" s="49"/>
      <c r="C25" s="49"/>
      <c r="D25" s="49"/>
      <c r="E25" s="49"/>
      <c r="F25" s="49"/>
      <c r="G25" s="49"/>
      <c r="H25" s="49"/>
    </row>
    <row r="26" spans="1:8">
      <c r="A26" s="49"/>
      <c r="B26" s="49"/>
      <c r="C26" s="49"/>
      <c r="D26" s="49"/>
      <c r="E26" s="49"/>
      <c r="F26" s="49"/>
      <c r="G26" s="49"/>
      <c r="H26" s="49"/>
    </row>
    <row r="27" spans="1:8">
      <c r="A27" s="49"/>
      <c r="B27" s="145" t="s">
        <v>416</v>
      </c>
      <c r="C27" s="117"/>
      <c r="D27" s="117"/>
      <c r="E27" s="117"/>
      <c r="F27" s="49"/>
      <c r="G27" s="49"/>
      <c r="H27" s="49"/>
    </row>
    <row r="28" spans="1:8" ht="20.100000000000001" customHeight="1">
      <c r="A28" s="49"/>
      <c r="B28" s="123" t="s">
        <v>417</v>
      </c>
      <c r="C28" s="117"/>
      <c r="D28" s="117"/>
      <c r="E28" s="117"/>
      <c r="F28" s="49"/>
      <c r="G28" s="49"/>
      <c r="H28" s="49"/>
    </row>
    <row r="29" spans="1:8" ht="20.100000000000001" customHeight="1">
      <c r="A29" s="49"/>
      <c r="B29" s="123" t="s">
        <v>418</v>
      </c>
      <c r="C29" s="117"/>
      <c r="D29" s="117"/>
      <c r="E29" s="117"/>
      <c r="F29" s="49"/>
      <c r="G29" s="49"/>
      <c r="H29" s="49"/>
    </row>
    <row r="30" spans="1:8" ht="20.100000000000001" customHeight="1">
      <c r="A30" s="49"/>
      <c r="B30" s="123" t="s">
        <v>419</v>
      </c>
      <c r="C30" s="117"/>
      <c r="D30" s="117"/>
      <c r="E30" s="117"/>
      <c r="F30" s="49"/>
      <c r="G30" s="49"/>
      <c r="H30" s="49"/>
    </row>
    <row r="31" spans="1:8" ht="20.100000000000001" customHeight="1">
      <c r="B31" s="144" t="s">
        <v>420</v>
      </c>
      <c r="C31" s="132"/>
      <c r="D31" s="132"/>
      <c r="E31" s="132"/>
    </row>
    <row r="32" spans="1:8" ht="20.100000000000001" customHeight="1">
      <c r="A32" s="49"/>
      <c r="B32" s="123" t="s">
        <v>421</v>
      </c>
      <c r="C32" s="117"/>
      <c r="D32" s="117"/>
      <c r="E32" s="117"/>
      <c r="F32" s="49"/>
      <c r="G32" s="49"/>
      <c r="H32" s="49"/>
    </row>
    <row r="33" spans="1:8" ht="20.100000000000001" customHeight="1">
      <c r="A33" s="49"/>
      <c r="B33" s="123" t="s">
        <v>422</v>
      </c>
      <c r="C33" s="117"/>
      <c r="D33" s="117"/>
      <c r="E33" s="117"/>
      <c r="F33" s="49"/>
      <c r="G33" s="49"/>
      <c r="H33" s="49"/>
    </row>
    <row r="34" spans="1:8" ht="20.100000000000001" customHeight="1">
      <c r="A34" s="49"/>
      <c r="B34" s="123" t="s">
        <v>423</v>
      </c>
      <c r="C34" s="117"/>
      <c r="D34" s="117"/>
      <c r="E34" s="117"/>
      <c r="F34" s="49"/>
      <c r="G34" s="49"/>
      <c r="H34" s="49"/>
    </row>
    <row r="35" spans="1:8" ht="20.100000000000001" customHeight="1">
      <c r="A35" s="49"/>
      <c r="B35" s="123" t="s">
        <v>424</v>
      </c>
      <c r="C35" s="117"/>
      <c r="D35" s="117"/>
      <c r="E35" s="117"/>
      <c r="F35" s="49"/>
      <c r="G35" s="49"/>
      <c r="H35" s="49"/>
    </row>
    <row r="36" spans="1:8" ht="20.100000000000001" customHeight="1">
      <c r="A36" s="49"/>
      <c r="B36" s="123" t="s">
        <v>425</v>
      </c>
      <c r="C36" s="117"/>
      <c r="D36" s="117"/>
      <c r="E36" s="117"/>
      <c r="F36" s="49"/>
      <c r="G36" s="49"/>
      <c r="H36" s="49"/>
    </row>
    <row r="37" spans="1:8" ht="20.100000000000001" customHeight="1">
      <c r="A37" s="49"/>
      <c r="B37" s="123" t="s">
        <v>426</v>
      </c>
      <c r="C37" s="117"/>
      <c r="D37" s="117"/>
      <c r="E37" s="117"/>
      <c r="F37" s="49"/>
      <c r="G37" s="49"/>
      <c r="H37" s="49"/>
    </row>
    <row r="38" spans="1:8" ht="20.100000000000001" customHeight="1">
      <c r="A38" s="49"/>
      <c r="B38" s="123" t="s">
        <v>427</v>
      </c>
      <c r="C38" s="117"/>
      <c r="D38" s="117"/>
      <c r="E38" s="117"/>
      <c r="F38" s="49"/>
      <c r="G38" s="49"/>
      <c r="H38" s="49"/>
    </row>
    <row r="39" spans="1:8" ht="20.100000000000001" customHeight="1">
      <c r="A39" s="49"/>
      <c r="B39" s="123" t="s">
        <v>428</v>
      </c>
      <c r="C39" s="117"/>
      <c r="D39" s="117"/>
      <c r="E39" s="117"/>
      <c r="F39" s="49"/>
      <c r="G39" s="49"/>
      <c r="H39" s="49"/>
    </row>
    <row r="40" spans="1:8" ht="20.100000000000001" customHeight="1">
      <c r="B40" s="144" t="s">
        <v>429</v>
      </c>
      <c r="C40" s="132"/>
      <c r="D40" s="132"/>
      <c r="E40" s="132"/>
    </row>
  </sheetData>
  <mergeCells count="32">
    <mergeCell ref="B40:E40"/>
    <mergeCell ref="B37:E37"/>
    <mergeCell ref="B30:E30"/>
    <mergeCell ref="C9:E9"/>
    <mergeCell ref="B33:E33"/>
    <mergeCell ref="B20:E20"/>
    <mergeCell ref="C12:E12"/>
    <mergeCell ref="B36:E36"/>
    <mergeCell ref="B32:E32"/>
    <mergeCell ref="C11:E11"/>
    <mergeCell ref="B35:E35"/>
    <mergeCell ref="B39:E39"/>
    <mergeCell ref="B38:E38"/>
    <mergeCell ref="B34:E34"/>
    <mergeCell ref="C17:E17"/>
    <mergeCell ref="C7:E7"/>
    <mergeCell ref="B22:E22"/>
    <mergeCell ref="B31:E31"/>
    <mergeCell ref="B27:E27"/>
    <mergeCell ref="C18:E18"/>
    <mergeCell ref="B29:E29"/>
    <mergeCell ref="B28:E28"/>
    <mergeCell ref="C16:E16"/>
    <mergeCell ref="B2:E2"/>
    <mergeCell ref="C15:E15"/>
    <mergeCell ref="C6:E6"/>
    <mergeCell ref="B14:E14"/>
    <mergeCell ref="B1:E1"/>
    <mergeCell ref="C5:E5"/>
    <mergeCell ref="C4:E4"/>
    <mergeCell ref="C10:E10"/>
    <mergeCell ref="C8:E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H39"/>
  <sheetViews>
    <sheetView topLeftCell="A26" workbookViewId="0"/>
  </sheetViews>
  <sheetFormatPr baseColWidth="10" defaultColWidth="9.140625" defaultRowHeight="15"/>
  <cols>
    <col min="1" max="1" width="18" style="138" customWidth="1"/>
    <col min="2" max="2" width="35" style="138" customWidth="1"/>
    <col min="3" max="3" width="12" style="138" customWidth="1"/>
    <col min="4" max="4" width="15" style="138" customWidth="1"/>
    <col min="5" max="5" width="30" style="138" customWidth="1"/>
    <col min="6" max="6" width="25" style="138" customWidth="1"/>
    <col min="7" max="16384" width="9.140625" style="138"/>
  </cols>
  <sheetData>
    <row r="1" spans="1:8" ht="30" customHeight="1">
      <c r="A1" s="133" t="s">
        <v>430</v>
      </c>
      <c r="B1" s="117"/>
      <c r="C1" s="117"/>
      <c r="D1" s="117"/>
      <c r="E1" s="117"/>
      <c r="F1" s="117"/>
      <c r="G1" s="117"/>
      <c r="H1" s="117"/>
    </row>
    <row r="2" spans="1:8">
      <c r="A2" s="134" t="s">
        <v>54</v>
      </c>
      <c r="B2" s="135" t="s">
        <v>431</v>
      </c>
      <c r="C2" s="117"/>
      <c r="D2" s="49"/>
      <c r="E2" s="134" t="s">
        <v>56</v>
      </c>
      <c r="F2" s="135" t="s">
        <v>57</v>
      </c>
      <c r="G2" s="117"/>
      <c r="H2" s="117"/>
    </row>
    <row r="3" spans="1:8">
      <c r="A3" s="134" t="s">
        <v>432</v>
      </c>
      <c r="B3" s="135" t="s">
        <v>433</v>
      </c>
      <c r="C3" s="117"/>
      <c r="D3" s="49"/>
      <c r="E3" s="134" t="s">
        <v>434</v>
      </c>
      <c r="F3" s="135" t="s">
        <v>59</v>
      </c>
      <c r="G3" s="117"/>
      <c r="H3" s="117"/>
    </row>
    <row r="4" spans="1:8">
      <c r="A4" s="134" t="s">
        <v>64</v>
      </c>
      <c r="B4" s="135" t="s">
        <v>65</v>
      </c>
      <c r="C4" s="117"/>
      <c r="D4" s="49"/>
      <c r="E4" s="134" t="s">
        <v>435</v>
      </c>
      <c r="F4" s="135" t="s">
        <v>436</v>
      </c>
      <c r="G4" s="117"/>
      <c r="H4" s="117"/>
    </row>
    <row r="5" spans="1:8">
      <c r="A5" s="134" t="s">
        <v>437</v>
      </c>
      <c r="B5" s="135" t="s">
        <v>438</v>
      </c>
      <c r="C5" s="117"/>
      <c r="D5" s="49"/>
      <c r="E5" s="134" t="s">
        <v>77</v>
      </c>
      <c r="F5" s="135" t="s">
        <v>439</v>
      </c>
      <c r="G5" s="117"/>
      <c r="H5" s="117"/>
    </row>
    <row r="6" spans="1:8">
      <c r="A6" s="134" t="s">
        <v>66</v>
      </c>
      <c r="B6" s="135" t="s">
        <v>105</v>
      </c>
      <c r="C6" s="117"/>
      <c r="D6" s="49"/>
      <c r="E6" s="134" t="s">
        <v>68</v>
      </c>
      <c r="F6" s="135" t="s">
        <v>69</v>
      </c>
      <c r="G6" s="117"/>
      <c r="H6" s="117"/>
    </row>
    <row r="7" spans="1:8">
      <c r="A7" s="134" t="s">
        <v>440</v>
      </c>
      <c r="B7" s="135" t="s">
        <v>441</v>
      </c>
      <c r="C7" s="117"/>
      <c r="D7" s="49"/>
      <c r="E7" s="49"/>
      <c r="F7" s="49"/>
      <c r="G7" s="49"/>
      <c r="H7" s="49"/>
    </row>
    <row r="9" spans="1:8" ht="15.75" customHeight="1">
      <c r="A9" s="129" t="s">
        <v>442</v>
      </c>
      <c r="B9" s="117"/>
      <c r="C9" s="117"/>
      <c r="D9" s="117"/>
      <c r="E9" s="117"/>
      <c r="F9" s="117"/>
      <c r="G9" s="117"/>
      <c r="H9" s="117"/>
    </row>
    <row r="10" spans="1:8" ht="30" customHeight="1">
      <c r="A10" s="130" t="s">
        <v>443</v>
      </c>
      <c r="B10" s="117"/>
      <c r="C10" s="117"/>
      <c r="D10" s="117"/>
      <c r="E10" s="117"/>
      <c r="F10" s="117"/>
      <c r="G10" s="117"/>
      <c r="H10" s="117"/>
    </row>
    <row r="11" spans="1:8" ht="30" customHeight="1">
      <c r="A11" s="130" t="s">
        <v>444</v>
      </c>
      <c r="B11" s="117"/>
      <c r="C11" s="117"/>
      <c r="D11" s="117"/>
      <c r="E11" s="117"/>
      <c r="F11" s="117"/>
      <c r="G11" s="117"/>
      <c r="H11" s="117"/>
    </row>
    <row r="12" spans="1:8" ht="30" customHeight="1">
      <c r="A12" s="130" t="s">
        <v>445</v>
      </c>
      <c r="B12" s="117"/>
      <c r="C12" s="117"/>
      <c r="D12" s="117"/>
      <c r="E12" s="117"/>
      <c r="F12" s="117"/>
      <c r="G12" s="117"/>
      <c r="H12" s="117"/>
    </row>
    <row r="13" spans="1:8" ht="30" customHeight="1">
      <c r="A13" s="130" t="s">
        <v>446</v>
      </c>
      <c r="B13" s="117"/>
      <c r="C13" s="117"/>
      <c r="D13" s="117"/>
      <c r="E13" s="117"/>
      <c r="F13" s="117"/>
      <c r="G13" s="117"/>
      <c r="H13" s="117"/>
    </row>
    <row r="14" spans="1:8" ht="30" customHeight="1">
      <c r="A14" s="130" t="s">
        <v>447</v>
      </c>
      <c r="B14" s="117"/>
      <c r="C14" s="117"/>
      <c r="D14" s="117"/>
      <c r="E14" s="117"/>
      <c r="F14" s="117"/>
      <c r="G14" s="117"/>
      <c r="H14" s="117"/>
    </row>
    <row r="16" spans="1:8" ht="15.75" customHeight="1">
      <c r="A16" s="116" t="s">
        <v>448</v>
      </c>
      <c r="B16" s="117"/>
      <c r="C16" s="117"/>
      <c r="D16" s="117"/>
      <c r="E16" s="117"/>
      <c r="F16" s="117"/>
      <c r="G16" s="117"/>
      <c r="H16" s="117"/>
    </row>
    <row r="17" spans="1:8" ht="24.95" customHeight="1">
      <c r="A17" s="124" t="s">
        <v>449</v>
      </c>
      <c r="B17" s="125" t="s">
        <v>450</v>
      </c>
      <c r="C17" s="117"/>
      <c r="D17" s="117"/>
      <c r="E17" s="117"/>
      <c r="F17" s="117"/>
      <c r="G17" s="117"/>
      <c r="H17" s="117"/>
    </row>
    <row r="18" spans="1:8" ht="24.95" customHeight="1">
      <c r="A18" s="124" t="s">
        <v>451</v>
      </c>
      <c r="B18" s="125" t="s">
        <v>452</v>
      </c>
      <c r="C18" s="117"/>
      <c r="D18" s="117"/>
      <c r="E18" s="117"/>
      <c r="F18" s="117"/>
      <c r="G18" s="117"/>
      <c r="H18" s="117"/>
    </row>
    <row r="19" spans="1:8" ht="24.95" customHeight="1">
      <c r="A19" s="124" t="s">
        <v>453</v>
      </c>
      <c r="B19" s="125" t="s">
        <v>454</v>
      </c>
      <c r="C19" s="117"/>
      <c r="D19" s="117"/>
      <c r="E19" s="117"/>
      <c r="F19" s="117"/>
      <c r="G19" s="117"/>
      <c r="H19" s="117"/>
    </row>
    <row r="20" spans="1:8" ht="24.95" customHeight="1">
      <c r="A20" s="124" t="s">
        <v>455</v>
      </c>
      <c r="B20" s="125" t="s">
        <v>456</v>
      </c>
      <c r="C20" s="117"/>
      <c r="D20" s="117"/>
      <c r="E20" s="117"/>
      <c r="F20" s="117"/>
      <c r="G20" s="117"/>
      <c r="H20" s="117"/>
    </row>
    <row r="21" spans="1:8" ht="24.95" customHeight="1">
      <c r="A21" s="124" t="s">
        <v>457</v>
      </c>
      <c r="B21" s="125" t="s">
        <v>458</v>
      </c>
      <c r="C21" s="117"/>
      <c r="D21" s="117"/>
      <c r="E21" s="117"/>
      <c r="F21" s="117"/>
      <c r="G21" s="117"/>
      <c r="H21" s="117"/>
    </row>
    <row r="23" spans="1:8" ht="15.75" customHeight="1">
      <c r="A23" s="116" t="s">
        <v>459</v>
      </c>
      <c r="B23" s="117"/>
      <c r="C23" s="117"/>
      <c r="D23" s="117"/>
      <c r="E23" s="117"/>
      <c r="F23" s="117"/>
      <c r="G23" s="117"/>
      <c r="H23" s="117"/>
    </row>
    <row r="24" spans="1:8">
      <c r="A24" s="147" t="s">
        <v>460</v>
      </c>
      <c r="B24" s="147" t="s">
        <v>461</v>
      </c>
      <c r="C24" s="147" t="s">
        <v>378</v>
      </c>
      <c r="D24" s="147" t="s">
        <v>229</v>
      </c>
      <c r="E24" s="147" t="s">
        <v>462</v>
      </c>
      <c r="F24" s="147" t="s">
        <v>463</v>
      </c>
      <c r="G24" s="49"/>
      <c r="H24" s="49"/>
    </row>
    <row r="25" spans="1:8" ht="80.099999999999994" customHeight="1">
      <c r="A25" s="19" t="s">
        <v>464</v>
      </c>
      <c r="B25" s="19" t="s">
        <v>465</v>
      </c>
      <c r="C25" s="19" t="s">
        <v>466</v>
      </c>
      <c r="D25" s="19" t="s">
        <v>65</v>
      </c>
      <c r="E25" s="19" t="s">
        <v>467</v>
      </c>
      <c r="F25" s="19" t="s">
        <v>468</v>
      </c>
      <c r="G25" s="49"/>
      <c r="H25" s="49"/>
    </row>
    <row r="26" spans="1:8" ht="80.099999999999994" customHeight="1">
      <c r="A26" s="19" t="s">
        <v>469</v>
      </c>
      <c r="B26" s="19" t="s">
        <v>470</v>
      </c>
      <c r="C26" s="19" t="s">
        <v>466</v>
      </c>
      <c r="D26" s="19" t="s">
        <v>471</v>
      </c>
      <c r="E26" s="19" t="s">
        <v>472</v>
      </c>
      <c r="F26" s="19" t="s">
        <v>473</v>
      </c>
      <c r="G26" s="49"/>
      <c r="H26" s="49"/>
    </row>
    <row r="27" spans="1:8" ht="80.099999999999994" customHeight="1">
      <c r="A27" s="19" t="s">
        <v>474</v>
      </c>
      <c r="B27" s="19" t="s">
        <v>475</v>
      </c>
      <c r="C27" s="19" t="s">
        <v>466</v>
      </c>
      <c r="D27" s="19" t="s">
        <v>476</v>
      </c>
      <c r="E27" s="19" t="s">
        <v>477</v>
      </c>
      <c r="F27" s="19" t="s">
        <v>478</v>
      </c>
      <c r="G27" s="49"/>
      <c r="H27" s="49"/>
    </row>
    <row r="28" spans="1:8" ht="80.099999999999994" customHeight="1">
      <c r="A28" s="19" t="s">
        <v>479</v>
      </c>
      <c r="B28" s="19" t="s">
        <v>480</v>
      </c>
      <c r="C28" s="19" t="s">
        <v>481</v>
      </c>
      <c r="D28" s="19" t="s">
        <v>482</v>
      </c>
      <c r="E28" s="19" t="s">
        <v>483</v>
      </c>
      <c r="F28" s="19" t="s">
        <v>484</v>
      </c>
      <c r="G28" s="49"/>
      <c r="H28" s="49"/>
    </row>
    <row r="29" spans="1:8" ht="80.099999999999994" customHeight="1">
      <c r="A29" s="19" t="s">
        <v>485</v>
      </c>
      <c r="B29" s="19" t="s">
        <v>486</v>
      </c>
      <c r="C29" s="19" t="s">
        <v>487</v>
      </c>
      <c r="D29" s="19" t="s">
        <v>488</v>
      </c>
      <c r="E29" s="19" t="s">
        <v>489</v>
      </c>
      <c r="F29" s="19" t="s">
        <v>490</v>
      </c>
      <c r="G29" s="49"/>
      <c r="H29" s="49"/>
    </row>
    <row r="30" spans="1:8" ht="80.099999999999994" customHeight="1">
      <c r="A30" s="19" t="s">
        <v>491</v>
      </c>
      <c r="B30" s="19" t="s">
        <v>492</v>
      </c>
      <c r="C30" s="19" t="s">
        <v>487</v>
      </c>
      <c r="D30" s="19" t="s">
        <v>65</v>
      </c>
      <c r="E30" s="19" t="s">
        <v>493</v>
      </c>
      <c r="F30" s="19" t="s">
        <v>494</v>
      </c>
      <c r="G30" s="49"/>
      <c r="H30" s="49"/>
    </row>
    <row r="32" spans="1:8" ht="15.75" customHeight="1">
      <c r="A32" s="116" t="s">
        <v>495</v>
      </c>
      <c r="B32" s="117"/>
      <c r="C32" s="117"/>
      <c r="D32" s="117"/>
      <c r="E32" s="117"/>
      <c r="F32" s="117"/>
      <c r="G32" s="117"/>
      <c r="H32" s="117"/>
    </row>
    <row r="33" spans="1:8">
      <c r="A33" s="118" t="s">
        <v>496</v>
      </c>
      <c r="B33" s="119" t="s">
        <v>497</v>
      </c>
      <c r="C33" s="117"/>
      <c r="D33" s="117"/>
      <c r="E33" s="117"/>
      <c r="F33" s="117"/>
      <c r="G33" s="120" t="s">
        <v>498</v>
      </c>
      <c r="H33" s="117"/>
    </row>
    <row r="34" spans="1:8">
      <c r="A34" s="118" t="s">
        <v>499</v>
      </c>
      <c r="B34" s="119" t="s">
        <v>500</v>
      </c>
      <c r="C34" s="117"/>
      <c r="D34" s="117"/>
      <c r="E34" s="117"/>
      <c r="F34" s="117"/>
      <c r="G34" s="120" t="s">
        <v>501</v>
      </c>
      <c r="H34" s="117"/>
    </row>
    <row r="35" spans="1:8">
      <c r="A35" s="118" t="s">
        <v>502</v>
      </c>
      <c r="B35" s="119" t="s">
        <v>503</v>
      </c>
      <c r="C35" s="117"/>
      <c r="D35" s="117"/>
      <c r="E35" s="117"/>
      <c r="F35" s="117"/>
      <c r="G35" s="120" t="s">
        <v>504</v>
      </c>
      <c r="H35" s="117"/>
    </row>
    <row r="36" spans="1:8">
      <c r="A36" s="118" t="s">
        <v>505</v>
      </c>
      <c r="B36" s="119" t="s">
        <v>506</v>
      </c>
      <c r="C36" s="117"/>
      <c r="D36" s="117"/>
      <c r="E36" s="117"/>
      <c r="F36" s="117"/>
      <c r="G36" s="120" t="s">
        <v>507</v>
      </c>
      <c r="H36" s="117"/>
    </row>
    <row r="37" spans="1:8">
      <c r="A37" s="118" t="s">
        <v>508</v>
      </c>
      <c r="B37" s="119" t="s">
        <v>509</v>
      </c>
      <c r="C37" s="117"/>
      <c r="D37" s="117"/>
      <c r="E37" s="117"/>
      <c r="F37" s="117"/>
      <c r="G37" s="120" t="s">
        <v>510</v>
      </c>
      <c r="H37" s="117"/>
    </row>
    <row r="38" spans="1:8">
      <c r="A38" s="118" t="s">
        <v>511</v>
      </c>
      <c r="B38" s="119" t="s">
        <v>512</v>
      </c>
      <c r="C38" s="117"/>
      <c r="D38" s="117"/>
      <c r="E38" s="117"/>
      <c r="F38" s="117"/>
      <c r="G38" s="120" t="s">
        <v>513</v>
      </c>
      <c r="H38" s="117"/>
    </row>
    <row r="39" spans="1:8">
      <c r="A39" s="121" t="s">
        <v>514</v>
      </c>
      <c r="B39" s="119"/>
      <c r="C39" s="117"/>
      <c r="D39" s="117"/>
      <c r="E39" s="117"/>
      <c r="F39" s="117"/>
      <c r="G39" s="122" t="s">
        <v>515</v>
      </c>
      <c r="H39" s="117"/>
    </row>
  </sheetData>
  <mergeCells count="40">
    <mergeCell ref="A9:H9"/>
    <mergeCell ref="F5:H5"/>
    <mergeCell ref="B7:C7"/>
    <mergeCell ref="B3:C3"/>
    <mergeCell ref="G36:H36"/>
    <mergeCell ref="G33:H33"/>
    <mergeCell ref="F3:H3"/>
    <mergeCell ref="B35:F35"/>
    <mergeCell ref="F2:H2"/>
    <mergeCell ref="A11:H11"/>
    <mergeCell ref="A1:H1"/>
    <mergeCell ref="B20:H20"/>
    <mergeCell ref="G39:H39"/>
    <mergeCell ref="B2:C2"/>
    <mergeCell ref="B39:F39"/>
    <mergeCell ref="G38:H38"/>
    <mergeCell ref="A16:H16"/>
    <mergeCell ref="G37:H37"/>
    <mergeCell ref="A12:H12"/>
    <mergeCell ref="G34:H34"/>
    <mergeCell ref="B18:H18"/>
    <mergeCell ref="B38:F38"/>
    <mergeCell ref="B34:F34"/>
    <mergeCell ref="B21:H21"/>
    <mergeCell ref="B37:F37"/>
    <mergeCell ref="F4:H4"/>
    <mergeCell ref="A14:H14"/>
    <mergeCell ref="A23:H23"/>
    <mergeCell ref="A32:H32"/>
    <mergeCell ref="G35:H35"/>
    <mergeCell ref="B6:C6"/>
    <mergeCell ref="F6:H6"/>
    <mergeCell ref="B17:H17"/>
    <mergeCell ref="B5:C5"/>
    <mergeCell ref="B33:F33"/>
    <mergeCell ref="A10:H10"/>
    <mergeCell ref="A13:H13"/>
    <mergeCell ref="B36:F36"/>
    <mergeCell ref="B19:H19"/>
    <mergeCell ref="B4:C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H29"/>
  <sheetViews>
    <sheetView topLeftCell="A16" workbookViewId="0">
      <selection activeCell="A25" sqref="A25:H29"/>
    </sheetView>
  </sheetViews>
  <sheetFormatPr baseColWidth="10" defaultColWidth="9.140625" defaultRowHeight="15"/>
  <cols>
    <col min="1" max="1" width="10" customWidth="1"/>
    <col min="2" max="2" width="16" customWidth="1"/>
    <col min="3" max="3" width="18" customWidth="1"/>
    <col min="4" max="4" width="12" customWidth="1"/>
    <col min="5" max="5" width="35" customWidth="1"/>
    <col min="6" max="6" width="15" customWidth="1"/>
    <col min="7" max="7" width="12" customWidth="1"/>
    <col min="8" max="8" width="14" customWidth="1"/>
  </cols>
  <sheetData>
    <row r="1" spans="1:8" ht="30" customHeight="1">
      <c r="A1" s="133" t="s">
        <v>516</v>
      </c>
      <c r="B1" s="117"/>
      <c r="C1" s="117"/>
      <c r="D1" s="117"/>
      <c r="E1" s="117"/>
      <c r="F1" s="117"/>
      <c r="G1" s="117"/>
      <c r="H1" s="117"/>
    </row>
    <row r="2" spans="1:8">
      <c r="A2" s="134" t="s">
        <v>54</v>
      </c>
      <c r="B2" s="135" t="s">
        <v>517</v>
      </c>
      <c r="C2" s="117"/>
      <c r="D2" s="49"/>
      <c r="E2" s="134" t="s">
        <v>56</v>
      </c>
      <c r="F2" s="135" t="s">
        <v>57</v>
      </c>
      <c r="G2" s="117"/>
      <c r="H2" s="117"/>
    </row>
    <row r="3" spans="1:8">
      <c r="A3" s="134" t="s">
        <v>432</v>
      </c>
      <c r="B3" s="135" t="s">
        <v>61</v>
      </c>
      <c r="C3" s="117"/>
      <c r="D3" s="49"/>
      <c r="E3" s="134" t="s">
        <v>434</v>
      </c>
      <c r="F3" s="135" t="s">
        <v>59</v>
      </c>
      <c r="G3" s="117"/>
      <c r="H3" s="117"/>
    </row>
    <row r="4" spans="1:8">
      <c r="A4" s="134" t="s">
        <v>64</v>
      </c>
      <c r="B4" s="135" t="s">
        <v>65</v>
      </c>
      <c r="C4" s="117"/>
      <c r="D4" s="49"/>
      <c r="E4" s="134" t="s">
        <v>435</v>
      </c>
      <c r="F4" s="135" t="s">
        <v>436</v>
      </c>
      <c r="G4" s="117"/>
      <c r="H4" s="117"/>
    </row>
    <row r="5" spans="1:8">
      <c r="A5" s="134" t="s">
        <v>437</v>
      </c>
      <c r="B5" s="135" t="s">
        <v>438</v>
      </c>
      <c r="C5" s="117"/>
      <c r="D5" s="49"/>
      <c r="E5" s="134" t="s">
        <v>77</v>
      </c>
      <c r="F5" s="135" t="s">
        <v>439</v>
      </c>
      <c r="G5" s="117"/>
      <c r="H5" s="117"/>
    </row>
    <row r="6" spans="1:8">
      <c r="A6" s="134" t="s">
        <v>66</v>
      </c>
      <c r="B6" s="135" t="s">
        <v>67</v>
      </c>
      <c r="C6" s="117"/>
      <c r="D6" s="49"/>
      <c r="E6" s="134" t="s">
        <v>68</v>
      </c>
      <c r="F6" s="135" t="s">
        <v>69</v>
      </c>
      <c r="G6" s="117"/>
      <c r="H6" s="117"/>
    </row>
    <row r="7" spans="1:8">
      <c r="A7" s="134" t="s">
        <v>440</v>
      </c>
      <c r="B7" s="135" t="s">
        <v>441</v>
      </c>
      <c r="C7" s="117"/>
      <c r="D7" s="49"/>
      <c r="E7" s="49"/>
      <c r="F7" s="49"/>
      <c r="G7" s="49"/>
      <c r="H7" s="49"/>
    </row>
    <row r="9" spans="1:8" ht="15.75" customHeight="1">
      <c r="A9" s="116" t="s">
        <v>518</v>
      </c>
      <c r="B9" s="117"/>
      <c r="C9" s="117"/>
      <c r="D9" s="117"/>
      <c r="E9" s="117"/>
      <c r="F9" s="117"/>
      <c r="G9" s="117"/>
      <c r="H9" s="117"/>
    </row>
    <row r="10" spans="1:8" ht="60" customHeight="1">
      <c r="A10" s="148" t="s">
        <v>519</v>
      </c>
      <c r="B10" s="149" t="s">
        <v>520</v>
      </c>
      <c r="C10" s="117"/>
      <c r="D10" s="117"/>
      <c r="E10" s="117"/>
      <c r="F10" s="150" t="s">
        <v>521</v>
      </c>
      <c r="G10" s="117"/>
      <c r="H10" s="117"/>
    </row>
    <row r="11" spans="1:8" ht="60" customHeight="1">
      <c r="A11" s="148" t="s">
        <v>522</v>
      </c>
      <c r="B11" s="149" t="s">
        <v>523</v>
      </c>
      <c r="C11" s="117"/>
      <c r="D11" s="117"/>
      <c r="E11" s="117"/>
      <c r="F11" s="150" t="s">
        <v>524</v>
      </c>
      <c r="G11" s="117"/>
      <c r="H11" s="117"/>
    </row>
    <row r="12" spans="1:8" ht="60" customHeight="1">
      <c r="A12" s="148" t="s">
        <v>525</v>
      </c>
      <c r="B12" s="149" t="s">
        <v>526</v>
      </c>
      <c r="C12" s="117"/>
      <c r="D12" s="117"/>
      <c r="E12" s="117"/>
      <c r="F12" s="150" t="s">
        <v>527</v>
      </c>
      <c r="G12" s="117"/>
      <c r="H12" s="117"/>
    </row>
    <row r="13" spans="1:8" ht="60" customHeight="1">
      <c r="A13" s="148" t="s">
        <v>528</v>
      </c>
      <c r="B13" s="149" t="s">
        <v>529</v>
      </c>
      <c r="C13" s="117"/>
      <c r="D13" s="117"/>
      <c r="E13" s="117"/>
      <c r="F13" s="150" t="s">
        <v>530</v>
      </c>
      <c r="G13" s="117"/>
      <c r="H13" s="117"/>
    </row>
    <row r="14" spans="1:8" ht="60" customHeight="1">
      <c r="A14" s="148" t="s">
        <v>531</v>
      </c>
      <c r="B14" s="149" t="s">
        <v>532</v>
      </c>
      <c r="C14" s="117"/>
      <c r="D14" s="117"/>
      <c r="E14" s="117"/>
      <c r="F14" s="150" t="s">
        <v>533</v>
      </c>
      <c r="G14" s="117"/>
      <c r="H14" s="117"/>
    </row>
    <row r="15" spans="1:8" ht="60" customHeight="1">
      <c r="A15" s="148" t="s">
        <v>534</v>
      </c>
      <c r="B15" s="149" t="s">
        <v>535</v>
      </c>
      <c r="C15" s="117"/>
      <c r="D15" s="117"/>
      <c r="E15" s="117"/>
      <c r="F15" s="150" t="s">
        <v>536</v>
      </c>
      <c r="G15" s="117"/>
      <c r="H15" s="117"/>
    </row>
    <row r="16" spans="1:8" ht="60" customHeight="1">
      <c r="A16" s="148" t="s">
        <v>537</v>
      </c>
      <c r="B16" s="149" t="s">
        <v>538</v>
      </c>
      <c r="C16" s="117"/>
      <c r="D16" s="117"/>
      <c r="E16" s="117"/>
      <c r="F16" s="150" t="s">
        <v>539</v>
      </c>
      <c r="G16" s="117"/>
      <c r="H16" s="117"/>
    </row>
    <row r="18" spans="1:8" ht="15.75" customHeight="1">
      <c r="A18" s="116" t="s">
        <v>540</v>
      </c>
      <c r="B18" s="117"/>
      <c r="C18" s="117"/>
      <c r="D18" s="117"/>
      <c r="E18" s="117"/>
      <c r="F18" s="117"/>
      <c r="G18" s="117"/>
      <c r="H18" s="117"/>
    </row>
    <row r="19" spans="1:8" ht="25.5" customHeight="1">
      <c r="A19" s="147" t="s">
        <v>541</v>
      </c>
      <c r="B19" s="147" t="s">
        <v>542</v>
      </c>
      <c r="C19" s="147" t="s">
        <v>543</v>
      </c>
      <c r="D19" s="147" t="s">
        <v>544</v>
      </c>
      <c r="E19" s="147" t="s">
        <v>545</v>
      </c>
      <c r="F19" s="49"/>
      <c r="G19" s="49"/>
      <c r="H19" s="49"/>
    </row>
    <row r="20" spans="1:8" ht="69.95" customHeight="1">
      <c r="A20" s="151" t="s">
        <v>211</v>
      </c>
      <c r="B20" s="19" t="s">
        <v>546</v>
      </c>
      <c r="C20" s="19" t="s">
        <v>547</v>
      </c>
      <c r="D20" s="19" t="s">
        <v>548</v>
      </c>
      <c r="E20" s="19" t="s">
        <v>549</v>
      </c>
      <c r="F20" s="49"/>
      <c r="G20" s="49"/>
      <c r="H20" s="49"/>
    </row>
    <row r="21" spans="1:8" ht="69.95" customHeight="1">
      <c r="A21" s="152" t="s">
        <v>207</v>
      </c>
      <c r="B21" s="19" t="s">
        <v>550</v>
      </c>
      <c r="C21" s="19" t="s">
        <v>551</v>
      </c>
      <c r="D21" s="19" t="s">
        <v>552</v>
      </c>
      <c r="E21" s="19" t="s">
        <v>553</v>
      </c>
      <c r="F21" s="49"/>
      <c r="G21" s="49"/>
      <c r="H21" s="49"/>
    </row>
    <row r="22" spans="1:8" ht="69.95" customHeight="1">
      <c r="A22" s="153" t="s">
        <v>203</v>
      </c>
      <c r="B22" s="19" t="s">
        <v>554</v>
      </c>
      <c r="C22" s="19" t="s">
        <v>555</v>
      </c>
      <c r="D22" s="19" t="s">
        <v>556</v>
      </c>
      <c r="E22" s="19" t="s">
        <v>557</v>
      </c>
      <c r="F22" s="49"/>
      <c r="G22" s="49"/>
      <c r="H22" s="49"/>
    </row>
    <row r="23" spans="1:8" ht="69.95" customHeight="1">
      <c r="A23" s="154" t="s">
        <v>199</v>
      </c>
      <c r="B23" s="19" t="s">
        <v>558</v>
      </c>
      <c r="C23" s="19" t="s">
        <v>559</v>
      </c>
      <c r="D23" s="19" t="s">
        <v>560</v>
      </c>
      <c r="E23" s="19" t="s">
        <v>561</v>
      </c>
      <c r="F23" s="49"/>
      <c r="G23" s="49"/>
      <c r="H23" s="49"/>
    </row>
    <row r="25" spans="1:8" ht="15.75" customHeight="1">
      <c r="A25" s="116" t="s">
        <v>562</v>
      </c>
      <c r="B25" s="117"/>
      <c r="C25" s="117"/>
      <c r="D25" s="117"/>
      <c r="E25" s="117"/>
      <c r="F25" s="117"/>
      <c r="G25" s="117"/>
      <c r="H25" s="117"/>
    </row>
    <row r="26" spans="1:8">
      <c r="A26" s="155" t="s">
        <v>563</v>
      </c>
      <c r="B26" s="155" t="s">
        <v>564</v>
      </c>
      <c r="C26" s="155" t="s">
        <v>565</v>
      </c>
      <c r="D26" s="155" t="s">
        <v>541</v>
      </c>
      <c r="E26" s="155" t="s">
        <v>143</v>
      </c>
      <c r="F26" s="155" t="s">
        <v>229</v>
      </c>
      <c r="G26" s="155" t="s">
        <v>89</v>
      </c>
      <c r="H26" s="155" t="s">
        <v>566</v>
      </c>
    </row>
    <row r="27" spans="1:8" ht="30" customHeight="1">
      <c r="A27" s="156" t="s">
        <v>567</v>
      </c>
      <c r="B27" s="156" t="s">
        <v>568</v>
      </c>
      <c r="C27" s="156" t="s">
        <v>569</v>
      </c>
      <c r="D27" s="156" t="s">
        <v>207</v>
      </c>
      <c r="E27" s="156" t="s">
        <v>570</v>
      </c>
      <c r="F27" s="156" t="s">
        <v>571</v>
      </c>
      <c r="G27" s="156" t="s">
        <v>572</v>
      </c>
      <c r="H27" s="156" t="s">
        <v>573</v>
      </c>
    </row>
    <row r="28" spans="1:8" ht="30" customHeight="1">
      <c r="A28" s="156" t="s">
        <v>574</v>
      </c>
      <c r="B28" s="156" t="s">
        <v>575</v>
      </c>
      <c r="C28" s="156" t="s">
        <v>576</v>
      </c>
      <c r="D28" s="156" t="s">
        <v>203</v>
      </c>
      <c r="E28" s="156" t="s">
        <v>577</v>
      </c>
      <c r="F28" s="156" t="s">
        <v>578</v>
      </c>
      <c r="G28" s="156" t="s">
        <v>579</v>
      </c>
      <c r="H28" s="156"/>
    </row>
    <row r="29" spans="1:8" ht="30" customHeight="1">
      <c r="A29" s="156" t="s">
        <v>580</v>
      </c>
      <c r="B29" s="156" t="s">
        <v>581</v>
      </c>
      <c r="C29" s="156" t="s">
        <v>582</v>
      </c>
      <c r="D29" s="156" t="s">
        <v>199</v>
      </c>
      <c r="E29" s="156" t="s">
        <v>583</v>
      </c>
      <c r="F29" s="156" t="s">
        <v>584</v>
      </c>
      <c r="G29" s="156" t="s">
        <v>585</v>
      </c>
      <c r="H29" s="156"/>
    </row>
  </sheetData>
  <mergeCells count="29">
    <mergeCell ref="A9:H9"/>
    <mergeCell ref="F5:H5"/>
    <mergeCell ref="B7:C7"/>
    <mergeCell ref="B3:C3"/>
    <mergeCell ref="B15:E15"/>
    <mergeCell ref="F10:H10"/>
    <mergeCell ref="F6:H6"/>
    <mergeCell ref="B13:E13"/>
    <mergeCell ref="B5:C5"/>
    <mergeCell ref="F12:H12"/>
    <mergeCell ref="F3:H3"/>
    <mergeCell ref="F15:H15"/>
    <mergeCell ref="B4:C4"/>
    <mergeCell ref="F2:H2"/>
    <mergeCell ref="A1:H1"/>
    <mergeCell ref="B10:E10"/>
    <mergeCell ref="B2:C2"/>
    <mergeCell ref="A25:H25"/>
    <mergeCell ref="F13:H13"/>
    <mergeCell ref="B16:E16"/>
    <mergeCell ref="A18:H18"/>
    <mergeCell ref="F14:H14"/>
    <mergeCell ref="B12:E12"/>
    <mergeCell ref="F4:H4"/>
    <mergeCell ref="B11:E11"/>
    <mergeCell ref="F11:H11"/>
    <mergeCell ref="B14:E14"/>
    <mergeCell ref="F16:H16"/>
    <mergeCell ref="B6:C6"/>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H30"/>
  <sheetViews>
    <sheetView tabSelected="1" workbookViewId="0">
      <selection sqref="A1:H1"/>
    </sheetView>
  </sheetViews>
  <sheetFormatPr baseColWidth="10" defaultColWidth="9.140625" defaultRowHeight="15"/>
  <cols>
    <col min="1" max="1" width="22" customWidth="1"/>
    <col min="2" max="2" width="12" customWidth="1"/>
    <col min="3" max="4" width="10" customWidth="1"/>
    <col min="5" max="5" width="25" customWidth="1"/>
    <col min="6" max="6" width="30" customWidth="1"/>
  </cols>
  <sheetData>
    <row r="1" spans="1:8" ht="30" customHeight="1">
      <c r="A1" s="100" t="s">
        <v>586</v>
      </c>
      <c r="B1" s="70"/>
      <c r="C1" s="70"/>
      <c r="D1" s="70"/>
      <c r="E1" s="70"/>
      <c r="F1" s="70"/>
      <c r="G1" s="70"/>
      <c r="H1" s="70"/>
    </row>
    <row r="2" spans="1:8">
      <c r="A2" s="15" t="s">
        <v>587</v>
      </c>
      <c r="B2" s="98" t="s">
        <v>588</v>
      </c>
      <c r="C2" s="70"/>
      <c r="E2" s="15" t="s">
        <v>56</v>
      </c>
      <c r="F2" s="98" t="s">
        <v>57</v>
      </c>
      <c r="G2" s="70"/>
      <c r="H2" s="70"/>
    </row>
    <row r="3" spans="1:8">
      <c r="A3" s="15" t="s">
        <v>589</v>
      </c>
      <c r="B3" s="98" t="s">
        <v>590</v>
      </c>
      <c r="C3" s="70"/>
      <c r="E3" s="15" t="s">
        <v>591</v>
      </c>
      <c r="F3" s="98" t="s">
        <v>59</v>
      </c>
      <c r="G3" s="70"/>
      <c r="H3" s="70"/>
    </row>
    <row r="4" spans="1:8">
      <c r="A4" s="15" t="s">
        <v>592</v>
      </c>
      <c r="B4" s="98" t="s">
        <v>65</v>
      </c>
      <c r="C4" s="70"/>
      <c r="E4" s="15" t="s">
        <v>593</v>
      </c>
      <c r="F4" s="98" t="s">
        <v>436</v>
      </c>
      <c r="G4" s="70"/>
      <c r="H4" s="70"/>
    </row>
    <row r="5" spans="1:8">
      <c r="A5" s="15" t="s">
        <v>437</v>
      </c>
      <c r="B5" s="98" t="s">
        <v>438</v>
      </c>
      <c r="C5" s="70"/>
      <c r="E5" s="15" t="s">
        <v>594</v>
      </c>
      <c r="F5" s="98" t="s">
        <v>439</v>
      </c>
      <c r="G5" s="70"/>
      <c r="H5" s="70"/>
    </row>
    <row r="6" spans="1:8">
      <c r="A6" s="15" t="s">
        <v>66</v>
      </c>
      <c r="B6" s="98" t="s">
        <v>67</v>
      </c>
      <c r="C6" s="70"/>
      <c r="E6" s="15" t="s">
        <v>68</v>
      </c>
      <c r="F6" s="98" t="s">
        <v>69</v>
      </c>
      <c r="G6" s="70"/>
      <c r="H6" s="70"/>
    </row>
    <row r="7" spans="1:8">
      <c r="A7" s="15" t="s">
        <v>440</v>
      </c>
      <c r="B7" s="98" t="s">
        <v>441</v>
      </c>
      <c r="C7" s="70"/>
    </row>
    <row r="9" spans="1:8" ht="15.75" customHeight="1">
      <c r="A9" s="99" t="s">
        <v>595</v>
      </c>
      <c r="B9" s="70"/>
      <c r="C9" s="70"/>
      <c r="D9" s="70"/>
      <c r="E9" s="70"/>
      <c r="F9" s="70"/>
      <c r="G9" s="70"/>
      <c r="H9" s="70"/>
    </row>
    <row r="10" spans="1:8" ht="24.95" customHeight="1">
      <c r="A10" s="103" t="s">
        <v>596</v>
      </c>
      <c r="B10" s="70"/>
      <c r="C10" s="70"/>
      <c r="D10" s="70"/>
      <c r="E10" s="70"/>
      <c r="F10" s="70"/>
      <c r="G10" s="70"/>
      <c r="H10" s="70"/>
    </row>
    <row r="11" spans="1:8" ht="24.95" customHeight="1">
      <c r="A11" s="103" t="s">
        <v>597</v>
      </c>
      <c r="B11" s="70"/>
      <c r="C11" s="70"/>
      <c r="D11" s="70"/>
      <c r="E11" s="70"/>
      <c r="F11" s="70"/>
      <c r="G11" s="70"/>
      <c r="H11" s="70"/>
    </row>
    <row r="12" spans="1:8" ht="24.95" customHeight="1">
      <c r="A12" s="103" t="s">
        <v>598</v>
      </c>
      <c r="B12" s="70"/>
      <c r="C12" s="70"/>
      <c r="D12" s="70"/>
      <c r="E12" s="70"/>
      <c r="F12" s="70"/>
      <c r="G12" s="70"/>
      <c r="H12" s="70"/>
    </row>
    <row r="13" spans="1:8" ht="24.95" customHeight="1">
      <c r="A13" s="103" t="s">
        <v>599</v>
      </c>
      <c r="B13" s="70"/>
      <c r="C13" s="70"/>
      <c r="D13" s="70"/>
      <c r="E13" s="70"/>
      <c r="F13" s="70"/>
      <c r="G13" s="70"/>
      <c r="H13" s="70"/>
    </row>
    <row r="14" spans="1:8" ht="24.95" customHeight="1">
      <c r="A14" s="103" t="s">
        <v>600</v>
      </c>
      <c r="B14" s="70"/>
      <c r="C14" s="70"/>
      <c r="D14" s="70"/>
      <c r="E14" s="70"/>
      <c r="F14" s="70"/>
      <c r="G14" s="70"/>
      <c r="H14" s="70"/>
    </row>
    <row r="16" spans="1:8" ht="15.75" customHeight="1">
      <c r="A16" s="99" t="s">
        <v>601</v>
      </c>
      <c r="B16" s="70"/>
      <c r="C16" s="70"/>
      <c r="D16" s="70"/>
      <c r="E16" s="70"/>
      <c r="F16" s="70"/>
      <c r="G16" s="70"/>
      <c r="H16" s="70"/>
    </row>
    <row r="17" spans="1:8">
      <c r="A17" s="18" t="s">
        <v>602</v>
      </c>
      <c r="B17" s="18" t="s">
        <v>603</v>
      </c>
      <c r="C17" s="18" t="s">
        <v>604</v>
      </c>
      <c r="D17" s="18" t="s">
        <v>605</v>
      </c>
      <c r="E17" s="18" t="s">
        <v>606</v>
      </c>
      <c r="F17" s="18" t="s">
        <v>607</v>
      </c>
    </row>
    <row r="18" spans="1:8" ht="35.1" customHeight="1">
      <c r="A18" s="24" t="s">
        <v>608</v>
      </c>
      <c r="B18" s="25" t="s">
        <v>211</v>
      </c>
      <c r="C18" s="24" t="s">
        <v>609</v>
      </c>
      <c r="D18" s="24" t="s">
        <v>610</v>
      </c>
      <c r="E18" s="24" t="s">
        <v>611</v>
      </c>
      <c r="F18" s="24" t="s">
        <v>612</v>
      </c>
    </row>
    <row r="19" spans="1:8" ht="35.1" customHeight="1">
      <c r="A19" s="24" t="s">
        <v>613</v>
      </c>
      <c r="B19" s="25" t="s">
        <v>211</v>
      </c>
      <c r="C19" s="24" t="s">
        <v>614</v>
      </c>
      <c r="D19" s="24" t="s">
        <v>615</v>
      </c>
      <c r="E19" s="24" t="s">
        <v>616</v>
      </c>
      <c r="F19" s="24" t="s">
        <v>617</v>
      </c>
    </row>
    <row r="20" spans="1:8" ht="35.1" customHeight="1">
      <c r="A20" s="24" t="s">
        <v>618</v>
      </c>
      <c r="B20" s="26" t="s">
        <v>207</v>
      </c>
      <c r="C20" s="24" t="s">
        <v>619</v>
      </c>
      <c r="D20" s="24" t="s">
        <v>620</v>
      </c>
      <c r="E20" s="24" t="s">
        <v>621</v>
      </c>
      <c r="F20" s="24" t="s">
        <v>622</v>
      </c>
    </row>
    <row r="21" spans="1:8" ht="35.1" customHeight="1">
      <c r="A21" s="24" t="s">
        <v>623</v>
      </c>
      <c r="B21" s="27" t="s">
        <v>203</v>
      </c>
      <c r="C21" s="24" t="s">
        <v>624</v>
      </c>
      <c r="D21" s="24" t="s">
        <v>614</v>
      </c>
      <c r="E21" s="24" t="s">
        <v>625</v>
      </c>
      <c r="F21" s="24" t="s">
        <v>626</v>
      </c>
    </row>
    <row r="22" spans="1:8" ht="35.1" customHeight="1">
      <c r="A22" s="24" t="s">
        <v>627</v>
      </c>
      <c r="B22" s="26" t="s">
        <v>207</v>
      </c>
      <c r="C22" s="24" t="s">
        <v>628</v>
      </c>
      <c r="D22" s="24" t="s">
        <v>629</v>
      </c>
      <c r="E22" s="24" t="s">
        <v>630</v>
      </c>
      <c r="F22" s="24" t="s">
        <v>631</v>
      </c>
    </row>
    <row r="23" spans="1:8" ht="35.1" customHeight="1">
      <c r="A23" s="24" t="s">
        <v>632</v>
      </c>
      <c r="B23" s="26" t="s">
        <v>207</v>
      </c>
      <c r="C23" s="24" t="s">
        <v>614</v>
      </c>
      <c r="D23" s="24" t="s">
        <v>620</v>
      </c>
      <c r="E23" s="24" t="s">
        <v>633</v>
      </c>
      <c r="F23" s="24" t="s">
        <v>634</v>
      </c>
    </row>
    <row r="25" spans="1:8" ht="15.75" customHeight="1">
      <c r="A25" s="99" t="s">
        <v>635</v>
      </c>
      <c r="B25" s="70"/>
      <c r="C25" s="70"/>
      <c r="D25" s="70"/>
      <c r="E25" s="70"/>
      <c r="F25" s="70"/>
      <c r="G25" s="70"/>
      <c r="H25" s="70"/>
    </row>
    <row r="26" spans="1:8" ht="60" customHeight="1">
      <c r="A26" s="20" t="s">
        <v>636</v>
      </c>
      <c r="B26" s="101" t="s">
        <v>637</v>
      </c>
      <c r="C26" s="70"/>
      <c r="D26" s="70"/>
      <c r="E26" s="70"/>
      <c r="F26" s="102" t="s">
        <v>638</v>
      </c>
      <c r="G26" s="70"/>
      <c r="H26" s="70"/>
    </row>
    <row r="27" spans="1:8" ht="60" customHeight="1">
      <c r="A27" s="20" t="s">
        <v>639</v>
      </c>
      <c r="B27" s="101" t="s">
        <v>640</v>
      </c>
      <c r="C27" s="70"/>
      <c r="D27" s="70"/>
      <c r="E27" s="70"/>
      <c r="F27" s="102" t="s">
        <v>641</v>
      </c>
      <c r="G27" s="70"/>
      <c r="H27" s="70"/>
    </row>
    <row r="28" spans="1:8" ht="60" customHeight="1">
      <c r="A28" s="20" t="s">
        <v>642</v>
      </c>
      <c r="B28" s="101" t="s">
        <v>643</v>
      </c>
      <c r="C28" s="70"/>
      <c r="D28" s="70"/>
      <c r="E28" s="70"/>
      <c r="F28" s="102" t="s">
        <v>644</v>
      </c>
      <c r="G28" s="70"/>
      <c r="H28" s="70"/>
    </row>
    <row r="29" spans="1:8" ht="60" customHeight="1">
      <c r="A29" s="20" t="s">
        <v>645</v>
      </c>
      <c r="B29" s="101" t="s">
        <v>646</v>
      </c>
      <c r="C29" s="70"/>
      <c r="D29" s="70"/>
      <c r="E29" s="70"/>
      <c r="F29" s="102" t="s">
        <v>647</v>
      </c>
      <c r="G29" s="70"/>
      <c r="H29" s="70"/>
    </row>
    <row r="30" spans="1:8" ht="60" customHeight="1">
      <c r="A30" s="20" t="s">
        <v>648</v>
      </c>
      <c r="B30" s="101" t="s">
        <v>649</v>
      </c>
      <c r="C30" s="70"/>
      <c r="D30" s="70"/>
      <c r="E30" s="70"/>
      <c r="F30" s="102" t="s">
        <v>650</v>
      </c>
      <c r="G30" s="70"/>
      <c r="H30" s="70"/>
    </row>
  </sheetData>
  <mergeCells count="30">
    <mergeCell ref="A9:H9"/>
    <mergeCell ref="F5:H5"/>
    <mergeCell ref="B7:C7"/>
    <mergeCell ref="B3:C3"/>
    <mergeCell ref="B30:E30"/>
    <mergeCell ref="F26:H26"/>
    <mergeCell ref="A11:H11"/>
    <mergeCell ref="F29:H29"/>
    <mergeCell ref="B29:E29"/>
    <mergeCell ref="A13:H13"/>
    <mergeCell ref="F30:H30"/>
    <mergeCell ref="F3:H3"/>
    <mergeCell ref="B28:E28"/>
    <mergeCell ref="B4:C4"/>
    <mergeCell ref="F2:H2"/>
    <mergeCell ref="A1:H1"/>
    <mergeCell ref="B26:E26"/>
    <mergeCell ref="B2:C2"/>
    <mergeCell ref="F28:H28"/>
    <mergeCell ref="A25:H25"/>
    <mergeCell ref="A16:H16"/>
    <mergeCell ref="F27:H27"/>
    <mergeCell ref="A12:H12"/>
    <mergeCell ref="B27:E27"/>
    <mergeCell ref="F4:H4"/>
    <mergeCell ref="A14:H14"/>
    <mergeCell ref="B6:C6"/>
    <mergeCell ref="F6:H6"/>
    <mergeCell ref="B5:C5"/>
    <mergeCell ref="A10:H10"/>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1:H34"/>
  <sheetViews>
    <sheetView workbookViewId="0"/>
  </sheetViews>
  <sheetFormatPr baseColWidth="10" defaultColWidth="9.140625" defaultRowHeight="15"/>
  <cols>
    <col min="1" max="1" width="25" customWidth="1"/>
    <col min="2" max="4" width="15" customWidth="1"/>
    <col min="5" max="5" width="35" customWidth="1"/>
    <col min="6" max="6" width="10" customWidth="1"/>
    <col min="7" max="7" width="12" customWidth="1"/>
  </cols>
  <sheetData>
    <row r="1" spans="1:8" ht="30" customHeight="1">
      <c r="A1" s="100" t="s">
        <v>651</v>
      </c>
      <c r="B1" s="70"/>
      <c r="C1" s="70"/>
      <c r="D1" s="70"/>
      <c r="E1" s="70"/>
      <c r="F1" s="70"/>
      <c r="G1" s="70"/>
      <c r="H1" s="70"/>
    </row>
    <row r="2" spans="1:8">
      <c r="A2" s="15" t="s">
        <v>587</v>
      </c>
      <c r="B2" s="98" t="s">
        <v>652</v>
      </c>
      <c r="C2" s="70"/>
      <c r="E2" s="15" t="s">
        <v>56</v>
      </c>
      <c r="F2" s="98" t="s">
        <v>57</v>
      </c>
      <c r="G2" s="70"/>
      <c r="H2" s="70"/>
    </row>
    <row r="3" spans="1:8">
      <c r="A3" s="15" t="s">
        <v>589</v>
      </c>
      <c r="B3" s="98" t="s">
        <v>653</v>
      </c>
      <c r="C3" s="70"/>
      <c r="E3" s="15" t="s">
        <v>591</v>
      </c>
      <c r="F3" s="98" t="s">
        <v>59</v>
      </c>
      <c r="G3" s="70"/>
      <c r="H3" s="70"/>
    </row>
    <row r="4" spans="1:8">
      <c r="A4" s="15" t="s">
        <v>592</v>
      </c>
      <c r="B4" s="98" t="s">
        <v>65</v>
      </c>
      <c r="C4" s="70"/>
      <c r="E4" s="15" t="s">
        <v>593</v>
      </c>
      <c r="F4" s="98" t="s">
        <v>436</v>
      </c>
      <c r="G4" s="70"/>
      <c r="H4" s="70"/>
    </row>
    <row r="5" spans="1:8">
      <c r="A5" s="15" t="s">
        <v>437</v>
      </c>
      <c r="B5" s="98" t="s">
        <v>438</v>
      </c>
      <c r="C5" s="70"/>
      <c r="E5" s="15" t="s">
        <v>594</v>
      </c>
      <c r="F5" s="98" t="s">
        <v>439</v>
      </c>
      <c r="G5" s="70"/>
      <c r="H5" s="70"/>
    </row>
    <row r="6" spans="1:8">
      <c r="A6" s="15" t="s">
        <v>66</v>
      </c>
      <c r="B6" s="98" t="s">
        <v>67</v>
      </c>
      <c r="C6" s="70"/>
      <c r="E6" s="15" t="s">
        <v>68</v>
      </c>
      <c r="F6" s="98" t="s">
        <v>69</v>
      </c>
      <c r="G6" s="70"/>
      <c r="H6" s="70"/>
    </row>
    <row r="7" spans="1:8">
      <c r="A7" s="15" t="s">
        <v>440</v>
      </c>
      <c r="B7" s="98" t="s">
        <v>441</v>
      </c>
      <c r="C7" s="70"/>
    </row>
    <row r="9" spans="1:8" ht="15.75" customHeight="1">
      <c r="A9" s="99" t="s">
        <v>654</v>
      </c>
      <c r="B9" s="70"/>
      <c r="C9" s="70"/>
      <c r="D9" s="70"/>
      <c r="E9" s="70"/>
      <c r="F9" s="70"/>
      <c r="G9" s="70"/>
      <c r="H9" s="70"/>
    </row>
    <row r="10" spans="1:8" ht="24.95" customHeight="1">
      <c r="A10" s="17" t="s">
        <v>655</v>
      </c>
      <c r="B10" s="103" t="s">
        <v>656</v>
      </c>
      <c r="C10" s="70"/>
      <c r="D10" s="70"/>
      <c r="E10" s="70"/>
      <c r="F10" s="70"/>
      <c r="G10" s="70"/>
      <c r="H10" s="70"/>
    </row>
    <row r="11" spans="1:8" ht="24.95" customHeight="1">
      <c r="A11" s="17" t="s">
        <v>657</v>
      </c>
      <c r="B11" s="103" t="s">
        <v>658</v>
      </c>
      <c r="C11" s="70"/>
      <c r="D11" s="70"/>
      <c r="E11" s="70"/>
      <c r="F11" s="70"/>
      <c r="G11" s="70"/>
      <c r="H11" s="70"/>
    </row>
    <row r="12" spans="1:8" ht="24.95" customHeight="1">
      <c r="A12" s="17" t="s">
        <v>659</v>
      </c>
      <c r="B12" s="103" t="s">
        <v>660</v>
      </c>
      <c r="C12" s="70"/>
      <c r="D12" s="70"/>
      <c r="E12" s="70"/>
      <c r="F12" s="70"/>
      <c r="G12" s="70"/>
      <c r="H12" s="70"/>
    </row>
    <row r="13" spans="1:8" ht="24.95" customHeight="1">
      <c r="A13" s="17" t="s">
        <v>661</v>
      </c>
      <c r="B13" s="103" t="s">
        <v>662</v>
      </c>
      <c r="C13" s="70"/>
      <c r="D13" s="70"/>
      <c r="E13" s="70"/>
      <c r="F13" s="70"/>
      <c r="G13" s="70"/>
      <c r="H13" s="70"/>
    </row>
    <row r="14" spans="1:8" ht="24.95" customHeight="1">
      <c r="A14" s="17" t="s">
        <v>663</v>
      </c>
      <c r="B14" s="103" t="s">
        <v>664</v>
      </c>
      <c r="C14" s="70"/>
      <c r="D14" s="70"/>
      <c r="E14" s="70"/>
      <c r="F14" s="70"/>
      <c r="G14" s="70"/>
      <c r="H14" s="70"/>
    </row>
    <row r="16" spans="1:8" ht="15.75" customHeight="1">
      <c r="A16" s="99" t="s">
        <v>665</v>
      </c>
      <c r="B16" s="70"/>
      <c r="C16" s="70"/>
      <c r="D16" s="70"/>
      <c r="E16" s="70"/>
      <c r="F16" s="70"/>
      <c r="G16" s="70"/>
      <c r="H16" s="70"/>
    </row>
    <row r="17" spans="1:8">
      <c r="A17" s="18" t="s">
        <v>666</v>
      </c>
      <c r="B17" s="18" t="s">
        <v>667</v>
      </c>
      <c r="C17" s="18" t="s">
        <v>668</v>
      </c>
      <c r="D17" s="18" t="s">
        <v>669</v>
      </c>
      <c r="E17" s="18" t="s">
        <v>670</v>
      </c>
      <c r="F17" s="18" t="s">
        <v>671</v>
      </c>
      <c r="G17" s="18" t="s">
        <v>603</v>
      </c>
    </row>
    <row r="18" spans="1:8">
      <c r="A18" s="29" t="s">
        <v>672</v>
      </c>
      <c r="B18" s="29" t="s">
        <v>174</v>
      </c>
      <c r="C18" s="29" t="s">
        <v>178</v>
      </c>
      <c r="D18" s="29" t="s">
        <v>673</v>
      </c>
      <c r="E18" s="29" t="s">
        <v>674</v>
      </c>
      <c r="F18" s="29" t="s">
        <v>624</v>
      </c>
      <c r="G18" s="25" t="s">
        <v>211</v>
      </c>
    </row>
    <row r="19" spans="1:8">
      <c r="A19" s="29" t="s">
        <v>675</v>
      </c>
      <c r="B19" s="29" t="s">
        <v>178</v>
      </c>
      <c r="C19" s="29" t="s">
        <v>182</v>
      </c>
      <c r="D19" s="29" t="s">
        <v>673</v>
      </c>
      <c r="E19" s="29" t="s">
        <v>674</v>
      </c>
      <c r="F19" s="29" t="s">
        <v>628</v>
      </c>
      <c r="G19" s="25" t="s">
        <v>211</v>
      </c>
    </row>
    <row r="20" spans="1:8">
      <c r="A20" s="29" t="s">
        <v>676</v>
      </c>
      <c r="B20" s="29" t="s">
        <v>174</v>
      </c>
      <c r="C20" s="29" t="s">
        <v>174</v>
      </c>
      <c r="D20" s="29" t="s">
        <v>178</v>
      </c>
      <c r="E20" s="29" t="s">
        <v>182</v>
      </c>
      <c r="F20" s="29" t="s">
        <v>677</v>
      </c>
      <c r="G20" s="26" t="s">
        <v>207</v>
      </c>
    </row>
    <row r="21" spans="1:8">
      <c r="A21" s="29" t="s">
        <v>678</v>
      </c>
      <c r="B21" s="29" t="s">
        <v>174</v>
      </c>
      <c r="C21" s="29" t="s">
        <v>178</v>
      </c>
      <c r="D21" s="29" t="s">
        <v>182</v>
      </c>
      <c r="E21" s="29" t="s">
        <v>182</v>
      </c>
      <c r="F21" s="29" t="s">
        <v>679</v>
      </c>
      <c r="G21" s="27" t="s">
        <v>203</v>
      </c>
    </row>
    <row r="22" spans="1:8">
      <c r="A22" s="29" t="s">
        <v>627</v>
      </c>
      <c r="B22" s="29" t="s">
        <v>174</v>
      </c>
      <c r="C22" s="29" t="s">
        <v>178</v>
      </c>
      <c r="D22" s="29" t="s">
        <v>182</v>
      </c>
      <c r="E22" s="29" t="s">
        <v>673</v>
      </c>
      <c r="F22" s="29" t="s">
        <v>619</v>
      </c>
      <c r="G22" s="26" t="s">
        <v>207</v>
      </c>
    </row>
    <row r="23" spans="1:8">
      <c r="A23" s="29" t="s">
        <v>680</v>
      </c>
      <c r="B23" s="29" t="s">
        <v>178</v>
      </c>
      <c r="C23" s="29" t="s">
        <v>182</v>
      </c>
      <c r="D23" s="29" t="s">
        <v>673</v>
      </c>
      <c r="E23" s="29" t="s">
        <v>673</v>
      </c>
      <c r="F23" s="29" t="s">
        <v>619</v>
      </c>
      <c r="G23" s="26" t="s">
        <v>207</v>
      </c>
    </row>
    <row r="24" spans="1:8">
      <c r="A24" s="29" t="s">
        <v>681</v>
      </c>
      <c r="B24" s="29" t="s">
        <v>174</v>
      </c>
      <c r="C24" s="29" t="s">
        <v>174</v>
      </c>
      <c r="D24" s="29" t="s">
        <v>178</v>
      </c>
      <c r="E24" s="29" t="s">
        <v>673</v>
      </c>
      <c r="F24" s="29" t="s">
        <v>682</v>
      </c>
      <c r="G24" s="27" t="s">
        <v>203</v>
      </c>
    </row>
    <row r="25" spans="1:8">
      <c r="A25" s="29" t="s">
        <v>683</v>
      </c>
      <c r="B25" s="29" t="s">
        <v>174</v>
      </c>
      <c r="C25" s="29" t="s">
        <v>174</v>
      </c>
      <c r="D25" s="29" t="s">
        <v>178</v>
      </c>
      <c r="E25" s="29" t="s">
        <v>182</v>
      </c>
      <c r="F25" s="29" t="s">
        <v>684</v>
      </c>
      <c r="G25" s="26" t="s">
        <v>207</v>
      </c>
    </row>
    <row r="27" spans="1:8" ht="15.75" customHeight="1">
      <c r="A27" s="99" t="s">
        <v>685</v>
      </c>
      <c r="B27" s="70"/>
      <c r="C27" s="70"/>
      <c r="D27" s="70"/>
      <c r="E27" s="70"/>
      <c r="F27" s="70"/>
      <c r="G27" s="70"/>
      <c r="H27" s="70"/>
    </row>
    <row r="28" spans="1:8">
      <c r="A28" s="22" t="s">
        <v>686</v>
      </c>
      <c r="B28" s="22" t="s">
        <v>687</v>
      </c>
      <c r="C28" s="22" t="s">
        <v>688</v>
      </c>
      <c r="D28" s="22" t="s">
        <v>689</v>
      </c>
      <c r="E28" s="22" t="s">
        <v>690</v>
      </c>
    </row>
    <row r="29" spans="1:8" ht="24.95" customHeight="1">
      <c r="A29" s="30" t="s">
        <v>691</v>
      </c>
      <c r="B29" s="31" t="s">
        <v>692</v>
      </c>
      <c r="C29" s="31" t="s">
        <v>498</v>
      </c>
      <c r="D29" s="31" t="s">
        <v>693</v>
      </c>
      <c r="E29" s="24" t="s">
        <v>694</v>
      </c>
    </row>
    <row r="30" spans="1:8" ht="24.95" customHeight="1">
      <c r="A30" s="30" t="s">
        <v>695</v>
      </c>
      <c r="B30" s="31" t="s">
        <v>696</v>
      </c>
      <c r="C30" s="31" t="s">
        <v>697</v>
      </c>
      <c r="D30" s="31" t="s">
        <v>698</v>
      </c>
      <c r="E30" s="24" t="s">
        <v>699</v>
      </c>
    </row>
    <row r="31" spans="1:8" ht="24.95" customHeight="1">
      <c r="A31" s="30" t="s">
        <v>700</v>
      </c>
      <c r="B31" s="31" t="s">
        <v>701</v>
      </c>
      <c r="C31" s="31" t="s">
        <v>702</v>
      </c>
      <c r="D31" s="31" t="s">
        <v>703</v>
      </c>
      <c r="E31" s="24" t="s">
        <v>704</v>
      </c>
    </row>
    <row r="32" spans="1:8" ht="24.95" customHeight="1">
      <c r="A32" s="30" t="s">
        <v>705</v>
      </c>
      <c r="B32" s="31" t="s">
        <v>706</v>
      </c>
      <c r="C32" s="31" t="s">
        <v>707</v>
      </c>
      <c r="D32" s="31" t="s">
        <v>708</v>
      </c>
      <c r="E32" s="24" t="s">
        <v>709</v>
      </c>
    </row>
    <row r="33" spans="1:5" ht="24.95" customHeight="1">
      <c r="A33" s="30" t="s">
        <v>710</v>
      </c>
      <c r="B33" s="31" t="s">
        <v>711</v>
      </c>
      <c r="C33" s="31" t="s">
        <v>712</v>
      </c>
      <c r="D33" s="31" t="s">
        <v>713</v>
      </c>
      <c r="E33" s="24" t="s">
        <v>714</v>
      </c>
    </row>
    <row r="34" spans="1:5" ht="24.95" customHeight="1">
      <c r="A34" s="32" t="s">
        <v>715</v>
      </c>
      <c r="B34" s="33" t="s">
        <v>716</v>
      </c>
      <c r="C34" s="33" t="s">
        <v>717</v>
      </c>
      <c r="D34" s="33" t="s">
        <v>718</v>
      </c>
      <c r="E34" s="34" t="s">
        <v>719</v>
      </c>
    </row>
  </sheetData>
  <mergeCells count="20">
    <mergeCell ref="F5:H5"/>
    <mergeCell ref="B7:C7"/>
    <mergeCell ref="B3:C3"/>
    <mergeCell ref="F2:H2"/>
    <mergeCell ref="A1:H1"/>
    <mergeCell ref="B2:C2"/>
    <mergeCell ref="A16:H16"/>
    <mergeCell ref="A27:H27"/>
    <mergeCell ref="B12:H12"/>
    <mergeCell ref="F4:H4"/>
    <mergeCell ref="B11:H11"/>
    <mergeCell ref="B6:C6"/>
    <mergeCell ref="B14:H14"/>
    <mergeCell ref="F6:H6"/>
    <mergeCell ref="B13:H13"/>
    <mergeCell ref="B5:C5"/>
    <mergeCell ref="B10:H10"/>
    <mergeCell ref="F3:H3"/>
    <mergeCell ref="B4:C4"/>
    <mergeCell ref="A9:H9"/>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A1:H51"/>
  <sheetViews>
    <sheetView workbookViewId="0"/>
  </sheetViews>
  <sheetFormatPr baseColWidth="10" defaultColWidth="9.140625" defaultRowHeight="15"/>
  <cols>
    <col min="1" max="1" width="35" customWidth="1"/>
    <col min="2" max="2" width="25" customWidth="1"/>
    <col min="3" max="3" width="15" customWidth="1"/>
    <col min="4" max="4" width="20" customWidth="1"/>
    <col min="5" max="5" width="12" customWidth="1"/>
    <col min="6" max="7" width="15" customWidth="1"/>
  </cols>
  <sheetData>
    <row r="1" spans="1:8" ht="30" customHeight="1">
      <c r="A1" s="100" t="s">
        <v>720</v>
      </c>
      <c r="B1" s="70"/>
      <c r="C1" s="70"/>
      <c r="D1" s="70"/>
      <c r="E1" s="70"/>
      <c r="F1" s="70"/>
      <c r="G1" s="70"/>
      <c r="H1" s="70"/>
    </row>
    <row r="2" spans="1:8">
      <c r="A2" s="15" t="s">
        <v>587</v>
      </c>
      <c r="B2" s="98" t="s">
        <v>721</v>
      </c>
      <c r="C2" s="70"/>
      <c r="E2" s="15" t="s">
        <v>56</v>
      </c>
      <c r="F2" s="98" t="s">
        <v>57</v>
      </c>
      <c r="G2" s="70"/>
      <c r="H2" s="70"/>
    </row>
    <row r="3" spans="1:8">
      <c r="A3" s="15" t="s">
        <v>589</v>
      </c>
      <c r="B3" s="98" t="s">
        <v>722</v>
      </c>
      <c r="C3" s="70"/>
      <c r="E3" s="15" t="s">
        <v>591</v>
      </c>
      <c r="F3" s="98" t="s">
        <v>59</v>
      </c>
      <c r="G3" s="70"/>
      <c r="H3" s="70"/>
    </row>
    <row r="4" spans="1:8">
      <c r="A4" s="15" t="s">
        <v>592</v>
      </c>
      <c r="B4" s="98" t="s">
        <v>65</v>
      </c>
      <c r="C4" s="70"/>
      <c r="E4" s="15" t="s">
        <v>593</v>
      </c>
      <c r="F4" s="98" t="s">
        <v>436</v>
      </c>
      <c r="G4" s="70"/>
      <c r="H4" s="70"/>
    </row>
    <row r="5" spans="1:8">
      <c r="A5" s="15" t="s">
        <v>437</v>
      </c>
      <c r="B5" s="98" t="s">
        <v>438</v>
      </c>
      <c r="C5" s="70"/>
      <c r="E5" s="15" t="s">
        <v>594</v>
      </c>
      <c r="F5" s="98" t="s">
        <v>439</v>
      </c>
      <c r="G5" s="70"/>
      <c r="H5" s="70"/>
    </row>
    <row r="6" spans="1:8">
      <c r="A6" s="15" t="s">
        <v>66</v>
      </c>
      <c r="B6" s="98" t="s">
        <v>105</v>
      </c>
      <c r="C6" s="70"/>
      <c r="E6" s="15" t="s">
        <v>68</v>
      </c>
      <c r="F6" s="98" t="s">
        <v>69</v>
      </c>
      <c r="G6" s="70"/>
      <c r="H6" s="70"/>
    </row>
    <row r="7" spans="1:8">
      <c r="A7" s="15" t="s">
        <v>440</v>
      </c>
      <c r="B7" s="98" t="s">
        <v>441</v>
      </c>
      <c r="C7" s="70"/>
    </row>
    <row r="9" spans="1:8" ht="15.75" customHeight="1">
      <c r="A9" s="99" t="s">
        <v>723</v>
      </c>
      <c r="B9" s="70"/>
      <c r="C9" s="70"/>
      <c r="D9" s="70"/>
      <c r="E9" s="70"/>
      <c r="F9" s="70"/>
      <c r="G9" s="70"/>
      <c r="H9" s="70"/>
    </row>
    <row r="10" spans="1:8" ht="20.100000000000001" customHeight="1">
      <c r="A10" s="97" t="s">
        <v>724</v>
      </c>
      <c r="B10" s="70"/>
      <c r="C10" s="70"/>
      <c r="D10" s="70"/>
      <c r="E10" s="70"/>
      <c r="F10" s="70"/>
      <c r="G10" s="70"/>
      <c r="H10" s="70"/>
    </row>
    <row r="11" spans="1:8" ht="20.100000000000001" customHeight="1">
      <c r="A11" s="97" t="s">
        <v>725</v>
      </c>
      <c r="B11" s="70"/>
      <c r="C11" s="70"/>
      <c r="D11" s="70"/>
      <c r="E11" s="70"/>
      <c r="F11" s="70"/>
      <c r="G11" s="70"/>
      <c r="H11" s="70"/>
    </row>
    <row r="12" spans="1:8" ht="20.100000000000001" customHeight="1">
      <c r="A12" s="97" t="s">
        <v>726</v>
      </c>
      <c r="B12" s="70"/>
      <c r="C12" s="70"/>
      <c r="D12" s="70"/>
      <c r="E12" s="70"/>
      <c r="F12" s="70"/>
      <c r="G12" s="70"/>
      <c r="H12" s="70"/>
    </row>
    <row r="13" spans="1:8" ht="20.100000000000001" customHeight="1">
      <c r="A13" s="97" t="s">
        <v>727</v>
      </c>
      <c r="B13" s="70"/>
      <c r="C13" s="70"/>
      <c r="D13" s="70"/>
      <c r="E13" s="70"/>
      <c r="F13" s="70"/>
      <c r="G13" s="70"/>
      <c r="H13" s="70"/>
    </row>
    <row r="14" spans="1:8" ht="20.100000000000001" customHeight="1">
      <c r="A14" s="97" t="s">
        <v>728</v>
      </c>
      <c r="B14" s="70"/>
      <c r="C14" s="70"/>
      <c r="D14" s="70"/>
      <c r="E14" s="70"/>
      <c r="F14" s="70"/>
      <c r="G14" s="70"/>
      <c r="H14" s="70"/>
    </row>
    <row r="16" spans="1:8" ht="15.75" customHeight="1">
      <c r="A16" s="99" t="s">
        <v>729</v>
      </c>
      <c r="B16" s="70"/>
      <c r="C16" s="70"/>
      <c r="D16" s="70"/>
      <c r="E16" s="70"/>
      <c r="F16" s="70"/>
      <c r="G16" s="70"/>
      <c r="H16" s="70"/>
    </row>
    <row r="17" spans="1:8">
      <c r="A17" s="18" t="s">
        <v>730</v>
      </c>
      <c r="B17" s="18" t="s">
        <v>731</v>
      </c>
      <c r="C17" s="18" t="s">
        <v>732</v>
      </c>
      <c r="D17" s="18" t="s">
        <v>378</v>
      </c>
      <c r="E17" s="18" t="s">
        <v>144</v>
      </c>
      <c r="F17" s="18" t="s">
        <v>229</v>
      </c>
      <c r="G17" s="18" t="s">
        <v>733</v>
      </c>
    </row>
    <row r="18" spans="1:8" ht="30" customHeight="1">
      <c r="A18" s="35" t="s">
        <v>734</v>
      </c>
      <c r="B18" s="35" t="s">
        <v>735</v>
      </c>
      <c r="C18" s="35" t="s">
        <v>736</v>
      </c>
      <c r="D18" s="35" t="s">
        <v>737</v>
      </c>
      <c r="E18" s="35" t="s">
        <v>738</v>
      </c>
      <c r="F18" s="35" t="s">
        <v>739</v>
      </c>
      <c r="G18" s="35" t="s">
        <v>740</v>
      </c>
    </row>
    <row r="19" spans="1:8" ht="30" customHeight="1">
      <c r="A19" s="35" t="s">
        <v>741</v>
      </c>
      <c r="B19" s="35" t="s">
        <v>742</v>
      </c>
      <c r="C19" s="35" t="s">
        <v>743</v>
      </c>
      <c r="D19" s="35" t="s">
        <v>744</v>
      </c>
      <c r="E19" s="35" t="s">
        <v>745</v>
      </c>
      <c r="F19" s="35" t="s">
        <v>65</v>
      </c>
      <c r="G19" s="35" t="s">
        <v>746</v>
      </c>
    </row>
    <row r="20" spans="1:8" ht="30" customHeight="1">
      <c r="A20" s="35" t="s">
        <v>747</v>
      </c>
      <c r="B20" s="35" t="s">
        <v>742</v>
      </c>
      <c r="C20" s="35" t="s">
        <v>748</v>
      </c>
      <c r="D20" s="35" t="s">
        <v>749</v>
      </c>
      <c r="E20" s="35" t="s">
        <v>750</v>
      </c>
      <c r="F20" s="35" t="s">
        <v>751</v>
      </c>
      <c r="G20" s="35" t="s">
        <v>752</v>
      </c>
    </row>
    <row r="21" spans="1:8" ht="30" customHeight="1">
      <c r="A21" s="35" t="s">
        <v>753</v>
      </c>
      <c r="B21" s="35" t="s">
        <v>754</v>
      </c>
      <c r="C21" s="35" t="s">
        <v>755</v>
      </c>
      <c r="D21" s="35" t="s">
        <v>756</v>
      </c>
      <c r="E21" s="35" t="s">
        <v>368</v>
      </c>
      <c r="F21" s="35" t="s">
        <v>65</v>
      </c>
      <c r="G21" s="35" t="s">
        <v>757</v>
      </c>
    </row>
    <row r="22" spans="1:8" ht="30" customHeight="1">
      <c r="A22" s="35" t="s">
        <v>758</v>
      </c>
      <c r="B22" s="35" t="s">
        <v>759</v>
      </c>
      <c r="C22" s="35" t="s">
        <v>736</v>
      </c>
      <c r="D22" s="35" t="s">
        <v>737</v>
      </c>
      <c r="E22" s="35" t="s">
        <v>745</v>
      </c>
      <c r="F22" s="35" t="s">
        <v>65</v>
      </c>
      <c r="G22" s="35" t="s">
        <v>760</v>
      </c>
    </row>
    <row r="23" spans="1:8" ht="30" customHeight="1">
      <c r="A23" s="35" t="s">
        <v>761</v>
      </c>
      <c r="B23" s="35" t="s">
        <v>762</v>
      </c>
      <c r="C23" s="35" t="s">
        <v>763</v>
      </c>
      <c r="D23" s="35" t="s">
        <v>764</v>
      </c>
      <c r="E23" s="35" t="s">
        <v>745</v>
      </c>
      <c r="F23" s="35" t="s">
        <v>765</v>
      </c>
      <c r="G23" s="35" t="s">
        <v>766</v>
      </c>
    </row>
    <row r="24" spans="1:8" ht="30" customHeight="1">
      <c r="A24" s="35" t="s">
        <v>767</v>
      </c>
      <c r="B24" s="35" t="s">
        <v>768</v>
      </c>
      <c r="C24" s="35" t="s">
        <v>769</v>
      </c>
      <c r="D24" s="35" t="s">
        <v>770</v>
      </c>
      <c r="E24" s="35" t="s">
        <v>745</v>
      </c>
      <c r="F24" s="35" t="s">
        <v>771</v>
      </c>
      <c r="G24" s="35" t="s">
        <v>772</v>
      </c>
    </row>
    <row r="25" spans="1:8" ht="30" customHeight="1">
      <c r="A25" s="35" t="s">
        <v>773</v>
      </c>
      <c r="B25" s="35" t="s">
        <v>774</v>
      </c>
      <c r="C25" s="35" t="s">
        <v>736</v>
      </c>
      <c r="D25" s="35" t="s">
        <v>775</v>
      </c>
      <c r="E25" s="35" t="s">
        <v>745</v>
      </c>
      <c r="F25" s="35" t="s">
        <v>751</v>
      </c>
      <c r="G25" s="35" t="s">
        <v>776</v>
      </c>
    </row>
    <row r="26" spans="1:8" ht="30" customHeight="1">
      <c r="A26" s="35" t="s">
        <v>777</v>
      </c>
      <c r="B26" s="35" t="s">
        <v>778</v>
      </c>
      <c r="C26" s="35" t="s">
        <v>779</v>
      </c>
      <c r="D26" s="35" t="s">
        <v>737</v>
      </c>
      <c r="E26" s="35" t="s">
        <v>745</v>
      </c>
      <c r="F26" s="35" t="s">
        <v>780</v>
      </c>
      <c r="G26" s="35" t="s">
        <v>781</v>
      </c>
    </row>
    <row r="27" spans="1:8" ht="30" customHeight="1">
      <c r="A27" s="35" t="s">
        <v>782</v>
      </c>
      <c r="B27" s="35" t="s">
        <v>482</v>
      </c>
      <c r="C27" s="35" t="s">
        <v>783</v>
      </c>
      <c r="D27" s="35" t="s">
        <v>784</v>
      </c>
      <c r="E27" s="35" t="s">
        <v>785</v>
      </c>
      <c r="F27" s="35" t="s">
        <v>65</v>
      </c>
      <c r="G27" s="35" t="s">
        <v>786</v>
      </c>
    </row>
    <row r="28" spans="1:8" ht="30" customHeight="1">
      <c r="A28" s="35" t="s">
        <v>787</v>
      </c>
      <c r="B28" s="35" t="s">
        <v>742</v>
      </c>
      <c r="C28" s="35" t="s">
        <v>788</v>
      </c>
      <c r="D28" s="35" t="s">
        <v>789</v>
      </c>
      <c r="E28" s="35" t="s">
        <v>790</v>
      </c>
      <c r="F28" s="35" t="s">
        <v>791</v>
      </c>
      <c r="G28" s="35" t="s">
        <v>790</v>
      </c>
    </row>
    <row r="29" spans="1:8" ht="30" customHeight="1">
      <c r="A29" s="35" t="s">
        <v>792</v>
      </c>
      <c r="B29" s="35" t="s">
        <v>742</v>
      </c>
      <c r="C29" s="35" t="s">
        <v>793</v>
      </c>
      <c r="D29" s="35" t="s">
        <v>794</v>
      </c>
      <c r="E29" s="35" t="s">
        <v>745</v>
      </c>
      <c r="F29" s="35" t="s">
        <v>65</v>
      </c>
      <c r="G29" s="35" t="s">
        <v>795</v>
      </c>
    </row>
    <row r="31" spans="1:8" ht="15.75" customHeight="1">
      <c r="A31" s="99" t="s">
        <v>796</v>
      </c>
      <c r="B31" s="70"/>
      <c r="C31" s="70"/>
      <c r="D31" s="70"/>
      <c r="E31" s="70"/>
      <c r="F31" s="70"/>
      <c r="G31" s="70"/>
      <c r="H31" s="70"/>
    </row>
    <row r="32" spans="1:8">
      <c r="A32" s="22" t="s">
        <v>797</v>
      </c>
      <c r="B32" s="22" t="s">
        <v>798</v>
      </c>
      <c r="C32" s="22" t="s">
        <v>799</v>
      </c>
    </row>
    <row r="33" spans="1:8" ht="35.1" customHeight="1">
      <c r="A33" s="17" t="s">
        <v>800</v>
      </c>
      <c r="B33" s="28" t="s">
        <v>801</v>
      </c>
      <c r="C33" s="36" t="s">
        <v>158</v>
      </c>
    </row>
    <row r="34" spans="1:8" ht="35.1" customHeight="1">
      <c r="A34" s="17" t="s">
        <v>802</v>
      </c>
      <c r="B34" s="28" t="s">
        <v>803</v>
      </c>
      <c r="C34" s="36" t="s">
        <v>158</v>
      </c>
    </row>
    <row r="35" spans="1:8" ht="35.1" customHeight="1">
      <c r="A35" s="17" t="s">
        <v>804</v>
      </c>
      <c r="B35" s="28" t="s">
        <v>805</v>
      </c>
      <c r="C35" s="37" t="s">
        <v>154</v>
      </c>
    </row>
    <row r="36" spans="1:8" ht="35.1" customHeight="1">
      <c r="A36" s="17" t="s">
        <v>806</v>
      </c>
      <c r="B36" s="28" t="s">
        <v>807</v>
      </c>
      <c r="C36" s="36" t="s">
        <v>158</v>
      </c>
    </row>
    <row r="37" spans="1:8" ht="35.1" customHeight="1">
      <c r="A37" s="17" t="s">
        <v>808</v>
      </c>
      <c r="B37" s="28" t="s">
        <v>809</v>
      </c>
      <c r="C37" s="36" t="s">
        <v>158</v>
      </c>
    </row>
    <row r="38" spans="1:8" ht="35.1" customHeight="1">
      <c r="A38" s="17" t="s">
        <v>810</v>
      </c>
      <c r="B38" s="28" t="s">
        <v>811</v>
      </c>
      <c r="C38" s="36" t="s">
        <v>158</v>
      </c>
    </row>
    <row r="39" spans="1:8" ht="35.1" customHeight="1">
      <c r="A39" s="17" t="s">
        <v>812</v>
      </c>
      <c r="B39" s="28" t="s">
        <v>813</v>
      </c>
      <c r="C39" s="37" t="s">
        <v>154</v>
      </c>
    </row>
    <row r="40" spans="1:8" ht="35.1" customHeight="1">
      <c r="A40" s="17" t="s">
        <v>814</v>
      </c>
      <c r="B40" s="28" t="s">
        <v>815</v>
      </c>
      <c r="C40" s="37" t="s">
        <v>154</v>
      </c>
    </row>
    <row r="41" spans="1:8" ht="35.1" customHeight="1">
      <c r="A41" s="17" t="s">
        <v>816</v>
      </c>
      <c r="B41" s="28" t="s">
        <v>817</v>
      </c>
      <c r="C41" s="36" t="s">
        <v>158</v>
      </c>
    </row>
    <row r="42" spans="1:8" ht="35.1" customHeight="1">
      <c r="A42" s="17" t="s">
        <v>818</v>
      </c>
      <c r="B42" s="28" t="s">
        <v>819</v>
      </c>
      <c r="C42" s="36" t="s">
        <v>158</v>
      </c>
    </row>
    <row r="44" spans="1:8" ht="15.75" customHeight="1">
      <c r="A44" s="99" t="s">
        <v>820</v>
      </c>
      <c r="B44" s="70"/>
      <c r="C44" s="70"/>
      <c r="D44" s="70"/>
      <c r="E44" s="70"/>
      <c r="F44" s="70"/>
      <c r="G44" s="70"/>
      <c r="H44" s="70"/>
    </row>
    <row r="45" spans="1:8">
      <c r="A45" s="22" t="s">
        <v>821</v>
      </c>
      <c r="B45" s="22" t="s">
        <v>822</v>
      </c>
      <c r="C45" s="22" t="s">
        <v>144</v>
      </c>
      <c r="D45" s="22" t="s">
        <v>823</v>
      </c>
    </row>
    <row r="46" spans="1:8" ht="24.95" customHeight="1">
      <c r="A46" s="35" t="s">
        <v>824</v>
      </c>
      <c r="B46" s="35" t="s">
        <v>825</v>
      </c>
      <c r="C46" s="35" t="s">
        <v>750</v>
      </c>
      <c r="D46" s="35" t="s">
        <v>826</v>
      </c>
    </row>
    <row r="47" spans="1:8" ht="24.95" customHeight="1">
      <c r="A47" s="35" t="s">
        <v>827</v>
      </c>
      <c r="B47" s="35" t="s">
        <v>828</v>
      </c>
      <c r="C47" s="35" t="s">
        <v>750</v>
      </c>
      <c r="D47" s="35" t="s">
        <v>829</v>
      </c>
    </row>
    <row r="48" spans="1:8" ht="24.95" customHeight="1">
      <c r="A48" s="35" t="s">
        <v>830</v>
      </c>
      <c r="B48" s="35" t="s">
        <v>831</v>
      </c>
      <c r="C48" s="35" t="s">
        <v>745</v>
      </c>
      <c r="D48" s="35" t="s">
        <v>793</v>
      </c>
    </row>
    <row r="49" spans="1:4" ht="24.95" customHeight="1">
      <c r="A49" s="35" t="s">
        <v>832</v>
      </c>
      <c r="B49" s="35" t="s">
        <v>833</v>
      </c>
      <c r="C49" s="35" t="s">
        <v>750</v>
      </c>
      <c r="D49" s="35" t="s">
        <v>834</v>
      </c>
    </row>
    <row r="50" spans="1:4" ht="24.95" customHeight="1">
      <c r="A50" s="35" t="s">
        <v>835</v>
      </c>
      <c r="B50" s="35" t="s">
        <v>836</v>
      </c>
      <c r="C50" s="35" t="s">
        <v>750</v>
      </c>
      <c r="D50" s="35" t="s">
        <v>837</v>
      </c>
    </row>
    <row r="51" spans="1:4" ht="24.95" customHeight="1">
      <c r="A51" s="35" t="s">
        <v>838</v>
      </c>
      <c r="B51" s="35" t="s">
        <v>839</v>
      </c>
      <c r="C51" s="35" t="s">
        <v>840</v>
      </c>
      <c r="D51" s="35" t="s">
        <v>841</v>
      </c>
    </row>
  </sheetData>
  <mergeCells count="21">
    <mergeCell ref="A1:H1"/>
    <mergeCell ref="B2:C2"/>
    <mergeCell ref="A16:H16"/>
    <mergeCell ref="A12:H12"/>
    <mergeCell ref="F4:H4"/>
    <mergeCell ref="A14:H14"/>
    <mergeCell ref="B6:C6"/>
    <mergeCell ref="F6:H6"/>
    <mergeCell ref="B5:C5"/>
    <mergeCell ref="A10:H10"/>
    <mergeCell ref="A13:H13"/>
    <mergeCell ref="A9:H9"/>
    <mergeCell ref="F5:H5"/>
    <mergeCell ref="B7:C7"/>
    <mergeCell ref="B3:C3"/>
    <mergeCell ref="A11:H11"/>
    <mergeCell ref="A44:H44"/>
    <mergeCell ref="F3:H3"/>
    <mergeCell ref="A31:H31"/>
    <mergeCell ref="B4:C4"/>
    <mergeCell ref="F2:H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dimension ref="A1:F11"/>
  <sheetViews>
    <sheetView workbookViewId="0"/>
  </sheetViews>
  <sheetFormatPr baseColWidth="10" defaultColWidth="9.140625" defaultRowHeight="15"/>
  <cols>
    <col min="1" max="2" width="25" customWidth="1"/>
    <col min="3" max="4" width="15" customWidth="1"/>
    <col min="5" max="5" width="20" customWidth="1"/>
    <col min="6" max="6" width="15" customWidth="1"/>
  </cols>
  <sheetData>
    <row r="1" spans="1:6" ht="30" customHeight="1">
      <c r="A1" s="100" t="s">
        <v>842</v>
      </c>
      <c r="B1" s="70"/>
      <c r="C1" s="70"/>
      <c r="D1" s="70"/>
      <c r="E1" s="70"/>
      <c r="F1" s="70"/>
    </row>
    <row r="2" spans="1:6">
      <c r="A2" s="15" t="s">
        <v>587</v>
      </c>
      <c r="B2" s="16" t="s">
        <v>843</v>
      </c>
      <c r="D2" s="15" t="s">
        <v>56</v>
      </c>
      <c r="E2" s="16" t="s">
        <v>57</v>
      </c>
    </row>
    <row r="3" spans="1:6">
      <c r="A3" s="15" t="s">
        <v>591</v>
      </c>
      <c r="B3" s="16" t="s">
        <v>59</v>
      </c>
      <c r="D3" s="15" t="s">
        <v>68</v>
      </c>
      <c r="E3" s="16" t="s">
        <v>69</v>
      </c>
    </row>
    <row r="4" spans="1:6">
      <c r="A4" s="15" t="s">
        <v>66</v>
      </c>
      <c r="B4" s="16" t="s">
        <v>67</v>
      </c>
      <c r="D4" s="15" t="s">
        <v>592</v>
      </c>
      <c r="E4" s="16" t="s">
        <v>65</v>
      </c>
    </row>
    <row r="6" spans="1:6" ht="15.75" customHeight="1">
      <c r="A6" s="99" t="s">
        <v>844</v>
      </c>
      <c r="B6" s="70"/>
      <c r="C6" s="70"/>
      <c r="D6" s="70"/>
      <c r="E6" s="70"/>
      <c r="F6" s="70"/>
    </row>
    <row r="7" spans="1:6">
      <c r="A7" s="22" t="s">
        <v>845</v>
      </c>
      <c r="B7" s="22" t="s">
        <v>846</v>
      </c>
      <c r="C7" s="22" t="s">
        <v>847</v>
      </c>
      <c r="D7" s="22" t="s">
        <v>848</v>
      </c>
      <c r="E7" s="22" t="s">
        <v>849</v>
      </c>
      <c r="F7" s="22" t="s">
        <v>89</v>
      </c>
    </row>
    <row r="8" spans="1:6">
      <c r="A8" s="38" t="s">
        <v>850</v>
      </c>
      <c r="B8" s="38" t="s">
        <v>851</v>
      </c>
      <c r="C8" s="38" t="s">
        <v>852</v>
      </c>
      <c r="D8" s="38" t="s">
        <v>853</v>
      </c>
      <c r="E8" s="38" t="s">
        <v>854</v>
      </c>
      <c r="F8" s="38" t="s">
        <v>69</v>
      </c>
    </row>
    <row r="9" spans="1:6">
      <c r="A9" s="38" t="s">
        <v>855</v>
      </c>
      <c r="B9" s="38" t="s">
        <v>856</v>
      </c>
      <c r="C9" s="38" t="s">
        <v>857</v>
      </c>
      <c r="D9" s="38" t="s">
        <v>858</v>
      </c>
      <c r="E9" s="38" t="s">
        <v>859</v>
      </c>
      <c r="F9" s="38" t="s">
        <v>69</v>
      </c>
    </row>
    <row r="10" spans="1:6">
      <c r="A10" s="38" t="s">
        <v>860</v>
      </c>
      <c r="B10" s="38" t="s">
        <v>861</v>
      </c>
      <c r="C10" s="38" t="s">
        <v>862</v>
      </c>
      <c r="D10" s="38" t="s">
        <v>863</v>
      </c>
      <c r="E10" s="38" t="s">
        <v>864</v>
      </c>
      <c r="F10" s="38" t="s">
        <v>69</v>
      </c>
    </row>
    <row r="11" spans="1:6">
      <c r="A11" s="38" t="s">
        <v>865</v>
      </c>
      <c r="B11" s="38" t="s">
        <v>866</v>
      </c>
      <c r="C11" s="38" t="s">
        <v>867</v>
      </c>
      <c r="D11" s="38" t="s">
        <v>868</v>
      </c>
      <c r="E11" s="38" t="s">
        <v>869</v>
      </c>
      <c r="F11" s="38" t="s">
        <v>69</v>
      </c>
    </row>
  </sheetData>
  <mergeCells count="2">
    <mergeCell ref="A6:F6"/>
    <mergeCell ref="A1:F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dimension ref="A1:F11"/>
  <sheetViews>
    <sheetView workbookViewId="0"/>
  </sheetViews>
  <sheetFormatPr baseColWidth="10" defaultColWidth="9.140625" defaultRowHeight="15"/>
  <cols>
    <col min="1" max="2" width="25" customWidth="1"/>
    <col min="3" max="4" width="15" customWidth="1"/>
    <col min="5" max="5" width="20" customWidth="1"/>
    <col min="6" max="6" width="15" customWidth="1"/>
  </cols>
  <sheetData>
    <row r="1" spans="1:6" ht="30" customHeight="1">
      <c r="A1" s="100" t="s">
        <v>870</v>
      </c>
      <c r="B1" s="70"/>
      <c r="C1" s="70"/>
      <c r="D1" s="70"/>
      <c r="E1" s="70"/>
      <c r="F1" s="70"/>
    </row>
    <row r="2" spans="1:6">
      <c r="A2" s="15" t="s">
        <v>587</v>
      </c>
      <c r="B2" s="16" t="s">
        <v>871</v>
      </c>
      <c r="D2" s="15" t="s">
        <v>56</v>
      </c>
      <c r="E2" s="16" t="s">
        <v>57</v>
      </c>
    </row>
    <row r="3" spans="1:6">
      <c r="A3" s="15" t="s">
        <v>591</v>
      </c>
      <c r="B3" s="16" t="s">
        <v>59</v>
      </c>
      <c r="D3" s="15" t="s">
        <v>68</v>
      </c>
      <c r="E3" s="16" t="s">
        <v>69</v>
      </c>
    </row>
    <row r="4" spans="1:6">
      <c r="A4" s="15" t="s">
        <v>66</v>
      </c>
      <c r="B4" s="16" t="s">
        <v>67</v>
      </c>
      <c r="D4" s="15" t="s">
        <v>592</v>
      </c>
      <c r="E4" s="16" t="s">
        <v>65</v>
      </c>
    </row>
    <row r="6" spans="1:6" ht="15.75" customHeight="1">
      <c r="A6" s="99" t="s">
        <v>872</v>
      </c>
      <c r="B6" s="70"/>
      <c r="C6" s="70"/>
      <c r="D6" s="70"/>
      <c r="E6" s="70"/>
      <c r="F6" s="70"/>
    </row>
    <row r="7" spans="1:6">
      <c r="A7" s="22" t="s">
        <v>873</v>
      </c>
      <c r="B7" s="22" t="s">
        <v>874</v>
      </c>
      <c r="C7" s="22" t="s">
        <v>875</v>
      </c>
      <c r="D7" s="22" t="s">
        <v>876</v>
      </c>
      <c r="E7" s="22" t="s">
        <v>877</v>
      </c>
      <c r="F7" s="22" t="s">
        <v>89</v>
      </c>
    </row>
    <row r="8" spans="1:6">
      <c r="A8" s="38" t="s">
        <v>878</v>
      </c>
      <c r="B8" s="38" t="s">
        <v>65</v>
      </c>
      <c r="C8" s="38" t="s">
        <v>879</v>
      </c>
      <c r="D8" s="38" t="s">
        <v>879</v>
      </c>
      <c r="E8" s="38" t="s">
        <v>880</v>
      </c>
      <c r="F8" s="38" t="s">
        <v>881</v>
      </c>
    </row>
    <row r="9" spans="1:6">
      <c r="A9" s="38" t="s">
        <v>882</v>
      </c>
      <c r="B9" s="38" t="s">
        <v>560</v>
      </c>
      <c r="C9" s="38" t="s">
        <v>883</v>
      </c>
      <c r="D9" s="38" t="s">
        <v>883</v>
      </c>
      <c r="E9" s="38" t="s">
        <v>880</v>
      </c>
      <c r="F9" s="38" t="s">
        <v>881</v>
      </c>
    </row>
    <row r="10" spans="1:6">
      <c r="A10" s="38" t="s">
        <v>884</v>
      </c>
      <c r="B10" s="38" t="s">
        <v>885</v>
      </c>
      <c r="C10" s="38" t="s">
        <v>886</v>
      </c>
      <c r="D10" s="38" t="s">
        <v>886</v>
      </c>
      <c r="E10" s="38" t="s">
        <v>887</v>
      </c>
      <c r="F10" s="38" t="s">
        <v>881</v>
      </c>
    </row>
    <row r="11" spans="1:6">
      <c r="A11" s="38" t="s">
        <v>888</v>
      </c>
      <c r="B11" s="38" t="s">
        <v>765</v>
      </c>
      <c r="C11" s="38" t="s">
        <v>889</v>
      </c>
      <c r="D11" s="38" t="s">
        <v>889</v>
      </c>
      <c r="E11" s="38" t="s">
        <v>880</v>
      </c>
      <c r="F11" s="38" t="s">
        <v>881</v>
      </c>
    </row>
  </sheetData>
  <mergeCells count="2">
    <mergeCell ref="A6:F6"/>
    <mergeCell ref="A1:F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dimension ref="A1:F19"/>
  <sheetViews>
    <sheetView workbookViewId="0"/>
  </sheetViews>
  <sheetFormatPr baseColWidth="10" defaultColWidth="9.140625" defaultRowHeight="15"/>
  <cols>
    <col min="1" max="1" width="12" customWidth="1"/>
    <col min="2" max="2" width="15" customWidth="1"/>
    <col min="3" max="3" width="35" customWidth="1"/>
    <col min="4" max="4" width="30" customWidth="1"/>
    <col min="5" max="5" width="18" customWidth="1"/>
  </cols>
  <sheetData>
    <row r="1" spans="1:6" ht="30" customHeight="1">
      <c r="A1" s="100" t="s">
        <v>890</v>
      </c>
      <c r="B1" s="70"/>
      <c r="C1" s="70"/>
      <c r="D1" s="70"/>
      <c r="E1" s="70"/>
      <c r="F1" s="70"/>
    </row>
    <row r="2" spans="1:6">
      <c r="A2" s="15" t="s">
        <v>587</v>
      </c>
      <c r="B2" s="16" t="s">
        <v>891</v>
      </c>
      <c r="D2" s="15" t="s">
        <v>56</v>
      </c>
      <c r="E2" s="16" t="s">
        <v>57</v>
      </c>
    </row>
    <row r="3" spans="1:6">
      <c r="A3" s="15" t="s">
        <v>591</v>
      </c>
      <c r="B3" s="16" t="s">
        <v>59</v>
      </c>
      <c r="D3" s="15" t="s">
        <v>68</v>
      </c>
      <c r="E3" s="16" t="s">
        <v>69</v>
      </c>
    </row>
    <row r="4" spans="1:6">
      <c r="A4" s="15" t="s">
        <v>66</v>
      </c>
      <c r="B4" s="16" t="s">
        <v>105</v>
      </c>
      <c r="D4" s="15" t="s">
        <v>592</v>
      </c>
      <c r="E4" s="16" t="s">
        <v>65</v>
      </c>
    </row>
    <row r="6" spans="1:6" ht="15.75" customHeight="1">
      <c r="A6" s="99" t="s">
        <v>892</v>
      </c>
      <c r="B6" s="70"/>
      <c r="C6" s="70"/>
      <c r="D6" s="70"/>
      <c r="E6" s="70"/>
      <c r="F6" s="70"/>
    </row>
    <row r="7" spans="1:6">
      <c r="A7" s="22" t="s">
        <v>225</v>
      </c>
      <c r="B7" s="22" t="s">
        <v>893</v>
      </c>
      <c r="C7" s="22" t="s">
        <v>894</v>
      </c>
      <c r="D7" s="22" t="s">
        <v>895</v>
      </c>
      <c r="E7" s="22" t="s">
        <v>896</v>
      </c>
    </row>
    <row r="8" spans="1:6">
      <c r="A8" s="39" t="s">
        <v>95</v>
      </c>
      <c r="B8" s="39" t="s">
        <v>897</v>
      </c>
      <c r="C8" s="39" t="s">
        <v>898</v>
      </c>
      <c r="D8" s="39" t="s">
        <v>899</v>
      </c>
      <c r="E8" s="39" t="s">
        <v>900</v>
      </c>
    </row>
    <row r="9" spans="1:6">
      <c r="A9" s="39" t="s">
        <v>878</v>
      </c>
      <c r="B9" s="39" t="s">
        <v>65</v>
      </c>
      <c r="C9" s="39" t="s">
        <v>901</v>
      </c>
      <c r="D9" s="39" t="s">
        <v>902</v>
      </c>
      <c r="E9" s="39" t="s">
        <v>903</v>
      </c>
    </row>
    <row r="10" spans="1:6">
      <c r="A10" s="39" t="s">
        <v>888</v>
      </c>
      <c r="B10" s="39" t="s">
        <v>765</v>
      </c>
      <c r="C10" s="39" t="s">
        <v>904</v>
      </c>
      <c r="D10" s="39" t="s">
        <v>905</v>
      </c>
      <c r="E10" s="39" t="s">
        <v>906</v>
      </c>
    </row>
    <row r="11" spans="1:6">
      <c r="A11" s="39" t="s">
        <v>907</v>
      </c>
      <c r="B11" s="39" t="s">
        <v>908</v>
      </c>
      <c r="C11" s="39" t="s">
        <v>909</v>
      </c>
      <c r="D11" s="39" t="s">
        <v>910</v>
      </c>
      <c r="E11" s="39" t="s">
        <v>911</v>
      </c>
    </row>
    <row r="12" spans="1:6">
      <c r="A12" s="39" t="s">
        <v>912</v>
      </c>
      <c r="B12" s="39" t="s">
        <v>913</v>
      </c>
      <c r="C12" s="39" t="s">
        <v>914</v>
      </c>
      <c r="D12" s="39" t="s">
        <v>915</v>
      </c>
      <c r="E12" s="39" t="s">
        <v>916</v>
      </c>
    </row>
    <row r="13" spans="1:6">
      <c r="A13" s="39" t="s">
        <v>917</v>
      </c>
      <c r="B13" s="39" t="s">
        <v>918</v>
      </c>
      <c r="C13" s="39" t="s">
        <v>919</v>
      </c>
      <c r="D13" s="39" t="s">
        <v>920</v>
      </c>
      <c r="E13" s="39" t="s">
        <v>921</v>
      </c>
    </row>
    <row r="15" spans="1:6" ht="15.75" customHeight="1">
      <c r="A15" s="99" t="s">
        <v>922</v>
      </c>
      <c r="B15" s="70"/>
      <c r="C15" s="70"/>
      <c r="D15" s="70"/>
      <c r="E15" s="70"/>
      <c r="F15" s="70"/>
    </row>
    <row r="16" spans="1:6">
      <c r="A16" s="22" t="s">
        <v>923</v>
      </c>
      <c r="B16" s="22" t="s">
        <v>407</v>
      </c>
      <c r="C16" s="22" t="s">
        <v>924</v>
      </c>
      <c r="D16" s="22" t="s">
        <v>925</v>
      </c>
      <c r="E16" s="22" t="s">
        <v>926</v>
      </c>
    </row>
    <row r="17" spans="1:5" ht="39.950000000000003" customHeight="1">
      <c r="A17" s="28" t="s">
        <v>927</v>
      </c>
      <c r="B17" s="28" t="s">
        <v>852</v>
      </c>
      <c r="C17" s="28" t="s">
        <v>928</v>
      </c>
      <c r="D17" s="28" t="s">
        <v>929</v>
      </c>
      <c r="E17" s="28" t="s">
        <v>930</v>
      </c>
    </row>
    <row r="18" spans="1:5" ht="39.950000000000003" customHeight="1">
      <c r="A18" s="28" t="s">
        <v>931</v>
      </c>
      <c r="B18" s="28" t="s">
        <v>930</v>
      </c>
      <c r="C18" s="28" t="s">
        <v>932</v>
      </c>
      <c r="D18" s="28" t="s">
        <v>933</v>
      </c>
      <c r="E18" s="28" t="s">
        <v>934</v>
      </c>
    </row>
    <row r="19" spans="1:5" ht="39.950000000000003" customHeight="1">
      <c r="A19" s="28" t="s">
        <v>935</v>
      </c>
      <c r="B19" s="28" t="s">
        <v>934</v>
      </c>
      <c r="C19" s="28" t="s">
        <v>936</v>
      </c>
      <c r="D19" s="28" t="s">
        <v>937</v>
      </c>
      <c r="E19" s="28" t="s">
        <v>938</v>
      </c>
    </row>
  </sheetData>
  <mergeCells count="3">
    <mergeCell ref="A6:F6"/>
    <mergeCell ref="A1:F1"/>
    <mergeCell ref="A15:F15"/>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6"/>
  <dimension ref="A1:H15"/>
  <sheetViews>
    <sheetView workbookViewId="0"/>
  </sheetViews>
  <sheetFormatPr baseColWidth="10" defaultColWidth="9.140625" defaultRowHeight="15"/>
  <cols>
    <col min="1" max="1" width="10" customWidth="1"/>
    <col min="2" max="2" width="25" customWidth="1"/>
    <col min="3" max="3" width="15" customWidth="1"/>
    <col min="4" max="4" width="12" customWidth="1"/>
    <col min="5" max="7" width="20" customWidth="1"/>
    <col min="8" max="8" width="18" customWidth="1"/>
  </cols>
  <sheetData>
    <row r="1" spans="1:8" ht="30" customHeight="1">
      <c r="A1" s="100" t="s">
        <v>939</v>
      </c>
      <c r="B1" s="70"/>
      <c r="C1" s="70"/>
      <c r="D1" s="70"/>
      <c r="E1" s="70"/>
      <c r="F1" s="70"/>
      <c r="G1" s="70"/>
      <c r="H1" s="70"/>
    </row>
    <row r="2" spans="1:8">
      <c r="A2" s="15" t="s">
        <v>587</v>
      </c>
      <c r="B2" s="98" t="s">
        <v>940</v>
      </c>
      <c r="C2" s="70"/>
      <c r="E2" s="15" t="s">
        <v>56</v>
      </c>
      <c r="F2" s="98" t="s">
        <v>57</v>
      </c>
      <c r="G2" s="70"/>
      <c r="H2" s="70"/>
    </row>
    <row r="3" spans="1:8">
      <c r="A3" s="15" t="s">
        <v>591</v>
      </c>
      <c r="B3" s="98" t="s">
        <v>59</v>
      </c>
      <c r="C3" s="70"/>
      <c r="E3" s="15" t="s">
        <v>68</v>
      </c>
      <c r="F3" s="98" t="s">
        <v>69</v>
      </c>
      <c r="G3" s="70"/>
      <c r="H3" s="70"/>
    </row>
    <row r="4" spans="1:8">
      <c r="A4" s="15" t="s">
        <v>66</v>
      </c>
      <c r="B4" s="98" t="s">
        <v>67</v>
      </c>
      <c r="C4" s="70"/>
      <c r="E4" s="15" t="s">
        <v>592</v>
      </c>
      <c r="F4" s="98" t="s">
        <v>65</v>
      </c>
      <c r="G4" s="70"/>
      <c r="H4" s="70"/>
    </row>
    <row r="6" spans="1:8" ht="15.75" customHeight="1">
      <c r="A6" s="99" t="s">
        <v>941</v>
      </c>
      <c r="B6" s="70"/>
      <c r="C6" s="70"/>
      <c r="D6" s="70"/>
      <c r="E6" s="70"/>
      <c r="F6" s="70"/>
      <c r="G6" s="70"/>
      <c r="H6" s="70"/>
    </row>
    <row r="7" spans="1:8">
      <c r="A7" s="22" t="s">
        <v>563</v>
      </c>
      <c r="B7" s="22" t="s">
        <v>942</v>
      </c>
      <c r="C7" s="22" t="s">
        <v>84</v>
      </c>
      <c r="D7" s="22" t="s">
        <v>603</v>
      </c>
      <c r="E7" s="22" t="s">
        <v>91</v>
      </c>
      <c r="F7" s="22" t="s">
        <v>943</v>
      </c>
      <c r="G7" s="22" t="s">
        <v>944</v>
      </c>
      <c r="H7" s="22" t="s">
        <v>229</v>
      </c>
    </row>
    <row r="8" spans="1:8">
      <c r="A8" s="39" t="s">
        <v>945</v>
      </c>
      <c r="B8" s="39" t="s">
        <v>946</v>
      </c>
      <c r="C8" s="39" t="s">
        <v>947</v>
      </c>
      <c r="D8" s="25" t="s">
        <v>211</v>
      </c>
      <c r="E8" s="39" t="s">
        <v>948</v>
      </c>
      <c r="F8" s="39" t="s">
        <v>949</v>
      </c>
      <c r="G8" s="39" t="s">
        <v>950</v>
      </c>
      <c r="H8" s="39" t="s">
        <v>951</v>
      </c>
    </row>
    <row r="9" spans="1:8">
      <c r="A9" s="39" t="s">
        <v>952</v>
      </c>
      <c r="B9" s="39" t="s">
        <v>953</v>
      </c>
      <c r="C9" s="39" t="s">
        <v>947</v>
      </c>
      <c r="D9" s="25" t="s">
        <v>211</v>
      </c>
      <c r="E9" s="39" t="s">
        <v>948</v>
      </c>
      <c r="F9" s="39" t="s">
        <v>954</v>
      </c>
      <c r="G9" s="39" t="s">
        <v>955</v>
      </c>
      <c r="H9" s="39" t="s">
        <v>956</v>
      </c>
    </row>
    <row r="10" spans="1:8">
      <c r="A10" s="39" t="s">
        <v>957</v>
      </c>
      <c r="B10" s="39" t="s">
        <v>958</v>
      </c>
      <c r="C10" s="39" t="s">
        <v>947</v>
      </c>
      <c r="D10" s="26" t="s">
        <v>207</v>
      </c>
      <c r="E10" s="39" t="s">
        <v>948</v>
      </c>
      <c r="F10" s="39" t="s">
        <v>959</v>
      </c>
      <c r="G10" s="39" t="s">
        <v>960</v>
      </c>
      <c r="H10" s="39" t="s">
        <v>961</v>
      </c>
    </row>
    <row r="11" spans="1:8">
      <c r="A11" s="39" t="s">
        <v>962</v>
      </c>
      <c r="B11" s="39" t="s">
        <v>963</v>
      </c>
      <c r="C11" s="39" t="s">
        <v>947</v>
      </c>
      <c r="D11" s="26" t="s">
        <v>207</v>
      </c>
      <c r="E11" s="39" t="s">
        <v>964</v>
      </c>
      <c r="F11" s="39" t="s">
        <v>965</v>
      </c>
      <c r="G11" s="39" t="s">
        <v>966</v>
      </c>
      <c r="H11" s="39" t="s">
        <v>765</v>
      </c>
    </row>
    <row r="12" spans="1:8">
      <c r="A12" s="39" t="s">
        <v>967</v>
      </c>
      <c r="B12" s="39" t="s">
        <v>968</v>
      </c>
      <c r="C12" s="39" t="s">
        <v>969</v>
      </c>
      <c r="D12" s="25" t="s">
        <v>211</v>
      </c>
      <c r="E12" s="39" t="s">
        <v>970</v>
      </c>
      <c r="F12" s="39" t="s">
        <v>971</v>
      </c>
      <c r="G12" s="39" t="s">
        <v>972</v>
      </c>
      <c r="H12" s="39" t="s">
        <v>560</v>
      </c>
    </row>
    <row r="13" spans="1:8">
      <c r="A13" s="39" t="s">
        <v>973</v>
      </c>
      <c r="B13" s="39" t="s">
        <v>974</v>
      </c>
      <c r="C13" s="39" t="s">
        <v>975</v>
      </c>
      <c r="D13" s="25" t="s">
        <v>211</v>
      </c>
      <c r="E13" s="39" t="s">
        <v>976</v>
      </c>
      <c r="F13" s="39" t="s">
        <v>977</v>
      </c>
      <c r="G13" s="39" t="s">
        <v>978</v>
      </c>
      <c r="H13" s="39" t="s">
        <v>979</v>
      </c>
    </row>
    <row r="14" spans="1:8">
      <c r="A14" s="39" t="s">
        <v>980</v>
      </c>
      <c r="B14" s="39" t="s">
        <v>981</v>
      </c>
      <c r="C14" s="39" t="s">
        <v>982</v>
      </c>
      <c r="D14" s="27" t="s">
        <v>203</v>
      </c>
      <c r="E14" s="39" t="s">
        <v>983</v>
      </c>
      <c r="F14" s="39" t="s">
        <v>984</v>
      </c>
      <c r="G14" s="39" t="s">
        <v>985</v>
      </c>
      <c r="H14" s="39" t="s">
        <v>986</v>
      </c>
    </row>
    <row r="15" spans="1:8">
      <c r="A15" s="39" t="s">
        <v>987</v>
      </c>
      <c r="B15" s="39" t="s">
        <v>988</v>
      </c>
      <c r="C15" s="39" t="s">
        <v>989</v>
      </c>
      <c r="D15" s="26" t="s">
        <v>207</v>
      </c>
      <c r="E15" s="39" t="s">
        <v>990</v>
      </c>
      <c r="F15" s="39" t="s">
        <v>991</v>
      </c>
      <c r="G15" s="39" t="s">
        <v>992</v>
      </c>
      <c r="H15" s="39" t="s">
        <v>993</v>
      </c>
    </row>
  </sheetData>
  <mergeCells count="8">
    <mergeCell ref="A1:H1"/>
    <mergeCell ref="F3:H3"/>
    <mergeCell ref="B4:C4"/>
    <mergeCell ref="A6:H6"/>
    <mergeCell ref="B2:C2"/>
    <mergeCell ref="B3:C3"/>
    <mergeCell ref="F4:H4"/>
    <mergeCell ref="F2:H2"/>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7"/>
  <dimension ref="A1:H41"/>
  <sheetViews>
    <sheetView workbookViewId="0"/>
  </sheetViews>
  <sheetFormatPr baseColWidth="10" defaultColWidth="9.140625" defaultRowHeight="15"/>
  <sheetData>
    <row r="1" spans="1:8" ht="30" customHeight="1">
      <c r="A1" s="100" t="s">
        <v>994</v>
      </c>
      <c r="B1" s="70"/>
      <c r="C1" s="70"/>
      <c r="D1" s="70"/>
      <c r="E1" s="70"/>
      <c r="F1" s="70"/>
      <c r="G1" s="70"/>
      <c r="H1" s="70"/>
    </row>
    <row r="2" spans="1:8">
      <c r="A2" s="15" t="s">
        <v>587</v>
      </c>
      <c r="B2" s="98" t="s">
        <v>995</v>
      </c>
      <c r="C2" s="70"/>
      <c r="E2" s="15" t="s">
        <v>56</v>
      </c>
      <c r="F2" s="98" t="s">
        <v>57</v>
      </c>
      <c r="G2" s="70"/>
      <c r="H2" s="70"/>
    </row>
    <row r="3" spans="1:8">
      <c r="A3" s="15" t="s">
        <v>591</v>
      </c>
      <c r="B3" s="98" t="s">
        <v>59</v>
      </c>
      <c r="C3" s="70"/>
      <c r="E3" s="15" t="s">
        <v>68</v>
      </c>
      <c r="F3" s="98" t="s">
        <v>69</v>
      </c>
      <c r="G3" s="70"/>
      <c r="H3" s="70"/>
    </row>
    <row r="4" spans="1:8">
      <c r="A4" s="15" t="s">
        <v>66</v>
      </c>
      <c r="B4" s="98" t="s">
        <v>67</v>
      </c>
      <c r="C4" s="70"/>
      <c r="E4" s="15" t="s">
        <v>592</v>
      </c>
      <c r="F4" s="98" t="s">
        <v>65</v>
      </c>
      <c r="G4" s="70"/>
      <c r="H4" s="70"/>
    </row>
    <row r="6" spans="1:8" ht="15.75" customHeight="1">
      <c r="A6" s="99" t="s">
        <v>996</v>
      </c>
      <c r="B6" s="70"/>
      <c r="C6" s="70"/>
      <c r="D6" s="70"/>
      <c r="E6" s="70"/>
      <c r="F6" s="70"/>
      <c r="G6" s="70"/>
      <c r="H6" s="70"/>
    </row>
    <row r="7" spans="1:8">
      <c r="A7" s="105" t="s">
        <v>997</v>
      </c>
      <c r="B7" s="70"/>
      <c r="C7" s="70"/>
      <c r="D7" s="70"/>
      <c r="E7" s="70"/>
      <c r="F7" s="70"/>
      <c r="G7" s="70"/>
      <c r="H7" s="70"/>
    </row>
    <row r="8" spans="1:8" ht="24.95" customHeight="1">
      <c r="A8" s="30" t="s">
        <v>998</v>
      </c>
      <c r="B8" s="104" t="s">
        <v>999</v>
      </c>
      <c r="C8" s="70"/>
      <c r="D8" s="70"/>
      <c r="E8" s="70"/>
      <c r="F8" s="70"/>
      <c r="G8" s="70"/>
      <c r="H8" s="70"/>
    </row>
    <row r="9" spans="1:8" ht="24.95" customHeight="1">
      <c r="A9" s="30" t="s">
        <v>1000</v>
      </c>
      <c r="B9" s="104" t="s">
        <v>1001</v>
      </c>
      <c r="C9" s="70"/>
      <c r="D9" s="70"/>
      <c r="E9" s="70"/>
      <c r="F9" s="70"/>
      <c r="G9" s="70"/>
      <c r="H9" s="70"/>
    </row>
    <row r="10" spans="1:8" ht="24.95" customHeight="1">
      <c r="A10" s="30" t="s">
        <v>1002</v>
      </c>
      <c r="B10" s="104" t="s">
        <v>1003</v>
      </c>
      <c r="C10" s="70"/>
      <c r="D10" s="70"/>
      <c r="E10" s="70"/>
      <c r="F10" s="70"/>
      <c r="G10" s="70"/>
      <c r="H10" s="70"/>
    </row>
    <row r="11" spans="1:8" ht="24.95" customHeight="1">
      <c r="A11" s="30" t="s">
        <v>1004</v>
      </c>
      <c r="B11" s="104" t="s">
        <v>1005</v>
      </c>
      <c r="C11" s="70"/>
      <c r="D11" s="70"/>
      <c r="E11" s="70"/>
      <c r="F11" s="70"/>
      <c r="G11" s="70"/>
      <c r="H11" s="70"/>
    </row>
    <row r="12" spans="1:8" ht="24.95" customHeight="1">
      <c r="A12" s="30" t="s">
        <v>1006</v>
      </c>
      <c r="B12" s="104" t="s">
        <v>1007</v>
      </c>
      <c r="C12" s="70"/>
      <c r="D12" s="70"/>
      <c r="E12" s="70"/>
      <c r="F12" s="70"/>
      <c r="G12" s="70"/>
      <c r="H12" s="70"/>
    </row>
    <row r="13" spans="1:8" ht="24.95" customHeight="1">
      <c r="A13" s="30" t="s">
        <v>1008</v>
      </c>
      <c r="B13" s="104" t="s">
        <v>1009</v>
      </c>
      <c r="C13" s="70"/>
      <c r="D13" s="70"/>
      <c r="E13" s="70"/>
      <c r="F13" s="70"/>
      <c r="G13" s="70"/>
      <c r="H13" s="70"/>
    </row>
    <row r="14" spans="1:8" ht="24.95" customHeight="1">
      <c r="A14" s="30" t="s">
        <v>1010</v>
      </c>
      <c r="B14" s="104" t="s">
        <v>1011</v>
      </c>
      <c r="C14" s="70"/>
      <c r="D14" s="70"/>
      <c r="E14" s="70"/>
      <c r="F14" s="70"/>
      <c r="G14" s="70"/>
      <c r="H14" s="70"/>
    </row>
    <row r="15" spans="1:8" ht="24.95" customHeight="1">
      <c r="A15" s="30" t="s">
        <v>1012</v>
      </c>
      <c r="B15" s="104" t="s">
        <v>1013</v>
      </c>
      <c r="C15" s="70"/>
      <c r="D15" s="70"/>
      <c r="E15" s="70"/>
      <c r="F15" s="70"/>
      <c r="G15" s="70"/>
      <c r="H15" s="70"/>
    </row>
    <row r="16" spans="1:8" ht="24.95" customHeight="1">
      <c r="A16" s="30" t="s">
        <v>1014</v>
      </c>
      <c r="B16" s="104" t="s">
        <v>1015</v>
      </c>
      <c r="C16" s="70"/>
      <c r="D16" s="70"/>
      <c r="E16" s="70"/>
      <c r="F16" s="70"/>
      <c r="G16" s="70"/>
      <c r="H16" s="70"/>
    </row>
    <row r="17" spans="1:8" ht="24.95" customHeight="1">
      <c r="A17" s="30" t="s">
        <v>1016</v>
      </c>
      <c r="B17" s="104" t="s">
        <v>1017</v>
      </c>
      <c r="C17" s="70"/>
      <c r="D17" s="70"/>
      <c r="E17" s="70"/>
      <c r="F17" s="70"/>
      <c r="G17" s="70"/>
      <c r="H17" s="70"/>
    </row>
    <row r="19" spans="1:8">
      <c r="A19" s="105" t="s">
        <v>1018</v>
      </c>
      <c r="B19" s="70"/>
      <c r="C19" s="70"/>
      <c r="D19" s="70"/>
      <c r="E19" s="70"/>
      <c r="F19" s="70"/>
      <c r="G19" s="70"/>
      <c r="H19" s="70"/>
    </row>
    <row r="20" spans="1:8" ht="24.95" customHeight="1">
      <c r="A20" s="30" t="s">
        <v>998</v>
      </c>
      <c r="B20" s="104" t="s">
        <v>1019</v>
      </c>
      <c r="C20" s="70"/>
      <c r="D20" s="70"/>
      <c r="E20" s="70"/>
      <c r="F20" s="70"/>
      <c r="G20" s="70"/>
      <c r="H20" s="70"/>
    </row>
    <row r="21" spans="1:8" ht="24.95" customHeight="1">
      <c r="A21" s="30" t="s">
        <v>1020</v>
      </c>
      <c r="B21" s="104" t="s">
        <v>1021</v>
      </c>
      <c r="C21" s="70"/>
      <c r="D21" s="70"/>
      <c r="E21" s="70"/>
      <c r="F21" s="70"/>
      <c r="G21" s="70"/>
      <c r="H21" s="70"/>
    </row>
    <row r="22" spans="1:8" ht="24.95" customHeight="1">
      <c r="A22" s="30" t="s">
        <v>1000</v>
      </c>
      <c r="B22" s="104" t="s">
        <v>1022</v>
      </c>
      <c r="C22" s="70"/>
      <c r="D22" s="70"/>
      <c r="E22" s="70"/>
      <c r="F22" s="70"/>
      <c r="G22" s="70"/>
      <c r="H22" s="70"/>
    </row>
    <row r="23" spans="1:8" ht="24.95" customHeight="1">
      <c r="A23" s="30" t="s">
        <v>1023</v>
      </c>
      <c r="B23" s="104" t="s">
        <v>1024</v>
      </c>
      <c r="C23" s="70"/>
      <c r="D23" s="70"/>
      <c r="E23" s="70"/>
      <c r="F23" s="70"/>
      <c r="G23" s="70"/>
      <c r="H23" s="70"/>
    </row>
    <row r="24" spans="1:8" ht="24.95" customHeight="1">
      <c r="A24" s="30" t="s">
        <v>1025</v>
      </c>
      <c r="B24" s="104" t="s">
        <v>1026</v>
      </c>
      <c r="C24" s="70"/>
      <c r="D24" s="70"/>
      <c r="E24" s="70"/>
      <c r="F24" s="70"/>
      <c r="G24" s="70"/>
      <c r="H24" s="70"/>
    </row>
    <row r="25" spans="1:8" ht="24.95" customHeight="1">
      <c r="A25" s="30" t="s">
        <v>1008</v>
      </c>
      <c r="B25" s="104" t="s">
        <v>1027</v>
      </c>
      <c r="C25" s="70"/>
      <c r="D25" s="70"/>
      <c r="E25" s="70"/>
      <c r="F25" s="70"/>
      <c r="G25" s="70"/>
      <c r="H25" s="70"/>
    </row>
    <row r="26" spans="1:8" ht="24.95" customHeight="1">
      <c r="A26" s="30" t="s">
        <v>1028</v>
      </c>
      <c r="B26" s="104" t="s">
        <v>1029</v>
      </c>
      <c r="C26" s="70"/>
      <c r="D26" s="70"/>
      <c r="E26" s="70"/>
      <c r="F26" s="70"/>
      <c r="G26" s="70"/>
      <c r="H26" s="70"/>
    </row>
    <row r="27" spans="1:8" ht="24.95" customHeight="1">
      <c r="A27" s="30" t="s">
        <v>1030</v>
      </c>
      <c r="B27" s="104" t="s">
        <v>1031</v>
      </c>
      <c r="C27" s="70"/>
      <c r="D27" s="70"/>
      <c r="E27" s="70"/>
      <c r="F27" s="70"/>
      <c r="G27" s="70"/>
      <c r="H27" s="70"/>
    </row>
    <row r="28" spans="1:8" ht="24.95" customHeight="1">
      <c r="A28" s="30" t="s">
        <v>1032</v>
      </c>
      <c r="B28" s="104" t="s">
        <v>1033</v>
      </c>
      <c r="C28" s="70"/>
      <c r="D28" s="70"/>
      <c r="E28" s="70"/>
      <c r="F28" s="70"/>
      <c r="G28" s="70"/>
      <c r="H28" s="70"/>
    </row>
    <row r="29" spans="1:8" ht="24.95" customHeight="1">
      <c r="A29" s="30" t="s">
        <v>1034</v>
      </c>
      <c r="B29" s="104" t="s">
        <v>1035</v>
      </c>
      <c r="C29" s="70"/>
      <c r="D29" s="70"/>
      <c r="E29" s="70"/>
      <c r="F29" s="70"/>
      <c r="G29" s="70"/>
      <c r="H29" s="70"/>
    </row>
    <row r="31" spans="1:8">
      <c r="A31" s="105" t="s">
        <v>1036</v>
      </c>
      <c r="B31" s="70"/>
      <c r="C31" s="70"/>
      <c r="D31" s="70"/>
      <c r="E31" s="70"/>
      <c r="F31" s="70"/>
      <c r="G31" s="70"/>
      <c r="H31" s="70"/>
    </row>
    <row r="32" spans="1:8" ht="24.95" customHeight="1">
      <c r="A32" s="30" t="s">
        <v>1037</v>
      </c>
      <c r="B32" s="104" t="s">
        <v>1038</v>
      </c>
      <c r="C32" s="70"/>
      <c r="D32" s="70"/>
      <c r="E32" s="70"/>
      <c r="F32" s="70"/>
      <c r="G32" s="70"/>
      <c r="H32" s="70"/>
    </row>
    <row r="33" spans="1:8" ht="24.95" customHeight="1">
      <c r="A33" s="30" t="s">
        <v>1039</v>
      </c>
      <c r="B33" s="104" t="s">
        <v>1040</v>
      </c>
      <c r="C33" s="70"/>
      <c r="D33" s="70"/>
      <c r="E33" s="70"/>
      <c r="F33" s="70"/>
      <c r="G33" s="70"/>
      <c r="H33" s="70"/>
    </row>
    <row r="34" spans="1:8" ht="24.95" customHeight="1">
      <c r="A34" s="30" t="s">
        <v>1041</v>
      </c>
      <c r="B34" s="104" t="s">
        <v>1042</v>
      </c>
      <c r="C34" s="70"/>
      <c r="D34" s="70"/>
      <c r="E34" s="70"/>
      <c r="F34" s="70"/>
      <c r="G34" s="70"/>
      <c r="H34" s="70"/>
    </row>
    <row r="35" spans="1:8" ht="24.95" customHeight="1">
      <c r="A35" s="30" t="s">
        <v>1010</v>
      </c>
      <c r="B35" s="104" t="s">
        <v>1043</v>
      </c>
      <c r="C35" s="70"/>
      <c r="D35" s="70"/>
      <c r="E35" s="70"/>
      <c r="F35" s="70"/>
      <c r="G35" s="70"/>
      <c r="H35" s="70"/>
    </row>
    <row r="36" spans="1:8" ht="24.95" customHeight="1">
      <c r="A36" s="30" t="s">
        <v>1044</v>
      </c>
      <c r="B36" s="104" t="s">
        <v>1045</v>
      </c>
      <c r="C36" s="70"/>
      <c r="D36" s="70"/>
      <c r="E36" s="70"/>
      <c r="F36" s="70"/>
      <c r="G36" s="70"/>
      <c r="H36" s="70"/>
    </row>
    <row r="37" spans="1:8" ht="24.95" customHeight="1">
      <c r="A37" s="30" t="s">
        <v>1046</v>
      </c>
      <c r="B37" s="104" t="s">
        <v>1047</v>
      </c>
      <c r="C37" s="70"/>
      <c r="D37" s="70"/>
      <c r="E37" s="70"/>
      <c r="F37" s="70"/>
      <c r="G37" s="70"/>
      <c r="H37" s="70"/>
    </row>
    <row r="38" spans="1:8" ht="24.95" customHeight="1">
      <c r="A38" s="30" t="s">
        <v>1048</v>
      </c>
      <c r="B38" s="104" t="s">
        <v>1049</v>
      </c>
      <c r="C38" s="70"/>
      <c r="D38" s="70"/>
      <c r="E38" s="70"/>
      <c r="F38" s="70"/>
      <c r="G38" s="70"/>
      <c r="H38" s="70"/>
    </row>
    <row r="39" spans="1:8" ht="24.95" customHeight="1">
      <c r="A39" s="30" t="s">
        <v>1050</v>
      </c>
      <c r="B39" s="104" t="s">
        <v>1051</v>
      </c>
      <c r="C39" s="70"/>
      <c r="D39" s="70"/>
      <c r="E39" s="70"/>
      <c r="F39" s="70"/>
      <c r="G39" s="70"/>
      <c r="H39" s="70"/>
    </row>
    <row r="40" spans="1:8" ht="24.95" customHeight="1">
      <c r="A40" s="30" t="s">
        <v>1052</v>
      </c>
      <c r="B40" s="104" t="s">
        <v>1053</v>
      </c>
      <c r="C40" s="70"/>
      <c r="D40" s="70"/>
      <c r="E40" s="70"/>
      <c r="F40" s="70"/>
      <c r="G40" s="70"/>
      <c r="H40" s="70"/>
    </row>
    <row r="41" spans="1:8" ht="24.95" customHeight="1">
      <c r="A41" s="30" t="s">
        <v>1054</v>
      </c>
      <c r="B41" s="104" t="s">
        <v>1055</v>
      </c>
      <c r="C41" s="70"/>
      <c r="D41" s="70"/>
      <c r="E41" s="70"/>
      <c r="F41" s="70"/>
      <c r="G41" s="70"/>
      <c r="H41" s="70"/>
    </row>
  </sheetData>
  <mergeCells count="41">
    <mergeCell ref="B40:H40"/>
    <mergeCell ref="B9:H9"/>
    <mergeCell ref="B3:C3"/>
    <mergeCell ref="B24:H24"/>
    <mergeCell ref="F2:H2"/>
    <mergeCell ref="B15:H15"/>
    <mergeCell ref="B33:H33"/>
    <mergeCell ref="B38:H38"/>
    <mergeCell ref="B28:H28"/>
    <mergeCell ref="A1:H1"/>
    <mergeCell ref="B20:H20"/>
    <mergeCell ref="B37:H37"/>
    <mergeCell ref="A6:H6"/>
    <mergeCell ref="B36:H36"/>
    <mergeCell ref="B32:H32"/>
    <mergeCell ref="B2:C2"/>
    <mergeCell ref="B26:H26"/>
    <mergeCell ref="F4:H4"/>
    <mergeCell ref="B34:H34"/>
    <mergeCell ref="A19:H19"/>
    <mergeCell ref="B29:H29"/>
    <mergeCell ref="B10:H10"/>
    <mergeCell ref="F3:H3"/>
    <mergeCell ref="A31:H31"/>
    <mergeCell ref="B4:C4"/>
    <mergeCell ref="B41:H41"/>
    <mergeCell ref="A7:H7"/>
    <mergeCell ref="B35:H35"/>
    <mergeCell ref="B16:H16"/>
    <mergeCell ref="B25:H25"/>
    <mergeCell ref="B22:H22"/>
    <mergeCell ref="B27:H27"/>
    <mergeCell ref="B21:H21"/>
    <mergeCell ref="B12:H12"/>
    <mergeCell ref="B39:H39"/>
    <mergeCell ref="B11:H11"/>
    <mergeCell ref="B23:H23"/>
    <mergeCell ref="B8:H8"/>
    <mergeCell ref="B14:H14"/>
    <mergeCell ref="B17:H17"/>
    <mergeCell ref="B13:H13"/>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8"/>
  <dimension ref="A1:H31"/>
  <sheetViews>
    <sheetView workbookViewId="0"/>
  </sheetViews>
  <sheetFormatPr baseColWidth="10" defaultColWidth="9.140625" defaultRowHeight="15"/>
  <cols>
    <col min="1" max="1" width="12" customWidth="1"/>
    <col min="2" max="2" width="60" customWidth="1"/>
    <col min="3" max="3" width="15" customWidth="1"/>
  </cols>
  <sheetData>
    <row r="1" spans="1:8" ht="30" customHeight="1">
      <c r="A1" s="100" t="s">
        <v>1056</v>
      </c>
      <c r="B1" s="70"/>
      <c r="C1" s="70"/>
      <c r="D1" s="70"/>
      <c r="E1" s="70"/>
      <c r="F1" s="70"/>
      <c r="G1" s="70"/>
      <c r="H1" s="70"/>
    </row>
    <row r="2" spans="1:8">
      <c r="A2" s="15" t="s">
        <v>587</v>
      </c>
      <c r="B2" s="98" t="s">
        <v>1057</v>
      </c>
      <c r="C2" s="70"/>
      <c r="E2" s="15" t="s">
        <v>56</v>
      </c>
      <c r="F2" s="98" t="s">
        <v>57</v>
      </c>
      <c r="G2" s="70"/>
      <c r="H2" s="70"/>
    </row>
    <row r="3" spans="1:8">
      <c r="A3" s="15" t="s">
        <v>591</v>
      </c>
      <c r="B3" s="98" t="s">
        <v>59</v>
      </c>
      <c r="C3" s="70"/>
      <c r="E3" s="15" t="s">
        <v>68</v>
      </c>
      <c r="F3" s="98" t="s">
        <v>69</v>
      </c>
      <c r="G3" s="70"/>
      <c r="H3" s="70"/>
    </row>
    <row r="4" spans="1:8">
      <c r="A4" s="15" t="s">
        <v>66</v>
      </c>
      <c r="B4" s="98" t="s">
        <v>67</v>
      </c>
      <c r="C4" s="70"/>
      <c r="E4" s="15" t="s">
        <v>592</v>
      </c>
      <c r="F4" s="98" t="s">
        <v>65</v>
      </c>
      <c r="G4" s="70"/>
      <c r="H4" s="70"/>
    </row>
    <row r="6" spans="1:8" ht="15.75" customHeight="1">
      <c r="A6" s="99" t="s">
        <v>1058</v>
      </c>
      <c r="B6" s="70"/>
      <c r="C6" s="70"/>
      <c r="D6" s="70"/>
      <c r="E6" s="70"/>
      <c r="F6" s="70"/>
      <c r="G6" s="70"/>
      <c r="H6" s="70"/>
    </row>
    <row r="7" spans="1:8">
      <c r="A7" s="105" t="s">
        <v>1059</v>
      </c>
      <c r="B7" s="70"/>
      <c r="C7" s="70"/>
      <c r="D7" s="70"/>
      <c r="E7" s="70"/>
      <c r="F7" s="70"/>
      <c r="G7" s="70"/>
      <c r="H7" s="70"/>
    </row>
    <row r="8" spans="1:8">
      <c r="A8" s="22" t="s">
        <v>1060</v>
      </c>
      <c r="B8" s="22" t="s">
        <v>1061</v>
      </c>
      <c r="C8" s="22" t="s">
        <v>1062</v>
      </c>
    </row>
    <row r="9" spans="1:8" ht="60" customHeight="1">
      <c r="A9" s="40" t="s">
        <v>1063</v>
      </c>
      <c r="B9" s="28" t="s">
        <v>1064</v>
      </c>
      <c r="C9" s="41" t="s">
        <v>501</v>
      </c>
    </row>
    <row r="10" spans="1:8" ht="60" customHeight="1">
      <c r="A10" s="40" t="s">
        <v>1065</v>
      </c>
      <c r="B10" s="28" t="s">
        <v>1066</v>
      </c>
      <c r="C10" s="41" t="s">
        <v>1067</v>
      </c>
    </row>
    <row r="11" spans="1:8" ht="60" customHeight="1">
      <c r="A11" s="40" t="s">
        <v>1068</v>
      </c>
      <c r="B11" s="28" t="s">
        <v>1069</v>
      </c>
      <c r="C11" s="41" t="s">
        <v>498</v>
      </c>
    </row>
    <row r="12" spans="1:8" ht="60" customHeight="1">
      <c r="A12" s="40" t="s">
        <v>1070</v>
      </c>
      <c r="B12" s="28" t="s">
        <v>1071</v>
      </c>
      <c r="C12" s="41" t="s">
        <v>507</v>
      </c>
    </row>
    <row r="13" spans="1:8">
      <c r="A13" s="42" t="s">
        <v>1072</v>
      </c>
      <c r="C13" s="42" t="s">
        <v>1073</v>
      </c>
    </row>
    <row r="15" spans="1:8">
      <c r="A15" s="105" t="s">
        <v>1074</v>
      </c>
      <c r="B15" s="70"/>
      <c r="C15" s="70"/>
      <c r="D15" s="70"/>
      <c r="E15" s="70"/>
      <c r="F15" s="70"/>
      <c r="G15" s="70"/>
      <c r="H15" s="70"/>
    </row>
    <row r="16" spans="1:8">
      <c r="A16" s="22" t="s">
        <v>1060</v>
      </c>
      <c r="B16" s="22" t="s">
        <v>1061</v>
      </c>
      <c r="C16" s="22" t="s">
        <v>1062</v>
      </c>
    </row>
    <row r="17" spans="1:8" ht="60" customHeight="1">
      <c r="A17" s="40" t="s">
        <v>1063</v>
      </c>
      <c r="B17" s="28" t="s">
        <v>1075</v>
      </c>
      <c r="C17" s="43" t="s">
        <v>1076</v>
      </c>
    </row>
    <row r="18" spans="1:8" ht="60" customHeight="1">
      <c r="A18" s="40" t="s">
        <v>1065</v>
      </c>
      <c r="B18" s="28" t="s">
        <v>1077</v>
      </c>
      <c r="C18" s="43" t="s">
        <v>713</v>
      </c>
    </row>
    <row r="19" spans="1:8" ht="60" customHeight="1">
      <c r="A19" s="40" t="s">
        <v>1068</v>
      </c>
      <c r="B19" s="28" t="s">
        <v>1078</v>
      </c>
      <c r="C19" s="43" t="s">
        <v>501</v>
      </c>
    </row>
    <row r="20" spans="1:8" ht="60" customHeight="1">
      <c r="A20" s="40" t="s">
        <v>1070</v>
      </c>
      <c r="B20" s="28" t="s">
        <v>1079</v>
      </c>
      <c r="C20" s="43" t="s">
        <v>1080</v>
      </c>
    </row>
    <row r="21" spans="1:8">
      <c r="A21" s="42" t="s">
        <v>1081</v>
      </c>
      <c r="C21" s="42" t="s">
        <v>1082</v>
      </c>
    </row>
    <row r="23" spans="1:8">
      <c r="A23" s="105" t="s">
        <v>1083</v>
      </c>
      <c r="B23" s="70"/>
      <c r="C23" s="70"/>
      <c r="D23" s="70"/>
      <c r="E23" s="70"/>
      <c r="F23" s="70"/>
      <c r="G23" s="70"/>
      <c r="H23" s="70"/>
    </row>
    <row r="24" spans="1:8">
      <c r="A24" s="22" t="s">
        <v>1060</v>
      </c>
      <c r="B24" s="22" t="s">
        <v>1061</v>
      </c>
      <c r="C24" s="22" t="s">
        <v>1062</v>
      </c>
    </row>
    <row r="25" spans="1:8" ht="60" customHeight="1">
      <c r="A25" s="40" t="s">
        <v>1063</v>
      </c>
      <c r="B25" s="28" t="s">
        <v>1084</v>
      </c>
      <c r="C25" s="43" t="s">
        <v>498</v>
      </c>
    </row>
    <row r="26" spans="1:8" ht="60" customHeight="1">
      <c r="A26" s="40" t="s">
        <v>1065</v>
      </c>
      <c r="B26" s="28" t="s">
        <v>1085</v>
      </c>
      <c r="C26" s="43" t="s">
        <v>1076</v>
      </c>
    </row>
    <row r="27" spans="1:8" ht="60" customHeight="1">
      <c r="A27" s="40" t="s">
        <v>1068</v>
      </c>
      <c r="B27" s="28" t="s">
        <v>1086</v>
      </c>
      <c r="C27" s="43" t="s">
        <v>1087</v>
      </c>
    </row>
    <row r="28" spans="1:8" ht="60" customHeight="1">
      <c r="A28" s="40" t="s">
        <v>1070</v>
      </c>
      <c r="B28" s="28" t="s">
        <v>1088</v>
      </c>
      <c r="C28" s="43" t="s">
        <v>1089</v>
      </c>
    </row>
    <row r="29" spans="1:8">
      <c r="A29" s="42" t="s">
        <v>1090</v>
      </c>
      <c r="C29" s="42" t="s">
        <v>1091</v>
      </c>
    </row>
    <row r="31" spans="1:8">
      <c r="A31" s="106" t="s">
        <v>1092</v>
      </c>
      <c r="B31" s="70"/>
      <c r="C31" s="44" t="s">
        <v>1093</v>
      </c>
    </row>
  </sheetData>
  <mergeCells count="12">
    <mergeCell ref="A1:H1"/>
    <mergeCell ref="A23:H23"/>
    <mergeCell ref="F3:H3"/>
    <mergeCell ref="A31:B31"/>
    <mergeCell ref="B4:C4"/>
    <mergeCell ref="A6:H6"/>
    <mergeCell ref="B2:C2"/>
    <mergeCell ref="A15:H15"/>
    <mergeCell ref="A7:H7"/>
    <mergeCell ref="B3:C3"/>
    <mergeCell ref="F4:H4"/>
    <mergeCell ref="F2:H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dimension ref="A1:G25"/>
  <sheetViews>
    <sheetView workbookViewId="0"/>
  </sheetViews>
  <sheetFormatPr baseColWidth="10" defaultColWidth="9.140625" defaultRowHeight="15"/>
  <cols>
    <col min="1" max="1" width="25" customWidth="1"/>
    <col min="2" max="2" width="60" customWidth="1"/>
    <col min="3" max="3" width="30" customWidth="1"/>
    <col min="4" max="5" width="18" customWidth="1"/>
    <col min="6" max="6" width="12" customWidth="1"/>
    <col min="7" max="7" width="15" customWidth="1"/>
  </cols>
  <sheetData>
    <row r="1" spans="1:7" ht="30" customHeight="1">
      <c r="A1" s="100" t="s">
        <v>1094</v>
      </c>
      <c r="B1" s="70"/>
      <c r="C1" s="70"/>
      <c r="D1" s="70"/>
      <c r="E1" s="70"/>
      <c r="F1" s="70"/>
      <c r="G1" s="70"/>
    </row>
    <row r="2" spans="1:7">
      <c r="A2" s="15" t="s">
        <v>587</v>
      </c>
      <c r="B2" s="98" t="s">
        <v>1095</v>
      </c>
      <c r="C2" s="70"/>
      <c r="E2" s="15" t="s">
        <v>56</v>
      </c>
      <c r="F2" s="98" t="s">
        <v>57</v>
      </c>
      <c r="G2" s="70"/>
    </row>
    <row r="3" spans="1:7">
      <c r="A3" s="15" t="s">
        <v>591</v>
      </c>
      <c r="B3" s="98" t="s">
        <v>59</v>
      </c>
      <c r="C3" s="70"/>
      <c r="E3" s="15" t="s">
        <v>68</v>
      </c>
      <c r="F3" s="98" t="s">
        <v>69</v>
      </c>
      <c r="G3" s="70"/>
    </row>
    <row r="4" spans="1:7">
      <c r="A4" s="15" t="s">
        <v>66</v>
      </c>
      <c r="B4" s="98" t="s">
        <v>67</v>
      </c>
      <c r="C4" s="70"/>
      <c r="E4" s="15" t="s">
        <v>592</v>
      </c>
      <c r="F4" s="98" t="s">
        <v>65</v>
      </c>
      <c r="G4" s="70"/>
    </row>
    <row r="6" spans="1:7" ht="15.75" customHeight="1">
      <c r="A6" s="99" t="s">
        <v>1096</v>
      </c>
      <c r="B6" s="70"/>
      <c r="C6" s="70"/>
      <c r="D6" s="70"/>
      <c r="E6" s="70"/>
      <c r="F6" s="70"/>
      <c r="G6" s="70"/>
    </row>
    <row r="7" spans="1:7">
      <c r="A7" s="22" t="s">
        <v>1097</v>
      </c>
      <c r="B7" s="22" t="s">
        <v>1098</v>
      </c>
      <c r="C7" s="22" t="s">
        <v>376</v>
      </c>
      <c r="D7" s="22" t="s">
        <v>1099</v>
      </c>
      <c r="E7" s="22" t="s">
        <v>229</v>
      </c>
      <c r="F7" s="22" t="s">
        <v>378</v>
      </c>
      <c r="G7" s="22" t="s">
        <v>89</v>
      </c>
    </row>
    <row r="8" spans="1:7" ht="30" customHeight="1">
      <c r="A8" s="23" t="s">
        <v>1100</v>
      </c>
      <c r="B8" s="23" t="s">
        <v>1101</v>
      </c>
      <c r="C8" s="23" t="s">
        <v>1102</v>
      </c>
      <c r="D8" s="23" t="s">
        <v>930</v>
      </c>
      <c r="E8" s="23" t="s">
        <v>65</v>
      </c>
      <c r="F8" s="23" t="s">
        <v>756</v>
      </c>
      <c r="G8" s="45" t="s">
        <v>1103</v>
      </c>
    </row>
    <row r="9" spans="1:7" ht="30" customHeight="1">
      <c r="A9" s="23" t="s">
        <v>1104</v>
      </c>
      <c r="B9" s="23" t="s">
        <v>1105</v>
      </c>
      <c r="C9" s="23" t="s">
        <v>1106</v>
      </c>
      <c r="D9" s="23" t="s">
        <v>934</v>
      </c>
      <c r="E9" s="23" t="s">
        <v>956</v>
      </c>
      <c r="F9" s="23" t="s">
        <v>770</v>
      </c>
      <c r="G9" s="45" t="s">
        <v>1103</v>
      </c>
    </row>
    <row r="10" spans="1:7" ht="30" customHeight="1">
      <c r="A10" s="23" t="s">
        <v>1107</v>
      </c>
      <c r="B10" s="23" t="s">
        <v>1108</v>
      </c>
      <c r="C10" s="23" t="s">
        <v>1109</v>
      </c>
      <c r="D10" s="23" t="s">
        <v>1110</v>
      </c>
      <c r="E10" s="23" t="s">
        <v>1111</v>
      </c>
      <c r="F10" s="23" t="s">
        <v>1112</v>
      </c>
      <c r="G10" s="27" t="s">
        <v>1113</v>
      </c>
    </row>
    <row r="11" spans="1:7" ht="30" customHeight="1">
      <c r="A11" s="23" t="s">
        <v>1114</v>
      </c>
      <c r="B11" s="23" t="s">
        <v>1115</v>
      </c>
      <c r="C11" s="23" t="s">
        <v>1116</v>
      </c>
      <c r="D11" s="23" t="s">
        <v>1117</v>
      </c>
      <c r="E11" s="23" t="s">
        <v>1118</v>
      </c>
      <c r="F11" s="23" t="s">
        <v>383</v>
      </c>
      <c r="G11" s="46" t="s">
        <v>1119</v>
      </c>
    </row>
    <row r="12" spans="1:7" ht="30" customHeight="1">
      <c r="A12" s="23" t="s">
        <v>1120</v>
      </c>
      <c r="B12" s="23" t="s">
        <v>1121</v>
      </c>
      <c r="C12" s="23" t="s">
        <v>1122</v>
      </c>
      <c r="D12" s="23" t="s">
        <v>1123</v>
      </c>
      <c r="E12" s="23" t="s">
        <v>979</v>
      </c>
      <c r="F12" s="23" t="s">
        <v>756</v>
      </c>
      <c r="G12" s="46" t="s">
        <v>1119</v>
      </c>
    </row>
    <row r="13" spans="1:7" ht="30" customHeight="1">
      <c r="A13" s="23" t="s">
        <v>1124</v>
      </c>
      <c r="B13" s="23" t="s">
        <v>1125</v>
      </c>
      <c r="C13" s="23" t="s">
        <v>1126</v>
      </c>
      <c r="D13" s="23" t="s">
        <v>1127</v>
      </c>
      <c r="E13" s="23" t="s">
        <v>961</v>
      </c>
      <c r="F13" s="23" t="s">
        <v>1128</v>
      </c>
      <c r="G13" s="46" t="s">
        <v>1119</v>
      </c>
    </row>
    <row r="14" spans="1:7" ht="30" customHeight="1">
      <c r="A14" s="23" t="s">
        <v>1129</v>
      </c>
      <c r="B14" s="23" t="s">
        <v>1130</v>
      </c>
      <c r="C14" s="23" t="s">
        <v>1131</v>
      </c>
      <c r="D14" s="23" t="s">
        <v>1132</v>
      </c>
      <c r="E14" s="23" t="s">
        <v>239</v>
      </c>
      <c r="F14" s="23" t="s">
        <v>737</v>
      </c>
      <c r="G14" s="46" t="s">
        <v>1119</v>
      </c>
    </row>
    <row r="15" spans="1:7" ht="30" customHeight="1">
      <c r="A15" s="23" t="s">
        <v>1133</v>
      </c>
      <c r="B15" s="23" t="s">
        <v>1134</v>
      </c>
      <c r="C15" s="23" t="s">
        <v>1135</v>
      </c>
      <c r="D15" s="23" t="s">
        <v>1136</v>
      </c>
      <c r="E15" s="23" t="s">
        <v>65</v>
      </c>
      <c r="F15" s="23" t="s">
        <v>389</v>
      </c>
      <c r="G15" s="46" t="s">
        <v>1119</v>
      </c>
    </row>
    <row r="17" spans="1:7" ht="15.75" customHeight="1">
      <c r="A17" s="99" t="s">
        <v>1137</v>
      </c>
      <c r="B17" s="70"/>
      <c r="C17" s="70"/>
      <c r="D17" s="70"/>
      <c r="E17" s="70"/>
      <c r="F17" s="70"/>
      <c r="G17" s="70"/>
    </row>
    <row r="18" spans="1:7">
      <c r="A18" s="22" t="s">
        <v>1138</v>
      </c>
      <c r="B18" s="22" t="s">
        <v>143</v>
      </c>
    </row>
    <row r="19" spans="1:7" ht="30" customHeight="1">
      <c r="A19" s="30" t="s">
        <v>1139</v>
      </c>
      <c r="B19" s="35" t="s">
        <v>1140</v>
      </c>
    </row>
    <row r="20" spans="1:7" ht="30" customHeight="1">
      <c r="A20" s="30" t="s">
        <v>1141</v>
      </c>
      <c r="B20" s="35" t="s">
        <v>1142</v>
      </c>
    </row>
    <row r="21" spans="1:7" ht="30" customHeight="1">
      <c r="A21" s="30" t="s">
        <v>1143</v>
      </c>
      <c r="B21" s="35" t="s">
        <v>1144</v>
      </c>
    </row>
    <row r="22" spans="1:7" ht="30" customHeight="1">
      <c r="A22" s="30" t="s">
        <v>1145</v>
      </c>
      <c r="B22" s="35" t="s">
        <v>1146</v>
      </c>
    </row>
    <row r="23" spans="1:7" ht="30" customHeight="1">
      <c r="A23" s="30" t="s">
        <v>1147</v>
      </c>
      <c r="B23" s="35" t="s">
        <v>1148</v>
      </c>
    </row>
    <row r="24" spans="1:7" ht="30" customHeight="1">
      <c r="A24" s="30" t="s">
        <v>1149</v>
      </c>
      <c r="B24" s="35" t="s">
        <v>1150</v>
      </c>
    </row>
    <row r="25" spans="1:7" ht="30" customHeight="1">
      <c r="A25" s="30" t="s">
        <v>1151</v>
      </c>
      <c r="B25" s="35" t="s">
        <v>1152</v>
      </c>
    </row>
  </sheetData>
  <mergeCells count="9">
    <mergeCell ref="F2:G2"/>
    <mergeCell ref="B2:C2"/>
    <mergeCell ref="A1:G1"/>
    <mergeCell ref="A17:G17"/>
    <mergeCell ref="B3:C3"/>
    <mergeCell ref="A6:G6"/>
    <mergeCell ref="B4:C4"/>
    <mergeCell ref="F3:G3"/>
    <mergeCell ref="F4:G4"/>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0"/>
  <dimension ref="A1:G17"/>
  <sheetViews>
    <sheetView workbookViewId="0"/>
  </sheetViews>
  <sheetFormatPr baseColWidth="10" defaultColWidth="9.140625" defaultRowHeight="15"/>
  <cols>
    <col min="1" max="1" width="12" customWidth="1"/>
    <col min="2" max="3" width="35" customWidth="1"/>
    <col min="4" max="4" width="18" customWidth="1"/>
    <col min="5" max="5" width="15" customWidth="1"/>
    <col min="6" max="6" width="12" customWidth="1"/>
    <col min="7" max="7" width="45" customWidth="1"/>
  </cols>
  <sheetData>
    <row r="1" spans="1:7" ht="30" customHeight="1">
      <c r="A1" s="100" t="s">
        <v>1153</v>
      </c>
      <c r="B1" s="70"/>
      <c r="C1" s="70"/>
      <c r="D1" s="70"/>
      <c r="E1" s="70"/>
      <c r="F1" s="70"/>
      <c r="G1" s="70"/>
    </row>
    <row r="2" spans="1:7">
      <c r="A2" s="15" t="s">
        <v>587</v>
      </c>
      <c r="B2" s="98" t="s">
        <v>1154</v>
      </c>
      <c r="C2" s="70"/>
      <c r="E2" s="15" t="s">
        <v>56</v>
      </c>
      <c r="F2" s="98" t="s">
        <v>57</v>
      </c>
      <c r="G2" s="70"/>
    </row>
    <row r="3" spans="1:7">
      <c r="A3" s="15" t="s">
        <v>591</v>
      </c>
      <c r="B3" s="98" t="s">
        <v>59</v>
      </c>
      <c r="C3" s="70"/>
      <c r="E3" s="15" t="s">
        <v>68</v>
      </c>
      <c r="F3" s="98" t="s">
        <v>69</v>
      </c>
      <c r="G3" s="70"/>
    </row>
    <row r="4" spans="1:7">
      <c r="A4" s="15" t="s">
        <v>66</v>
      </c>
      <c r="B4" s="98" t="s">
        <v>67</v>
      </c>
      <c r="C4" s="70"/>
      <c r="E4" s="15" t="s">
        <v>592</v>
      </c>
      <c r="F4" s="98" t="s">
        <v>65</v>
      </c>
      <c r="G4" s="70"/>
    </row>
    <row r="6" spans="1:7" ht="15.75" customHeight="1">
      <c r="A6" s="99" t="s">
        <v>1155</v>
      </c>
      <c r="B6" s="70"/>
      <c r="C6" s="70"/>
      <c r="D6" s="70"/>
      <c r="E6" s="70"/>
      <c r="F6" s="70"/>
      <c r="G6" s="70"/>
    </row>
    <row r="7" spans="1:7">
      <c r="A7" s="18" t="s">
        <v>1156</v>
      </c>
      <c r="B7" s="18" t="s">
        <v>1157</v>
      </c>
      <c r="C7" s="18" t="s">
        <v>1158</v>
      </c>
      <c r="D7" s="18" t="s">
        <v>1159</v>
      </c>
      <c r="E7" s="18" t="s">
        <v>1160</v>
      </c>
      <c r="F7" s="18" t="s">
        <v>1161</v>
      </c>
      <c r="G7" s="18" t="s">
        <v>1162</v>
      </c>
    </row>
    <row r="8" spans="1:7" ht="60" customHeight="1">
      <c r="A8" s="21" t="s">
        <v>1163</v>
      </c>
      <c r="B8" s="21" t="s">
        <v>1101</v>
      </c>
      <c r="C8" s="21" t="s">
        <v>930</v>
      </c>
      <c r="D8" s="45" t="s">
        <v>1164</v>
      </c>
      <c r="E8" s="21" t="s">
        <v>1165</v>
      </c>
      <c r="F8" s="21" t="s">
        <v>1165</v>
      </c>
      <c r="G8" s="21" t="s">
        <v>1166</v>
      </c>
    </row>
    <row r="9" spans="1:7" ht="60" customHeight="1">
      <c r="A9" s="21" t="s">
        <v>1167</v>
      </c>
      <c r="B9" s="21" t="s">
        <v>1105</v>
      </c>
      <c r="C9" s="21" t="s">
        <v>934</v>
      </c>
      <c r="D9" s="45" t="s">
        <v>1164</v>
      </c>
      <c r="E9" s="21" t="s">
        <v>1168</v>
      </c>
      <c r="F9" s="21" t="s">
        <v>1169</v>
      </c>
      <c r="G9" s="21" t="s">
        <v>1170</v>
      </c>
    </row>
    <row r="10" spans="1:7" ht="60" customHeight="1">
      <c r="A10" s="21" t="s">
        <v>1171</v>
      </c>
      <c r="B10" s="21" t="s">
        <v>1108</v>
      </c>
      <c r="C10" s="21" t="s">
        <v>1110</v>
      </c>
      <c r="D10" s="27" t="s">
        <v>238</v>
      </c>
      <c r="E10" s="21" t="s">
        <v>1172</v>
      </c>
      <c r="F10" s="21" t="s">
        <v>794</v>
      </c>
      <c r="G10" s="21" t="s">
        <v>1173</v>
      </c>
    </row>
    <row r="12" spans="1:7" ht="15.75" customHeight="1">
      <c r="A12" s="99" t="s">
        <v>1174</v>
      </c>
      <c r="B12" s="70"/>
      <c r="C12" s="70"/>
      <c r="D12" s="70"/>
      <c r="E12" s="70"/>
      <c r="F12" s="70"/>
      <c r="G12" s="70"/>
    </row>
    <row r="13" spans="1:7">
      <c r="A13" s="22" t="s">
        <v>1175</v>
      </c>
      <c r="B13" s="22" t="s">
        <v>1176</v>
      </c>
      <c r="C13" s="22" t="s">
        <v>1177</v>
      </c>
      <c r="D13" s="22" t="s">
        <v>229</v>
      </c>
      <c r="E13" s="22" t="s">
        <v>1178</v>
      </c>
      <c r="F13" s="22" t="s">
        <v>89</v>
      </c>
    </row>
    <row r="14" spans="1:7" ht="35.1" customHeight="1">
      <c r="A14" s="35" t="s">
        <v>1179</v>
      </c>
      <c r="B14" s="35" t="s">
        <v>1180</v>
      </c>
      <c r="C14" s="35" t="s">
        <v>1181</v>
      </c>
      <c r="D14" s="35" t="s">
        <v>239</v>
      </c>
      <c r="E14" s="35" t="s">
        <v>1182</v>
      </c>
      <c r="F14" s="45" t="s">
        <v>572</v>
      </c>
    </row>
    <row r="15" spans="1:7" ht="35.1" customHeight="1">
      <c r="A15" s="35" t="s">
        <v>1183</v>
      </c>
      <c r="B15" s="35" t="s">
        <v>1184</v>
      </c>
      <c r="C15" s="35" t="s">
        <v>1185</v>
      </c>
      <c r="D15" s="35" t="s">
        <v>1111</v>
      </c>
      <c r="E15" s="35" t="s">
        <v>938</v>
      </c>
      <c r="F15" s="27" t="s">
        <v>1186</v>
      </c>
    </row>
    <row r="16" spans="1:7" ht="35.1" customHeight="1">
      <c r="A16" s="35" t="s">
        <v>1187</v>
      </c>
      <c r="B16" s="35" t="s">
        <v>1188</v>
      </c>
      <c r="C16" s="35" t="s">
        <v>1189</v>
      </c>
      <c r="D16" s="35" t="s">
        <v>1190</v>
      </c>
      <c r="E16" s="35" t="s">
        <v>1191</v>
      </c>
      <c r="F16" s="46" t="s">
        <v>1192</v>
      </c>
    </row>
    <row r="17" spans="1:6" ht="35.1" customHeight="1">
      <c r="A17" s="35" t="s">
        <v>1193</v>
      </c>
      <c r="B17" s="35" t="s">
        <v>1194</v>
      </c>
      <c r="C17" s="35" t="s">
        <v>1195</v>
      </c>
      <c r="D17" s="35" t="s">
        <v>65</v>
      </c>
      <c r="E17" s="35" t="s">
        <v>934</v>
      </c>
      <c r="F17" s="45" t="s">
        <v>572</v>
      </c>
    </row>
  </sheetData>
  <mergeCells count="9">
    <mergeCell ref="F2:G2"/>
    <mergeCell ref="B2:C2"/>
    <mergeCell ref="A1:G1"/>
    <mergeCell ref="B3:C3"/>
    <mergeCell ref="A6:G6"/>
    <mergeCell ref="A12:G12"/>
    <mergeCell ref="B4:C4"/>
    <mergeCell ref="F3:G3"/>
    <mergeCell ref="F4:G4"/>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1"/>
  <dimension ref="A1:G34"/>
  <sheetViews>
    <sheetView workbookViewId="0"/>
  </sheetViews>
  <sheetFormatPr baseColWidth="10" defaultColWidth="9.140625" defaultRowHeight="15"/>
  <cols>
    <col min="1" max="1" width="12" customWidth="1"/>
    <col min="2" max="2" width="15" customWidth="1"/>
    <col min="3" max="3" width="50" customWidth="1"/>
    <col min="4" max="5" width="20" customWidth="1"/>
    <col min="6" max="6" width="12" customWidth="1"/>
  </cols>
  <sheetData>
    <row r="1" spans="1:7" ht="30" customHeight="1">
      <c r="A1" s="100" t="s">
        <v>1196</v>
      </c>
      <c r="B1" s="70"/>
      <c r="C1" s="70"/>
      <c r="D1" s="70"/>
      <c r="E1" s="70"/>
      <c r="F1" s="70"/>
      <c r="G1" s="70"/>
    </row>
    <row r="2" spans="1:7">
      <c r="A2" s="15" t="s">
        <v>587</v>
      </c>
      <c r="B2" s="98" t="s">
        <v>1197</v>
      </c>
      <c r="C2" s="70"/>
      <c r="E2" s="15" t="s">
        <v>56</v>
      </c>
      <c r="F2" s="98" t="s">
        <v>57</v>
      </c>
      <c r="G2" s="70"/>
    </row>
    <row r="3" spans="1:7">
      <c r="A3" s="15" t="s">
        <v>591</v>
      </c>
      <c r="B3" s="98" t="s">
        <v>59</v>
      </c>
      <c r="C3" s="70"/>
      <c r="E3" s="15" t="s">
        <v>68</v>
      </c>
      <c r="F3" s="98" t="s">
        <v>69</v>
      </c>
      <c r="G3" s="70"/>
    </row>
    <row r="4" spans="1:7">
      <c r="A4" s="15" t="s">
        <v>66</v>
      </c>
      <c r="B4" s="98" t="s">
        <v>67</v>
      </c>
      <c r="C4" s="70"/>
      <c r="E4" s="15" t="s">
        <v>592</v>
      </c>
      <c r="F4" s="98" t="s">
        <v>65</v>
      </c>
      <c r="G4" s="70"/>
    </row>
    <row r="6" spans="1:7" ht="15.75" customHeight="1">
      <c r="A6" s="99" t="s">
        <v>1198</v>
      </c>
      <c r="B6" s="70"/>
      <c r="C6" s="70"/>
      <c r="D6" s="70"/>
      <c r="E6" s="70"/>
      <c r="F6" s="70"/>
      <c r="G6" s="70"/>
    </row>
    <row r="7" spans="1:7">
      <c r="A7" s="22" t="s">
        <v>730</v>
      </c>
      <c r="B7" s="22" t="s">
        <v>144</v>
      </c>
      <c r="C7" s="22" t="s">
        <v>229</v>
      </c>
      <c r="D7" s="22" t="s">
        <v>1199</v>
      </c>
      <c r="E7" s="22" t="s">
        <v>1200</v>
      </c>
      <c r="F7" s="22" t="s">
        <v>89</v>
      </c>
    </row>
    <row r="8" spans="1:7" ht="30" customHeight="1">
      <c r="A8" s="35" t="s">
        <v>1201</v>
      </c>
      <c r="B8" s="35" t="s">
        <v>790</v>
      </c>
      <c r="C8" s="35" t="s">
        <v>239</v>
      </c>
      <c r="D8" s="35" t="s">
        <v>1202</v>
      </c>
      <c r="E8" s="35" t="s">
        <v>1203</v>
      </c>
      <c r="F8" s="45" t="s">
        <v>1204</v>
      </c>
    </row>
    <row r="9" spans="1:7" ht="30" customHeight="1">
      <c r="A9" s="35" t="s">
        <v>1205</v>
      </c>
      <c r="B9" s="35" t="s">
        <v>750</v>
      </c>
      <c r="C9" s="35" t="s">
        <v>65</v>
      </c>
      <c r="D9" s="35" t="s">
        <v>1202</v>
      </c>
      <c r="E9" s="35" t="s">
        <v>1206</v>
      </c>
      <c r="F9" s="45" t="s">
        <v>1204</v>
      </c>
    </row>
    <row r="10" spans="1:7" ht="30" customHeight="1">
      <c r="A10" s="35" t="s">
        <v>1207</v>
      </c>
      <c r="B10" s="35" t="s">
        <v>1208</v>
      </c>
      <c r="C10" s="35" t="s">
        <v>1209</v>
      </c>
      <c r="D10" s="35" t="s">
        <v>1210</v>
      </c>
      <c r="E10" s="35" t="s">
        <v>59</v>
      </c>
      <c r="F10" s="45" t="s">
        <v>1204</v>
      </c>
    </row>
    <row r="11" spans="1:7" ht="30" customHeight="1">
      <c r="A11" s="35" t="s">
        <v>1211</v>
      </c>
      <c r="B11" s="35" t="s">
        <v>368</v>
      </c>
      <c r="C11" s="35" t="s">
        <v>765</v>
      </c>
      <c r="D11" s="35" t="s">
        <v>1212</v>
      </c>
      <c r="E11" s="35" t="s">
        <v>1206</v>
      </c>
      <c r="F11" s="45" t="s">
        <v>1204</v>
      </c>
    </row>
    <row r="12" spans="1:7" ht="30" customHeight="1">
      <c r="A12" s="35" t="s">
        <v>1213</v>
      </c>
      <c r="B12" s="35" t="s">
        <v>738</v>
      </c>
      <c r="C12" s="35" t="s">
        <v>65</v>
      </c>
      <c r="D12" s="35" t="s">
        <v>1214</v>
      </c>
      <c r="E12" s="35" t="s">
        <v>1215</v>
      </c>
      <c r="F12" s="45" t="s">
        <v>1204</v>
      </c>
    </row>
    <row r="13" spans="1:7" ht="30" customHeight="1">
      <c r="A13" s="35" t="s">
        <v>1216</v>
      </c>
      <c r="B13" s="35" t="s">
        <v>745</v>
      </c>
      <c r="C13" s="35" t="s">
        <v>1217</v>
      </c>
      <c r="D13" s="35" t="s">
        <v>1218</v>
      </c>
      <c r="E13" s="35" t="s">
        <v>1206</v>
      </c>
      <c r="F13" s="45" t="s">
        <v>1204</v>
      </c>
    </row>
    <row r="14" spans="1:7" ht="30" customHeight="1">
      <c r="A14" s="35" t="s">
        <v>1219</v>
      </c>
      <c r="B14" s="35" t="s">
        <v>790</v>
      </c>
      <c r="C14" s="35" t="s">
        <v>1190</v>
      </c>
      <c r="D14" s="35" t="s">
        <v>1202</v>
      </c>
      <c r="E14" s="35" t="s">
        <v>1203</v>
      </c>
      <c r="F14" s="45" t="s">
        <v>1204</v>
      </c>
    </row>
    <row r="15" spans="1:7" ht="30" customHeight="1">
      <c r="A15" s="35" t="s">
        <v>1220</v>
      </c>
      <c r="B15" s="35" t="s">
        <v>368</v>
      </c>
      <c r="C15" s="35" t="s">
        <v>1221</v>
      </c>
      <c r="D15" s="35" t="s">
        <v>1212</v>
      </c>
      <c r="E15" s="35" t="s">
        <v>1206</v>
      </c>
      <c r="F15" s="45" t="s">
        <v>1204</v>
      </c>
    </row>
    <row r="17" spans="1:7" ht="15.75" customHeight="1">
      <c r="A17" s="99" t="s">
        <v>1222</v>
      </c>
      <c r="B17" s="70"/>
      <c r="C17" s="70"/>
      <c r="D17" s="70"/>
      <c r="E17" s="70"/>
      <c r="F17" s="70"/>
      <c r="G17" s="70"/>
    </row>
    <row r="18" spans="1:7">
      <c r="A18" s="22" t="s">
        <v>85</v>
      </c>
      <c r="B18" s="22" t="s">
        <v>407</v>
      </c>
      <c r="C18" s="22" t="s">
        <v>1223</v>
      </c>
      <c r="D18" s="22" t="s">
        <v>1224</v>
      </c>
      <c r="E18" s="22" t="s">
        <v>1225</v>
      </c>
    </row>
    <row r="19" spans="1:7" ht="39.950000000000003" customHeight="1">
      <c r="A19" s="35" t="s">
        <v>57</v>
      </c>
      <c r="B19" s="35" t="s">
        <v>852</v>
      </c>
      <c r="C19" s="35" t="s">
        <v>1226</v>
      </c>
      <c r="D19" s="35" t="s">
        <v>65</v>
      </c>
      <c r="E19" s="35" t="s">
        <v>95</v>
      </c>
    </row>
    <row r="20" spans="1:7" ht="39.950000000000003" customHeight="1">
      <c r="A20" s="35" t="s">
        <v>1227</v>
      </c>
      <c r="B20" s="35" t="s">
        <v>934</v>
      </c>
      <c r="C20" s="35" t="s">
        <v>1228</v>
      </c>
      <c r="D20" s="35" t="s">
        <v>65</v>
      </c>
      <c r="E20" s="35" t="s">
        <v>1221</v>
      </c>
    </row>
    <row r="21" spans="1:7" ht="39.950000000000003" customHeight="1">
      <c r="A21" s="35" t="s">
        <v>1229</v>
      </c>
      <c r="B21" s="35" t="s">
        <v>1110</v>
      </c>
      <c r="C21" s="35" t="s">
        <v>1230</v>
      </c>
      <c r="D21" s="35" t="s">
        <v>1190</v>
      </c>
      <c r="E21" s="35" t="s">
        <v>65</v>
      </c>
    </row>
    <row r="22" spans="1:7" ht="39.950000000000003" customHeight="1">
      <c r="A22" s="35" t="s">
        <v>1231</v>
      </c>
      <c r="B22" s="35" t="s">
        <v>1212</v>
      </c>
      <c r="C22" s="35" t="s">
        <v>1232</v>
      </c>
      <c r="D22" s="35" t="s">
        <v>65</v>
      </c>
      <c r="E22" s="35" t="s">
        <v>95</v>
      </c>
    </row>
    <row r="24" spans="1:7" ht="15.75" customHeight="1">
      <c r="A24" s="99" t="s">
        <v>1233</v>
      </c>
      <c r="B24" s="70"/>
      <c r="C24" s="70"/>
      <c r="D24" s="70"/>
      <c r="E24" s="70"/>
      <c r="F24" s="70"/>
      <c r="G24" s="70"/>
    </row>
    <row r="25" spans="1:7" ht="24.95" customHeight="1">
      <c r="A25" s="107" t="s">
        <v>1234</v>
      </c>
      <c r="B25" s="70"/>
      <c r="C25" s="70"/>
      <c r="D25" s="70"/>
      <c r="E25" s="70"/>
      <c r="F25" s="70"/>
      <c r="G25" s="70"/>
    </row>
    <row r="26" spans="1:7" ht="24.95" customHeight="1">
      <c r="A26" s="107" t="s">
        <v>1235</v>
      </c>
      <c r="B26" s="70"/>
      <c r="C26" s="70"/>
      <c r="D26" s="70"/>
      <c r="E26" s="70"/>
      <c r="F26" s="70"/>
      <c r="G26" s="70"/>
    </row>
    <row r="27" spans="1:7" ht="24.95" customHeight="1">
      <c r="A27" s="107" t="s">
        <v>1236</v>
      </c>
      <c r="B27" s="70"/>
      <c r="C27" s="70"/>
      <c r="D27" s="70"/>
      <c r="E27" s="70"/>
      <c r="F27" s="70"/>
      <c r="G27" s="70"/>
    </row>
    <row r="28" spans="1:7" ht="24.95" customHeight="1">
      <c r="A28" s="107" t="s">
        <v>1237</v>
      </c>
      <c r="B28" s="70"/>
      <c r="C28" s="70"/>
      <c r="D28" s="70"/>
      <c r="E28" s="70"/>
      <c r="F28" s="70"/>
      <c r="G28" s="70"/>
    </row>
    <row r="29" spans="1:7" ht="24.95" customHeight="1">
      <c r="A29" s="107" t="s">
        <v>1238</v>
      </c>
      <c r="B29" s="70"/>
      <c r="C29" s="70"/>
      <c r="D29" s="70"/>
      <c r="E29" s="70"/>
      <c r="F29" s="70"/>
      <c r="G29" s="70"/>
    </row>
    <row r="30" spans="1:7" ht="24.95" customHeight="1">
      <c r="A30" s="107" t="s">
        <v>1239</v>
      </c>
      <c r="B30" s="70"/>
      <c r="C30" s="70"/>
      <c r="D30" s="70"/>
      <c r="E30" s="70"/>
      <c r="F30" s="70"/>
      <c r="G30" s="70"/>
    </row>
    <row r="31" spans="1:7" ht="24.95" customHeight="1">
      <c r="A31" s="107" t="s">
        <v>1240</v>
      </c>
      <c r="B31" s="70"/>
      <c r="C31" s="70"/>
      <c r="D31" s="70"/>
      <c r="E31" s="70"/>
      <c r="F31" s="70"/>
      <c r="G31" s="70"/>
    </row>
    <row r="32" spans="1:7" ht="24.95" customHeight="1">
      <c r="A32" s="107" t="s">
        <v>1241</v>
      </c>
      <c r="B32" s="70"/>
      <c r="C32" s="70"/>
      <c r="D32" s="70"/>
      <c r="E32" s="70"/>
      <c r="F32" s="70"/>
      <c r="G32" s="70"/>
    </row>
    <row r="33" spans="1:7" ht="24.95" customHeight="1">
      <c r="A33" s="107" t="s">
        <v>1242</v>
      </c>
      <c r="B33" s="70"/>
      <c r="C33" s="70"/>
      <c r="D33" s="70"/>
      <c r="E33" s="70"/>
      <c r="F33" s="70"/>
      <c r="G33" s="70"/>
    </row>
    <row r="34" spans="1:7" ht="24.95" customHeight="1">
      <c r="A34" s="107" t="s">
        <v>1243</v>
      </c>
      <c r="B34" s="70"/>
      <c r="C34" s="70"/>
      <c r="D34" s="70"/>
      <c r="E34" s="70"/>
      <c r="F34" s="70"/>
      <c r="G34" s="70"/>
    </row>
  </sheetData>
  <mergeCells count="20">
    <mergeCell ref="A31:G31"/>
    <mergeCell ref="A34:G34"/>
    <mergeCell ref="A24:G24"/>
    <mergeCell ref="A30:G30"/>
    <mergeCell ref="F2:G2"/>
    <mergeCell ref="A33:G33"/>
    <mergeCell ref="A32:G32"/>
    <mergeCell ref="F4:G4"/>
    <mergeCell ref="A17:G17"/>
    <mergeCell ref="B3:C3"/>
    <mergeCell ref="A29:G29"/>
    <mergeCell ref="A28:G28"/>
    <mergeCell ref="F3:G3"/>
    <mergeCell ref="A1:G1"/>
    <mergeCell ref="A6:G6"/>
    <mergeCell ref="A25:G25"/>
    <mergeCell ref="A27:G27"/>
    <mergeCell ref="A26:G26"/>
    <mergeCell ref="B4:C4"/>
    <mergeCell ref="B2:C2"/>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2"/>
  <dimension ref="B2:G15"/>
  <sheetViews>
    <sheetView workbookViewId="0"/>
  </sheetViews>
  <sheetFormatPr baseColWidth="10" defaultColWidth="9.140625" defaultRowHeight="15"/>
  <cols>
    <col min="2" max="2" width="20" customWidth="1"/>
    <col min="3" max="3" width="50" customWidth="1"/>
  </cols>
  <sheetData>
    <row r="2" spans="2:7" ht="21" customHeight="1">
      <c r="B2" s="109" t="s">
        <v>1244</v>
      </c>
      <c r="C2" s="70"/>
      <c r="D2" s="70"/>
      <c r="E2" s="70"/>
      <c r="F2" s="70"/>
      <c r="G2" s="70"/>
    </row>
    <row r="3" spans="2:7" ht="18.75" customHeight="1">
      <c r="B3" s="108" t="s">
        <v>1245</v>
      </c>
      <c r="C3" s="70"/>
      <c r="D3" s="70"/>
      <c r="E3" s="70"/>
      <c r="F3" s="70"/>
      <c r="G3" s="70"/>
    </row>
    <row r="6" spans="2:7">
      <c r="B6" s="47" t="s">
        <v>62</v>
      </c>
    </row>
    <row r="7" spans="2:7">
      <c r="B7" s="47" t="s">
        <v>56</v>
      </c>
      <c r="C7" t="s">
        <v>57</v>
      </c>
    </row>
    <row r="8" spans="2:7">
      <c r="B8" s="47" t="s">
        <v>591</v>
      </c>
      <c r="C8" t="s">
        <v>59</v>
      </c>
    </row>
    <row r="9" spans="2:7">
      <c r="B9" s="47" t="s">
        <v>592</v>
      </c>
    </row>
    <row r="10" spans="2:7">
      <c r="B10" s="47" t="s">
        <v>68</v>
      </c>
      <c r="C10" t="s">
        <v>1246</v>
      </c>
    </row>
    <row r="12" spans="2:7">
      <c r="B12" s="47" t="s">
        <v>1247</v>
      </c>
    </row>
    <row r="13" spans="2:7">
      <c r="C13" t="s">
        <v>1248</v>
      </c>
    </row>
    <row r="14" spans="2:7">
      <c r="C14" t="s">
        <v>1249</v>
      </c>
    </row>
    <row r="15" spans="2:7">
      <c r="C15" t="s">
        <v>1250</v>
      </c>
    </row>
  </sheetData>
  <mergeCells count="2">
    <mergeCell ref="B3:G3"/>
    <mergeCell ref="B2:G2"/>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3"/>
  <dimension ref="B2:D32"/>
  <sheetViews>
    <sheetView workbookViewId="0"/>
  </sheetViews>
  <sheetFormatPr baseColWidth="10" defaultColWidth="9.140625" defaultRowHeight="15"/>
  <cols>
    <col min="2" max="2" width="35" customWidth="1"/>
    <col min="3" max="3" width="50" customWidth="1"/>
    <col min="4" max="4" width="15" customWidth="1"/>
  </cols>
  <sheetData>
    <row r="2" spans="2:4" ht="18.75" customHeight="1">
      <c r="B2" s="110" t="s">
        <v>1251</v>
      </c>
      <c r="C2" s="70"/>
      <c r="D2" s="70"/>
    </row>
    <row r="5" spans="2:4" ht="15.75" customHeight="1">
      <c r="B5" s="111" t="s">
        <v>1252</v>
      </c>
      <c r="C5" s="70"/>
      <c r="D5" s="70"/>
    </row>
    <row r="6" spans="2:4">
      <c r="B6" t="s">
        <v>1253</v>
      </c>
    </row>
    <row r="7" spans="2:4" ht="15.75" customHeight="1">
      <c r="B7" s="111" t="s">
        <v>1254</v>
      </c>
      <c r="C7" s="70"/>
      <c r="D7" s="70"/>
    </row>
    <row r="8" spans="2:4">
      <c r="B8" t="s">
        <v>1255</v>
      </c>
    </row>
    <row r="9" spans="2:4">
      <c r="B9" t="s">
        <v>1256</v>
      </c>
    </row>
    <row r="10" spans="2:4">
      <c r="B10" t="s">
        <v>1257</v>
      </c>
    </row>
    <row r="11" spans="2:4">
      <c r="B11" t="s">
        <v>1258</v>
      </c>
    </row>
    <row r="12" spans="2:4">
      <c r="B12" t="s">
        <v>1259</v>
      </c>
    </row>
    <row r="13" spans="2:4">
      <c r="B13" t="s">
        <v>1260</v>
      </c>
    </row>
    <row r="15" spans="2:4" ht="15.75" customHeight="1">
      <c r="B15" s="111" t="s">
        <v>1261</v>
      </c>
      <c r="C15" s="70"/>
      <c r="D15" s="70"/>
    </row>
    <row r="16" spans="2:4">
      <c r="B16" t="s">
        <v>1262</v>
      </c>
    </row>
    <row r="17" spans="2:4">
      <c r="B17" t="s">
        <v>1263</v>
      </c>
    </row>
    <row r="18" spans="2:4">
      <c r="B18" t="s">
        <v>1264</v>
      </c>
      <c r="C18" t="s">
        <v>57</v>
      </c>
    </row>
    <row r="19" spans="2:4">
      <c r="B19" t="s">
        <v>1265</v>
      </c>
    </row>
    <row r="20" spans="2:4">
      <c r="B20" t="s">
        <v>1266</v>
      </c>
    </row>
    <row r="22" spans="2:4" ht="15.75" customHeight="1">
      <c r="B22" s="111" t="s">
        <v>1267</v>
      </c>
      <c r="C22" s="70"/>
      <c r="D22" s="70"/>
    </row>
    <row r="23" spans="2:4">
      <c r="B23" t="s">
        <v>1268</v>
      </c>
      <c r="C23" t="s">
        <v>1269</v>
      </c>
    </row>
    <row r="24" spans="2:4">
      <c r="B24" t="s">
        <v>1270</v>
      </c>
    </row>
    <row r="25" spans="2:4">
      <c r="B25" t="s">
        <v>1271</v>
      </c>
    </row>
    <row r="26" spans="2:4">
      <c r="B26" t="s">
        <v>1272</v>
      </c>
    </row>
    <row r="28" spans="2:4" ht="15.75" customHeight="1">
      <c r="B28" s="111" t="s">
        <v>1273</v>
      </c>
      <c r="C28" s="70"/>
      <c r="D28" s="70"/>
    </row>
    <row r="29" spans="2:4">
      <c r="B29" t="s">
        <v>1274</v>
      </c>
    </row>
    <row r="30" spans="2:4">
      <c r="B30" t="s">
        <v>1275</v>
      </c>
    </row>
    <row r="31" spans="2:4">
      <c r="B31" t="s">
        <v>1276</v>
      </c>
    </row>
    <row r="32" spans="2:4">
      <c r="B32" t="s">
        <v>1277</v>
      </c>
    </row>
  </sheetData>
  <mergeCells count="6">
    <mergeCell ref="B2:D2"/>
    <mergeCell ref="B28:D28"/>
    <mergeCell ref="B5:D5"/>
    <mergeCell ref="B22:D22"/>
    <mergeCell ref="B15:D15"/>
    <mergeCell ref="B7:D7"/>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4"/>
  <dimension ref="B2:F29"/>
  <sheetViews>
    <sheetView workbookViewId="0"/>
  </sheetViews>
  <sheetFormatPr baseColWidth="10" defaultColWidth="9.140625" defaultRowHeight="15"/>
  <cols>
    <col min="2" max="2" width="5" customWidth="1"/>
    <col min="3" max="3" width="70" customWidth="1"/>
  </cols>
  <sheetData>
    <row r="2" spans="2:6" ht="18.75" customHeight="1">
      <c r="B2" s="110" t="s">
        <v>1278</v>
      </c>
      <c r="C2" s="70"/>
      <c r="D2" s="70"/>
      <c r="E2" s="70"/>
      <c r="F2" s="70"/>
    </row>
    <row r="4" spans="2:6">
      <c r="B4" s="112" t="s">
        <v>1279</v>
      </c>
      <c r="C4" s="70"/>
      <c r="D4" s="70"/>
      <c r="E4" s="70"/>
      <c r="F4" s="70"/>
    </row>
    <row r="5" spans="2:6">
      <c r="C5" t="s">
        <v>1280</v>
      </c>
    </row>
    <row r="6" spans="2:6">
      <c r="C6" t="s">
        <v>1281</v>
      </c>
    </row>
    <row r="7" spans="2:6">
      <c r="C7" t="s">
        <v>1282</v>
      </c>
    </row>
    <row r="9" spans="2:6">
      <c r="B9" s="112" t="s">
        <v>1283</v>
      </c>
      <c r="C9" s="70"/>
      <c r="D9" s="70"/>
      <c r="E9" s="70"/>
      <c r="F9" s="70"/>
    </row>
    <row r="10" spans="2:6">
      <c r="C10" t="s">
        <v>1284</v>
      </c>
    </row>
    <row r="11" spans="2:6">
      <c r="C11" t="s">
        <v>1285</v>
      </c>
    </row>
    <row r="12" spans="2:6">
      <c r="C12" t="s">
        <v>1286</v>
      </c>
    </row>
    <row r="14" spans="2:6">
      <c r="B14" s="112" t="s">
        <v>1287</v>
      </c>
      <c r="C14" s="70"/>
      <c r="D14" s="70"/>
      <c r="E14" s="70"/>
      <c r="F14" s="70"/>
    </row>
    <row r="15" spans="2:6">
      <c r="C15" t="s">
        <v>1288</v>
      </c>
    </row>
    <row r="16" spans="2:6">
      <c r="C16" t="s">
        <v>1289</v>
      </c>
    </row>
    <row r="18" spans="2:6">
      <c r="B18" s="112" t="s">
        <v>1290</v>
      </c>
      <c r="C18" s="70"/>
      <c r="D18" s="70"/>
      <c r="E18" s="70"/>
      <c r="F18" s="70"/>
    </row>
    <row r="19" spans="2:6">
      <c r="C19" t="s">
        <v>1291</v>
      </c>
    </row>
    <row r="20" spans="2:6">
      <c r="C20" t="s">
        <v>1292</v>
      </c>
    </row>
    <row r="21" spans="2:6">
      <c r="C21" t="s">
        <v>1293</v>
      </c>
    </row>
    <row r="23" spans="2:6">
      <c r="B23" s="112" t="s">
        <v>1294</v>
      </c>
      <c r="C23" s="70"/>
      <c r="D23" s="70"/>
      <c r="E23" s="70"/>
      <c r="F23" s="70"/>
    </row>
    <row r="24" spans="2:6">
      <c r="C24" t="s">
        <v>1295</v>
      </c>
    </row>
    <row r="25" spans="2:6">
      <c r="C25" t="s">
        <v>1296</v>
      </c>
    </row>
    <row r="27" spans="2:6">
      <c r="B27" s="112" t="s">
        <v>1297</v>
      </c>
      <c r="C27" s="70"/>
      <c r="D27" s="70"/>
      <c r="E27" s="70"/>
      <c r="F27" s="70"/>
    </row>
    <row r="28" spans="2:6">
      <c r="C28" t="s">
        <v>1298</v>
      </c>
    </row>
    <row r="29" spans="2:6">
      <c r="C29" t="s">
        <v>1299</v>
      </c>
    </row>
  </sheetData>
  <mergeCells count="7">
    <mergeCell ref="B27:F27"/>
    <mergeCell ref="B4:F4"/>
    <mergeCell ref="B9:F9"/>
    <mergeCell ref="B2:F2"/>
    <mergeCell ref="B23:F23"/>
    <mergeCell ref="B14:F14"/>
    <mergeCell ref="B18:F18"/>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5"/>
  <dimension ref="A1:T101"/>
  <sheetViews>
    <sheetView workbookViewId="0"/>
  </sheetViews>
  <sheetFormatPr baseColWidth="10" defaultColWidth="9.140625" defaultRowHeight="15"/>
  <cols>
    <col min="1" max="1" width="12" customWidth="1"/>
    <col min="2" max="2" width="25" customWidth="1"/>
    <col min="3" max="3" width="18" customWidth="1"/>
    <col min="5" max="5" width="20" customWidth="1"/>
    <col min="6" max="6" width="25" customWidth="1"/>
    <col min="7" max="7" width="22" customWidth="1"/>
    <col min="9" max="9" width="35" customWidth="1"/>
    <col min="10" max="10" width="18" customWidth="1"/>
    <col min="12" max="12" width="15" customWidth="1"/>
    <col min="14" max="14" width="12" customWidth="1"/>
    <col min="15" max="15" width="15" customWidth="1"/>
    <col min="16" max="16" width="12" customWidth="1"/>
    <col min="18" max="18" width="15" customWidth="1"/>
    <col min="20" max="20" width="35" customWidth="1"/>
  </cols>
  <sheetData>
    <row r="1" spans="1:20" ht="30" customHeight="1">
      <c r="A1" s="48" t="s">
        <v>1300</v>
      </c>
      <c r="B1" s="48" t="s">
        <v>1301</v>
      </c>
      <c r="C1" s="48" t="s">
        <v>1302</v>
      </c>
      <c r="D1" s="48" t="s">
        <v>1303</v>
      </c>
      <c r="E1" s="48" t="s">
        <v>1304</v>
      </c>
      <c r="F1" s="48" t="s">
        <v>1305</v>
      </c>
      <c r="G1" s="48" t="s">
        <v>1306</v>
      </c>
      <c r="H1" s="48" t="s">
        <v>91</v>
      </c>
      <c r="I1" s="48" t="s">
        <v>143</v>
      </c>
      <c r="J1" s="48" t="s">
        <v>87</v>
      </c>
      <c r="K1" s="48" t="s">
        <v>1307</v>
      </c>
      <c r="L1" s="48" t="s">
        <v>1308</v>
      </c>
      <c r="M1" s="48" t="s">
        <v>167</v>
      </c>
      <c r="N1" s="48" t="s">
        <v>168</v>
      </c>
      <c r="O1" s="48" t="s">
        <v>169</v>
      </c>
      <c r="P1" s="48" t="s">
        <v>1309</v>
      </c>
      <c r="Q1" s="48" t="s">
        <v>89</v>
      </c>
      <c r="R1" s="48" t="s">
        <v>1310</v>
      </c>
      <c r="S1" s="48" t="s">
        <v>1311</v>
      </c>
      <c r="T1" s="48" t="s">
        <v>1312</v>
      </c>
    </row>
    <row r="2" spans="1:20">
      <c r="A2" s="49" t="s">
        <v>1313</v>
      </c>
      <c r="B2" s="49" t="s">
        <v>1314</v>
      </c>
      <c r="C2" s="49" t="s">
        <v>1315</v>
      </c>
      <c r="D2" s="49" t="s">
        <v>1316</v>
      </c>
      <c r="E2" s="49" t="s">
        <v>1317</v>
      </c>
      <c r="F2" s="49" t="s">
        <v>1318</v>
      </c>
      <c r="G2" s="49" t="s">
        <v>1319</v>
      </c>
      <c r="H2" s="49" t="s">
        <v>948</v>
      </c>
      <c r="I2" s="49" t="s">
        <v>1320</v>
      </c>
      <c r="J2" s="49" t="s">
        <v>765</v>
      </c>
      <c r="K2" s="49" t="s">
        <v>1321</v>
      </c>
      <c r="L2" s="49" t="s">
        <v>1322</v>
      </c>
      <c r="M2" s="49" t="s">
        <v>158</v>
      </c>
      <c r="N2" s="49" t="s">
        <v>158</v>
      </c>
      <c r="O2" s="49" t="s">
        <v>158</v>
      </c>
      <c r="P2" s="50" t="s">
        <v>673</v>
      </c>
      <c r="Q2" s="49" t="s">
        <v>942</v>
      </c>
      <c r="R2" s="49" t="s">
        <v>59</v>
      </c>
      <c r="S2" s="49" t="s">
        <v>59</v>
      </c>
      <c r="T2" s="49" t="s">
        <v>1323</v>
      </c>
    </row>
    <row r="3" spans="1:20">
      <c r="A3" s="49" t="s">
        <v>1324</v>
      </c>
      <c r="B3" s="49" t="s">
        <v>1325</v>
      </c>
      <c r="C3" s="49" t="s">
        <v>1326</v>
      </c>
      <c r="D3" s="49" t="s">
        <v>1327</v>
      </c>
      <c r="E3" s="49" t="s">
        <v>1328</v>
      </c>
      <c r="F3" s="49" t="s">
        <v>1329</v>
      </c>
      <c r="G3" s="49" t="s">
        <v>1319</v>
      </c>
      <c r="H3" s="49" t="s">
        <v>948</v>
      </c>
      <c r="I3" s="49" t="s">
        <v>1330</v>
      </c>
      <c r="J3" s="49" t="s">
        <v>765</v>
      </c>
      <c r="K3" s="49" t="s">
        <v>956</v>
      </c>
      <c r="L3" s="49" t="s">
        <v>1331</v>
      </c>
      <c r="M3" s="49" t="s">
        <v>1332</v>
      </c>
      <c r="N3" s="49" t="s">
        <v>1332</v>
      </c>
      <c r="O3" s="49" t="s">
        <v>158</v>
      </c>
      <c r="P3" s="50" t="s">
        <v>673</v>
      </c>
      <c r="Q3" s="49" t="s">
        <v>942</v>
      </c>
      <c r="R3" s="49" t="s">
        <v>59</v>
      </c>
      <c r="S3" s="49" t="s">
        <v>59</v>
      </c>
      <c r="T3" s="49" t="s">
        <v>1333</v>
      </c>
    </row>
    <row r="4" spans="1:20">
      <c r="A4" s="49" t="s">
        <v>1334</v>
      </c>
      <c r="B4" s="49" t="s">
        <v>1335</v>
      </c>
      <c r="C4" s="49" t="s">
        <v>1315</v>
      </c>
      <c r="D4" s="49" t="s">
        <v>969</v>
      </c>
      <c r="E4" s="49" t="s">
        <v>1336</v>
      </c>
      <c r="F4" s="49" t="s">
        <v>1337</v>
      </c>
      <c r="G4" s="49" t="s">
        <v>1338</v>
      </c>
      <c r="H4" s="49" t="s">
        <v>1339</v>
      </c>
      <c r="I4" s="49" t="s">
        <v>1340</v>
      </c>
      <c r="J4" s="49" t="s">
        <v>1341</v>
      </c>
      <c r="K4" s="49" t="s">
        <v>1342</v>
      </c>
      <c r="L4" s="49" t="s">
        <v>1331</v>
      </c>
      <c r="M4" s="49" t="s">
        <v>154</v>
      </c>
      <c r="N4" s="49" t="s">
        <v>1332</v>
      </c>
      <c r="O4" s="49" t="s">
        <v>1332</v>
      </c>
      <c r="P4" s="50" t="s">
        <v>673</v>
      </c>
      <c r="Q4" s="49" t="s">
        <v>942</v>
      </c>
      <c r="R4" s="49" t="s">
        <v>59</v>
      </c>
      <c r="S4" s="49" t="s">
        <v>59</v>
      </c>
      <c r="T4" s="49" t="s">
        <v>1343</v>
      </c>
    </row>
    <row r="101" spans="1:19">
      <c r="A101" t="s">
        <v>1344</v>
      </c>
      <c r="Q101" t="s">
        <v>942</v>
      </c>
      <c r="R101" s="51">
        <v>45965</v>
      </c>
      <c r="S101" s="51">
        <v>45965</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6"/>
  <dimension ref="B2:K18"/>
  <sheetViews>
    <sheetView workbookViewId="0"/>
  </sheetViews>
  <sheetFormatPr baseColWidth="10" defaultColWidth="9.140625" defaultRowHeight="15"/>
  <cols>
    <col min="2" max="2" width="18" customWidth="1"/>
    <col min="4" max="4" width="60" customWidth="1"/>
    <col min="6" max="6" width="18" customWidth="1"/>
    <col min="7" max="7" width="12" customWidth="1"/>
    <col min="8" max="8" width="60" customWidth="1"/>
  </cols>
  <sheetData>
    <row r="2" spans="2:11" ht="18.75" customHeight="1">
      <c r="B2" s="110" t="s">
        <v>1345</v>
      </c>
      <c r="C2" s="70"/>
      <c r="D2" s="70"/>
      <c r="E2" s="70"/>
      <c r="F2" s="70"/>
      <c r="G2" s="70"/>
      <c r="H2" s="70"/>
    </row>
    <row r="4" spans="2:11" ht="15.75" customHeight="1">
      <c r="B4" s="112" t="s">
        <v>1346</v>
      </c>
      <c r="C4" s="70"/>
      <c r="F4" s="111" t="s">
        <v>1347</v>
      </c>
      <c r="G4" s="70"/>
      <c r="H4" s="70"/>
      <c r="I4" s="70"/>
      <c r="J4" s="70"/>
      <c r="K4" s="70"/>
    </row>
    <row r="5" spans="2:11" ht="45" customHeight="1">
      <c r="B5" s="47" t="s">
        <v>142</v>
      </c>
      <c r="C5" s="47" t="s">
        <v>143</v>
      </c>
      <c r="D5" s="47" t="s">
        <v>1138</v>
      </c>
      <c r="F5" s="52" t="s">
        <v>1348</v>
      </c>
      <c r="G5" s="53" t="s">
        <v>1349</v>
      </c>
      <c r="H5" s="53" t="s">
        <v>1350</v>
      </c>
      <c r="I5" s="53" t="s">
        <v>1351</v>
      </c>
      <c r="J5" s="53" t="s">
        <v>1352</v>
      </c>
      <c r="K5" s="53" t="s">
        <v>1353</v>
      </c>
    </row>
    <row r="6" spans="2:11" ht="15.75" customHeight="1">
      <c r="B6" t="s">
        <v>1354</v>
      </c>
      <c r="C6" t="s">
        <v>1355</v>
      </c>
      <c r="D6" t="s">
        <v>1356</v>
      </c>
      <c r="F6" s="54" t="s">
        <v>1357</v>
      </c>
      <c r="G6" s="55">
        <v>5</v>
      </c>
      <c r="H6" s="56">
        <v>10</v>
      </c>
      <c r="I6" s="57">
        <v>15</v>
      </c>
      <c r="J6" s="57">
        <v>20</v>
      </c>
      <c r="K6" s="57">
        <v>25</v>
      </c>
    </row>
    <row r="7" spans="2:11" ht="15.75" customHeight="1">
      <c r="B7" t="s">
        <v>1358</v>
      </c>
      <c r="C7" t="s">
        <v>1359</v>
      </c>
      <c r="D7" t="s">
        <v>1360</v>
      </c>
      <c r="F7" s="54" t="s">
        <v>1361</v>
      </c>
      <c r="G7" s="55">
        <v>4</v>
      </c>
      <c r="H7" s="58">
        <v>8</v>
      </c>
      <c r="I7" s="56">
        <v>12</v>
      </c>
      <c r="J7" s="57">
        <v>16</v>
      </c>
      <c r="K7" s="57">
        <v>20</v>
      </c>
    </row>
    <row r="8" spans="2:11" ht="15.75" customHeight="1">
      <c r="B8" t="s">
        <v>1362</v>
      </c>
      <c r="C8" t="s">
        <v>1363</v>
      </c>
      <c r="D8" t="s">
        <v>1364</v>
      </c>
      <c r="F8" s="54" t="s">
        <v>1365</v>
      </c>
      <c r="G8" s="55">
        <v>3</v>
      </c>
      <c r="H8" s="58">
        <v>6</v>
      </c>
      <c r="I8" s="58">
        <v>9</v>
      </c>
      <c r="J8" s="56">
        <v>12</v>
      </c>
      <c r="K8" s="57">
        <v>15</v>
      </c>
    </row>
    <row r="9" spans="2:11" ht="15.75" customHeight="1">
      <c r="B9" t="s">
        <v>1366</v>
      </c>
      <c r="C9" t="s">
        <v>1367</v>
      </c>
      <c r="D9" t="s">
        <v>1368</v>
      </c>
      <c r="F9" s="54" t="s">
        <v>1369</v>
      </c>
      <c r="G9" s="59">
        <v>2</v>
      </c>
      <c r="H9" s="55">
        <v>4</v>
      </c>
      <c r="I9" s="58">
        <v>6</v>
      </c>
      <c r="J9" s="58">
        <v>8</v>
      </c>
      <c r="K9" s="56">
        <v>10</v>
      </c>
    </row>
    <row r="10" spans="2:11" ht="15.75" customHeight="1">
      <c r="B10" t="s">
        <v>1370</v>
      </c>
      <c r="C10" t="s">
        <v>1371</v>
      </c>
      <c r="D10" t="s">
        <v>1372</v>
      </c>
      <c r="F10" s="54" t="s">
        <v>1373</v>
      </c>
      <c r="G10" s="59">
        <v>1</v>
      </c>
      <c r="H10" s="59">
        <v>2</v>
      </c>
      <c r="I10" s="55">
        <v>3</v>
      </c>
      <c r="J10" s="55">
        <v>4</v>
      </c>
      <c r="K10" s="55">
        <v>5</v>
      </c>
    </row>
    <row r="12" spans="2:11">
      <c r="B12" s="112" t="s">
        <v>1374</v>
      </c>
      <c r="C12" s="70"/>
      <c r="F12" s="112" t="s">
        <v>1375</v>
      </c>
      <c r="G12" s="70"/>
      <c r="H12" s="70"/>
    </row>
    <row r="13" spans="2:11">
      <c r="B13" s="47" t="s">
        <v>142</v>
      </c>
      <c r="C13" s="47" t="s">
        <v>143</v>
      </c>
      <c r="D13" s="47" t="s">
        <v>1376</v>
      </c>
      <c r="F13" s="47" t="s">
        <v>142</v>
      </c>
      <c r="G13" s="47" t="s">
        <v>191</v>
      </c>
      <c r="H13" s="47" t="s">
        <v>1377</v>
      </c>
    </row>
    <row r="14" spans="2:11">
      <c r="B14" t="s">
        <v>1378</v>
      </c>
      <c r="C14" t="s">
        <v>1379</v>
      </c>
      <c r="D14" t="s">
        <v>1380</v>
      </c>
      <c r="F14" s="60" t="s">
        <v>673</v>
      </c>
      <c r="G14" t="s">
        <v>1381</v>
      </c>
      <c r="H14" t="s">
        <v>1382</v>
      </c>
    </row>
    <row r="15" spans="2:11">
      <c r="B15" t="s">
        <v>1383</v>
      </c>
      <c r="C15" t="s">
        <v>183</v>
      </c>
      <c r="D15" t="s">
        <v>1384</v>
      </c>
      <c r="F15" s="61" t="s">
        <v>182</v>
      </c>
      <c r="G15" t="s">
        <v>202</v>
      </c>
      <c r="H15" t="s">
        <v>1385</v>
      </c>
    </row>
    <row r="16" spans="2:11">
      <c r="B16" t="s">
        <v>1386</v>
      </c>
      <c r="C16" t="s">
        <v>1387</v>
      </c>
      <c r="D16" t="s">
        <v>1388</v>
      </c>
      <c r="F16" s="62" t="s">
        <v>178</v>
      </c>
      <c r="G16" t="s">
        <v>1389</v>
      </c>
      <c r="H16" t="s">
        <v>1390</v>
      </c>
    </row>
    <row r="17" spans="2:8">
      <c r="B17" t="s">
        <v>1391</v>
      </c>
      <c r="C17" t="s">
        <v>175</v>
      </c>
      <c r="D17" t="s">
        <v>1392</v>
      </c>
      <c r="F17" s="63" t="s">
        <v>174</v>
      </c>
      <c r="G17" t="s">
        <v>1393</v>
      </c>
      <c r="H17" t="s">
        <v>1394</v>
      </c>
    </row>
    <row r="18" spans="2:8">
      <c r="B18" t="s">
        <v>1395</v>
      </c>
      <c r="C18" t="s">
        <v>1396</v>
      </c>
      <c r="D18" t="s">
        <v>1397</v>
      </c>
      <c r="F18" s="64" t="s">
        <v>170</v>
      </c>
      <c r="G18" t="s">
        <v>1398</v>
      </c>
      <c r="H18" t="s">
        <v>1399</v>
      </c>
    </row>
  </sheetData>
  <mergeCells count="5">
    <mergeCell ref="B2:H2"/>
    <mergeCell ref="F12:H12"/>
    <mergeCell ref="F4:K4"/>
    <mergeCell ref="B4:C4"/>
    <mergeCell ref="B12:C12"/>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7"/>
  <dimension ref="A1:G84"/>
  <sheetViews>
    <sheetView workbookViewId="0"/>
  </sheetViews>
  <sheetFormatPr baseColWidth="10" defaultColWidth="9.140625" defaultRowHeight="15"/>
  <cols>
    <col min="1" max="1" width="15" customWidth="1"/>
    <col min="2" max="2" width="35" customWidth="1"/>
    <col min="3" max="3" width="25" customWidth="1"/>
    <col min="4" max="4" width="50" customWidth="1"/>
    <col min="5" max="5" width="20" customWidth="1"/>
    <col min="6" max="6" width="15" customWidth="1"/>
    <col min="7" max="7" width="35" customWidth="1"/>
  </cols>
  <sheetData>
    <row r="1" spans="1:7">
      <c r="A1" s="48" t="s">
        <v>1400</v>
      </c>
      <c r="B1" s="48" t="s">
        <v>1401</v>
      </c>
      <c r="C1" s="48" t="s">
        <v>1402</v>
      </c>
      <c r="D1" s="48" t="s">
        <v>143</v>
      </c>
      <c r="E1" s="48" t="s">
        <v>1403</v>
      </c>
      <c r="F1" s="48" t="s">
        <v>1404</v>
      </c>
      <c r="G1" s="48" t="s">
        <v>1405</v>
      </c>
    </row>
    <row r="2" spans="1:7">
      <c r="A2" s="49" t="s">
        <v>1406</v>
      </c>
      <c r="B2" s="49" t="s">
        <v>1407</v>
      </c>
      <c r="C2" s="49" t="s">
        <v>1408</v>
      </c>
      <c r="D2" s="49" t="s">
        <v>1409</v>
      </c>
      <c r="E2" s="49" t="s">
        <v>1410</v>
      </c>
      <c r="F2" s="49" t="s">
        <v>182</v>
      </c>
      <c r="G2" s="49" t="s">
        <v>1411</v>
      </c>
    </row>
    <row r="3" spans="1:7">
      <c r="A3" s="49" t="s">
        <v>1412</v>
      </c>
      <c r="B3" s="49" t="s">
        <v>1413</v>
      </c>
      <c r="C3" s="49" t="s">
        <v>1414</v>
      </c>
      <c r="D3" s="49" t="s">
        <v>1415</v>
      </c>
      <c r="E3" s="49" t="s">
        <v>1416</v>
      </c>
      <c r="F3" s="49" t="s">
        <v>182</v>
      </c>
      <c r="G3" s="49" t="s">
        <v>1411</v>
      </c>
    </row>
    <row r="4" spans="1:7">
      <c r="A4" s="49" t="s">
        <v>1417</v>
      </c>
      <c r="B4" s="49" t="s">
        <v>1418</v>
      </c>
      <c r="C4" s="49" t="s">
        <v>1419</v>
      </c>
      <c r="D4" s="49" t="s">
        <v>1420</v>
      </c>
      <c r="E4" s="49" t="s">
        <v>1421</v>
      </c>
      <c r="F4" s="49" t="s">
        <v>182</v>
      </c>
      <c r="G4" s="49" t="s">
        <v>1411</v>
      </c>
    </row>
    <row r="5" spans="1:7">
      <c r="A5" s="49" t="s">
        <v>1422</v>
      </c>
      <c r="B5" s="49" t="s">
        <v>1423</v>
      </c>
      <c r="C5" s="49" t="s">
        <v>1424</v>
      </c>
      <c r="D5" s="49" t="s">
        <v>1425</v>
      </c>
      <c r="E5" s="49" t="s">
        <v>1426</v>
      </c>
      <c r="F5" s="49" t="s">
        <v>182</v>
      </c>
      <c r="G5" s="49" t="s">
        <v>1411</v>
      </c>
    </row>
    <row r="6" spans="1:7">
      <c r="A6" s="49" t="s">
        <v>1427</v>
      </c>
      <c r="B6" s="49" t="s">
        <v>1428</v>
      </c>
      <c r="C6" s="49" t="s">
        <v>1429</v>
      </c>
      <c r="D6" s="49" t="s">
        <v>1430</v>
      </c>
      <c r="E6" s="49" t="s">
        <v>1431</v>
      </c>
      <c r="F6" s="49" t="s">
        <v>182</v>
      </c>
      <c r="G6" s="49" t="s">
        <v>1432</v>
      </c>
    </row>
    <row r="7" spans="1:7">
      <c r="A7" s="49" t="s">
        <v>1433</v>
      </c>
      <c r="B7" s="49" t="s">
        <v>1434</v>
      </c>
      <c r="C7" s="49" t="s">
        <v>1435</v>
      </c>
      <c r="D7" s="49" t="s">
        <v>1436</v>
      </c>
      <c r="E7" s="49" t="s">
        <v>1437</v>
      </c>
      <c r="F7" s="49" t="s">
        <v>182</v>
      </c>
      <c r="G7" s="49" t="s">
        <v>1411</v>
      </c>
    </row>
    <row r="8" spans="1:7">
      <c r="A8" s="49" t="s">
        <v>1438</v>
      </c>
      <c r="B8" s="49" t="s">
        <v>1439</v>
      </c>
      <c r="C8" s="49" t="s">
        <v>1440</v>
      </c>
      <c r="D8" s="49" t="s">
        <v>1441</v>
      </c>
      <c r="E8" s="49" t="s">
        <v>1442</v>
      </c>
      <c r="F8" s="49" t="s">
        <v>182</v>
      </c>
      <c r="G8" s="49" t="s">
        <v>1411</v>
      </c>
    </row>
    <row r="9" spans="1:7">
      <c r="A9" s="49" t="s">
        <v>1443</v>
      </c>
      <c r="B9" s="49" t="s">
        <v>1444</v>
      </c>
      <c r="C9" s="49" t="s">
        <v>1445</v>
      </c>
      <c r="D9" s="49" t="s">
        <v>1446</v>
      </c>
      <c r="E9" s="49" t="s">
        <v>1447</v>
      </c>
      <c r="F9" s="49" t="s">
        <v>182</v>
      </c>
      <c r="G9" s="49" t="s">
        <v>1411</v>
      </c>
    </row>
    <row r="10" spans="1:7">
      <c r="A10" s="49" t="s">
        <v>1448</v>
      </c>
      <c r="B10" s="49" t="s">
        <v>1449</v>
      </c>
      <c r="C10" s="49" t="s">
        <v>1450</v>
      </c>
      <c r="D10" s="49" t="s">
        <v>1451</v>
      </c>
      <c r="E10" s="49" t="s">
        <v>1452</v>
      </c>
      <c r="F10" s="49" t="s">
        <v>182</v>
      </c>
      <c r="G10" s="49" t="s">
        <v>1411</v>
      </c>
    </row>
    <row r="11" spans="1:7">
      <c r="A11" s="49" t="s">
        <v>1453</v>
      </c>
      <c r="B11" s="49" t="s">
        <v>1454</v>
      </c>
      <c r="C11" s="49" t="s">
        <v>1455</v>
      </c>
      <c r="D11" s="49" t="s">
        <v>1456</v>
      </c>
      <c r="E11" s="49" t="s">
        <v>1457</v>
      </c>
      <c r="F11" s="49" t="s">
        <v>182</v>
      </c>
      <c r="G11" s="49" t="s">
        <v>1458</v>
      </c>
    </row>
    <row r="12" spans="1:7">
      <c r="A12" s="49" t="s">
        <v>1459</v>
      </c>
      <c r="B12" s="49" t="s">
        <v>1460</v>
      </c>
      <c r="C12" s="49" t="s">
        <v>1461</v>
      </c>
      <c r="D12" s="49" t="s">
        <v>1462</v>
      </c>
      <c r="E12" s="49" t="s">
        <v>1463</v>
      </c>
      <c r="F12" s="49" t="s">
        <v>182</v>
      </c>
      <c r="G12" s="49" t="s">
        <v>1411</v>
      </c>
    </row>
    <row r="13" spans="1:7">
      <c r="A13" s="49" t="s">
        <v>1464</v>
      </c>
      <c r="B13" s="49" t="s">
        <v>1465</v>
      </c>
      <c r="C13" s="49" t="s">
        <v>1466</v>
      </c>
      <c r="D13" s="49" t="s">
        <v>1467</v>
      </c>
      <c r="E13" s="49" t="s">
        <v>1468</v>
      </c>
      <c r="F13" s="49" t="s">
        <v>182</v>
      </c>
      <c r="G13" s="49" t="s">
        <v>1411</v>
      </c>
    </row>
    <row r="14" spans="1:7">
      <c r="A14" s="49" t="s">
        <v>1469</v>
      </c>
      <c r="B14" s="49" t="s">
        <v>1470</v>
      </c>
      <c r="C14" s="49" t="s">
        <v>1471</v>
      </c>
      <c r="D14" s="49" t="s">
        <v>1472</v>
      </c>
      <c r="E14" s="49" t="s">
        <v>1473</v>
      </c>
      <c r="F14" s="49" t="s">
        <v>182</v>
      </c>
      <c r="G14" s="49" t="s">
        <v>1411</v>
      </c>
    </row>
    <row r="15" spans="1:7">
      <c r="A15" s="49" t="s">
        <v>1474</v>
      </c>
      <c r="B15" s="49" t="s">
        <v>1475</v>
      </c>
      <c r="C15" s="49" t="s">
        <v>1476</v>
      </c>
      <c r="D15" s="49" t="s">
        <v>1477</v>
      </c>
      <c r="E15" s="49" t="s">
        <v>1478</v>
      </c>
      <c r="F15" s="49" t="s">
        <v>182</v>
      </c>
      <c r="G15" s="49" t="s">
        <v>1411</v>
      </c>
    </row>
    <row r="16" spans="1:7">
      <c r="A16" s="49" t="s">
        <v>1479</v>
      </c>
      <c r="B16" s="49" t="s">
        <v>1480</v>
      </c>
      <c r="C16" s="49" t="s">
        <v>1481</v>
      </c>
      <c r="D16" s="49" t="s">
        <v>1482</v>
      </c>
      <c r="E16" s="49" t="s">
        <v>1483</v>
      </c>
      <c r="F16" s="49" t="s">
        <v>182</v>
      </c>
      <c r="G16" s="49" t="s">
        <v>1411</v>
      </c>
    </row>
    <row r="17" spans="1:7">
      <c r="A17" s="49" t="s">
        <v>1484</v>
      </c>
      <c r="B17" s="49" t="s">
        <v>1485</v>
      </c>
      <c r="C17" s="49" t="s">
        <v>1486</v>
      </c>
      <c r="D17" s="49" t="s">
        <v>1487</v>
      </c>
      <c r="E17" s="49" t="s">
        <v>1488</v>
      </c>
      <c r="F17" s="49" t="s">
        <v>182</v>
      </c>
      <c r="G17" s="49" t="s">
        <v>1411</v>
      </c>
    </row>
    <row r="18" spans="1:7">
      <c r="A18" s="49" t="s">
        <v>1489</v>
      </c>
      <c r="B18" s="49" t="s">
        <v>1490</v>
      </c>
      <c r="C18" s="49" t="s">
        <v>1491</v>
      </c>
      <c r="D18" s="49" t="s">
        <v>1492</v>
      </c>
      <c r="E18" s="49" t="s">
        <v>1493</v>
      </c>
      <c r="F18" s="49" t="s">
        <v>182</v>
      </c>
      <c r="G18" s="49" t="s">
        <v>1411</v>
      </c>
    </row>
    <row r="19" spans="1:7">
      <c r="A19" s="49" t="s">
        <v>1494</v>
      </c>
      <c r="B19" s="49" t="s">
        <v>1495</v>
      </c>
      <c r="C19" s="49" t="s">
        <v>1496</v>
      </c>
      <c r="D19" s="49" t="s">
        <v>1497</v>
      </c>
      <c r="E19" s="49" t="s">
        <v>1498</v>
      </c>
      <c r="F19" s="49" t="s">
        <v>182</v>
      </c>
      <c r="G19" s="49" t="s">
        <v>1458</v>
      </c>
    </row>
    <row r="20" spans="1:7">
      <c r="A20" s="49" t="s">
        <v>1499</v>
      </c>
      <c r="B20" s="49" t="s">
        <v>1500</v>
      </c>
      <c r="C20" s="49" t="s">
        <v>1501</v>
      </c>
      <c r="D20" s="49" t="s">
        <v>1502</v>
      </c>
      <c r="E20" s="49" t="s">
        <v>1503</v>
      </c>
      <c r="F20" s="49" t="s">
        <v>182</v>
      </c>
      <c r="G20" s="49" t="s">
        <v>1411</v>
      </c>
    </row>
    <row r="21" spans="1:7">
      <c r="A21" s="49" t="s">
        <v>1504</v>
      </c>
      <c r="B21" s="49" t="s">
        <v>1505</v>
      </c>
      <c r="C21" s="49" t="s">
        <v>1506</v>
      </c>
      <c r="D21" s="49" t="s">
        <v>1507</v>
      </c>
      <c r="E21" s="49" t="s">
        <v>1508</v>
      </c>
      <c r="F21" s="49" t="s">
        <v>182</v>
      </c>
      <c r="G21" s="49" t="s">
        <v>1411</v>
      </c>
    </row>
    <row r="22" spans="1:7">
      <c r="A22" s="49" t="s">
        <v>1509</v>
      </c>
      <c r="B22" s="49" t="s">
        <v>1510</v>
      </c>
      <c r="C22" s="49" t="s">
        <v>1511</v>
      </c>
      <c r="D22" s="49" t="s">
        <v>1512</v>
      </c>
      <c r="E22" s="49" t="s">
        <v>1513</v>
      </c>
      <c r="F22" s="49" t="s">
        <v>182</v>
      </c>
      <c r="G22" s="49" t="s">
        <v>1411</v>
      </c>
    </row>
    <row r="23" spans="1:7">
      <c r="A23" s="49" t="s">
        <v>1514</v>
      </c>
      <c r="B23" s="49" t="s">
        <v>1515</v>
      </c>
      <c r="C23" s="49" t="s">
        <v>1516</v>
      </c>
      <c r="D23" s="49" t="s">
        <v>1517</v>
      </c>
      <c r="E23" s="49" t="s">
        <v>1518</v>
      </c>
      <c r="F23" s="49" t="s">
        <v>182</v>
      </c>
      <c r="G23" s="49" t="s">
        <v>1411</v>
      </c>
    </row>
    <row r="24" spans="1:7">
      <c r="A24" s="49" t="s">
        <v>1519</v>
      </c>
      <c r="B24" s="49" t="s">
        <v>1520</v>
      </c>
      <c r="C24" s="49" t="s">
        <v>1521</v>
      </c>
      <c r="D24" s="49" t="s">
        <v>1522</v>
      </c>
      <c r="E24" s="49" t="s">
        <v>1523</v>
      </c>
      <c r="F24" s="49" t="s">
        <v>182</v>
      </c>
      <c r="G24" s="49" t="s">
        <v>1411</v>
      </c>
    </row>
    <row r="25" spans="1:7">
      <c r="A25" s="49" t="s">
        <v>1524</v>
      </c>
      <c r="B25" s="49" t="s">
        <v>1525</v>
      </c>
      <c r="C25" s="49" t="s">
        <v>1526</v>
      </c>
      <c r="D25" s="49" t="s">
        <v>1527</v>
      </c>
      <c r="E25" s="49" t="s">
        <v>1528</v>
      </c>
      <c r="F25" s="49" t="s">
        <v>182</v>
      </c>
      <c r="G25" s="49" t="s">
        <v>1411</v>
      </c>
    </row>
    <row r="26" spans="1:7">
      <c r="A26" s="49" t="s">
        <v>1529</v>
      </c>
      <c r="B26" s="49" t="s">
        <v>1530</v>
      </c>
      <c r="C26" s="49" t="s">
        <v>1531</v>
      </c>
      <c r="D26" s="49" t="s">
        <v>1532</v>
      </c>
      <c r="E26" s="49" t="s">
        <v>1533</v>
      </c>
      <c r="F26" s="49" t="s">
        <v>182</v>
      </c>
      <c r="G26" s="49" t="s">
        <v>1411</v>
      </c>
    </row>
    <row r="27" spans="1:7">
      <c r="A27" s="49" t="s">
        <v>1534</v>
      </c>
      <c r="B27" s="49" t="s">
        <v>1535</v>
      </c>
      <c r="C27" s="49" t="s">
        <v>1536</v>
      </c>
      <c r="D27" s="49" t="s">
        <v>1537</v>
      </c>
      <c r="E27" s="49" t="s">
        <v>1538</v>
      </c>
      <c r="F27" s="49" t="s">
        <v>182</v>
      </c>
      <c r="G27" s="49" t="s">
        <v>1411</v>
      </c>
    </row>
    <row r="28" spans="1:7">
      <c r="A28" s="49" t="s">
        <v>1539</v>
      </c>
      <c r="B28" s="49" t="s">
        <v>1540</v>
      </c>
      <c r="C28" s="49" t="s">
        <v>1541</v>
      </c>
      <c r="D28" s="49" t="s">
        <v>1542</v>
      </c>
      <c r="E28" s="49" t="s">
        <v>1543</v>
      </c>
      <c r="F28" s="49" t="s">
        <v>182</v>
      </c>
      <c r="G28" s="49" t="s">
        <v>1411</v>
      </c>
    </row>
    <row r="29" spans="1:7">
      <c r="A29" s="49" t="s">
        <v>1544</v>
      </c>
      <c r="B29" s="49" t="s">
        <v>1545</v>
      </c>
      <c r="C29" s="49" t="s">
        <v>1546</v>
      </c>
      <c r="D29" s="49" t="s">
        <v>1547</v>
      </c>
      <c r="E29" s="49" t="s">
        <v>1548</v>
      </c>
      <c r="F29" s="49" t="s">
        <v>182</v>
      </c>
      <c r="G29" s="49" t="s">
        <v>1411</v>
      </c>
    </row>
    <row r="30" spans="1:7">
      <c r="A30" s="49" t="s">
        <v>1549</v>
      </c>
      <c r="B30" s="49" t="s">
        <v>1550</v>
      </c>
      <c r="C30" s="49" t="s">
        <v>1551</v>
      </c>
      <c r="D30" s="49" t="s">
        <v>1552</v>
      </c>
      <c r="E30" s="49" t="s">
        <v>1553</v>
      </c>
      <c r="F30" s="49" t="s">
        <v>182</v>
      </c>
      <c r="G30" s="49" t="s">
        <v>1554</v>
      </c>
    </row>
    <row r="31" spans="1:7">
      <c r="A31" s="49" t="s">
        <v>1555</v>
      </c>
      <c r="B31" s="49" t="s">
        <v>1556</v>
      </c>
      <c r="C31" s="49" t="s">
        <v>1557</v>
      </c>
      <c r="D31" s="49" t="s">
        <v>1558</v>
      </c>
      <c r="E31" s="49" t="s">
        <v>1559</v>
      </c>
      <c r="F31" s="49" t="s">
        <v>182</v>
      </c>
      <c r="G31" s="49" t="s">
        <v>1411</v>
      </c>
    </row>
    <row r="32" spans="1:7">
      <c r="A32" s="49" t="s">
        <v>1560</v>
      </c>
      <c r="B32" s="49" t="s">
        <v>1561</v>
      </c>
      <c r="C32" s="49" t="s">
        <v>1562</v>
      </c>
      <c r="D32" s="49" t="s">
        <v>1563</v>
      </c>
      <c r="E32" s="49" t="s">
        <v>1564</v>
      </c>
      <c r="F32" s="49" t="s">
        <v>182</v>
      </c>
      <c r="G32" s="49" t="s">
        <v>1411</v>
      </c>
    </row>
    <row r="33" spans="1:7">
      <c r="A33" s="49" t="s">
        <v>1565</v>
      </c>
      <c r="B33" s="49" t="s">
        <v>1566</v>
      </c>
      <c r="C33" s="49" t="s">
        <v>1567</v>
      </c>
      <c r="D33" s="49" t="s">
        <v>1568</v>
      </c>
      <c r="E33" s="49" t="s">
        <v>1569</v>
      </c>
      <c r="F33" s="49" t="s">
        <v>182</v>
      </c>
      <c r="G33" s="49" t="s">
        <v>1411</v>
      </c>
    </row>
    <row r="34" spans="1:7">
      <c r="A34" s="49" t="s">
        <v>1570</v>
      </c>
      <c r="B34" s="49" t="s">
        <v>1571</v>
      </c>
      <c r="C34" s="49" t="s">
        <v>1572</v>
      </c>
      <c r="D34" s="49" t="s">
        <v>1573</v>
      </c>
      <c r="E34" s="49" t="s">
        <v>1574</v>
      </c>
      <c r="F34" s="49" t="s">
        <v>182</v>
      </c>
      <c r="G34" s="49" t="s">
        <v>1575</v>
      </c>
    </row>
    <row r="35" spans="1:7">
      <c r="A35" s="49" t="s">
        <v>1576</v>
      </c>
      <c r="B35" s="49" t="s">
        <v>1577</v>
      </c>
      <c r="C35" s="49" t="s">
        <v>1578</v>
      </c>
      <c r="D35" s="49" t="s">
        <v>1579</v>
      </c>
      <c r="E35" s="49" t="s">
        <v>1580</v>
      </c>
      <c r="F35" s="49" t="s">
        <v>182</v>
      </c>
      <c r="G35" s="49" t="s">
        <v>1411</v>
      </c>
    </row>
    <row r="36" spans="1:7">
      <c r="A36" s="49" t="s">
        <v>1581</v>
      </c>
      <c r="B36" s="49" t="s">
        <v>1582</v>
      </c>
      <c r="C36" s="49" t="s">
        <v>1583</v>
      </c>
      <c r="D36" s="49" t="s">
        <v>1584</v>
      </c>
      <c r="E36" s="49" t="s">
        <v>1585</v>
      </c>
      <c r="F36" s="49" t="s">
        <v>182</v>
      </c>
      <c r="G36" s="49" t="s">
        <v>1411</v>
      </c>
    </row>
    <row r="37" spans="1:7">
      <c r="A37" s="49" t="s">
        <v>1586</v>
      </c>
      <c r="B37" s="49" t="s">
        <v>1587</v>
      </c>
      <c r="C37" s="49" t="s">
        <v>1588</v>
      </c>
      <c r="D37" s="49" t="s">
        <v>1589</v>
      </c>
      <c r="E37" s="49" t="s">
        <v>1590</v>
      </c>
      <c r="F37" s="49" t="s">
        <v>182</v>
      </c>
      <c r="G37" s="49" t="s">
        <v>1411</v>
      </c>
    </row>
    <row r="38" spans="1:7">
      <c r="A38" s="49" t="s">
        <v>1591</v>
      </c>
      <c r="B38" s="49" t="s">
        <v>1592</v>
      </c>
      <c r="C38" s="49" t="s">
        <v>1593</v>
      </c>
      <c r="D38" s="49" t="s">
        <v>1594</v>
      </c>
      <c r="E38" s="49" t="s">
        <v>1595</v>
      </c>
      <c r="F38" s="49" t="s">
        <v>182</v>
      </c>
      <c r="G38" s="49" t="s">
        <v>1411</v>
      </c>
    </row>
    <row r="39" spans="1:7">
      <c r="A39" s="49" t="s">
        <v>1596</v>
      </c>
      <c r="B39" s="49" t="s">
        <v>1597</v>
      </c>
      <c r="C39" s="49" t="s">
        <v>1598</v>
      </c>
      <c r="D39" s="49" t="s">
        <v>1599</v>
      </c>
      <c r="E39" s="49" t="s">
        <v>1600</v>
      </c>
      <c r="F39" s="49" t="s">
        <v>182</v>
      </c>
      <c r="G39" s="49" t="s">
        <v>1411</v>
      </c>
    </row>
    <row r="40" spans="1:7">
      <c r="A40" s="49" t="s">
        <v>1601</v>
      </c>
      <c r="B40" s="49" t="s">
        <v>1602</v>
      </c>
      <c r="C40" s="49" t="s">
        <v>1603</v>
      </c>
      <c r="D40" s="49" t="s">
        <v>1604</v>
      </c>
      <c r="E40" s="49" t="s">
        <v>1605</v>
      </c>
      <c r="F40" s="49" t="s">
        <v>182</v>
      </c>
      <c r="G40" s="49" t="s">
        <v>1411</v>
      </c>
    </row>
    <row r="41" spans="1:7">
      <c r="A41" s="49" t="s">
        <v>1606</v>
      </c>
      <c r="B41" s="49" t="s">
        <v>1607</v>
      </c>
      <c r="C41" s="49" t="s">
        <v>1608</v>
      </c>
      <c r="D41" s="49" t="s">
        <v>1609</v>
      </c>
      <c r="E41" s="49" t="s">
        <v>1610</v>
      </c>
      <c r="F41" s="49" t="s">
        <v>182</v>
      </c>
      <c r="G41" s="49" t="s">
        <v>1411</v>
      </c>
    </row>
    <row r="42" spans="1:7">
      <c r="A42" s="49" t="s">
        <v>1611</v>
      </c>
      <c r="B42" s="49" t="s">
        <v>1612</v>
      </c>
      <c r="C42" s="49" t="s">
        <v>1613</v>
      </c>
      <c r="D42" s="49" t="s">
        <v>1614</v>
      </c>
      <c r="E42" s="49" t="s">
        <v>1615</v>
      </c>
      <c r="F42" s="49" t="s">
        <v>182</v>
      </c>
      <c r="G42" s="49" t="s">
        <v>1411</v>
      </c>
    </row>
    <row r="43" spans="1:7">
      <c r="A43" s="49" t="s">
        <v>1616</v>
      </c>
      <c r="B43" s="49" t="s">
        <v>1617</v>
      </c>
      <c r="C43" s="49" t="s">
        <v>1618</v>
      </c>
      <c r="D43" s="49" t="s">
        <v>1619</v>
      </c>
      <c r="E43" s="49" t="s">
        <v>1620</v>
      </c>
      <c r="F43" s="49" t="s">
        <v>182</v>
      </c>
      <c r="G43" s="49" t="s">
        <v>1621</v>
      </c>
    </row>
    <row r="44" spans="1:7">
      <c r="A44" s="49" t="s">
        <v>1622</v>
      </c>
      <c r="B44" s="49" t="s">
        <v>1623</v>
      </c>
      <c r="C44" s="49" t="s">
        <v>1624</v>
      </c>
      <c r="D44" s="49" t="s">
        <v>1625</v>
      </c>
      <c r="E44" s="49" t="s">
        <v>1626</v>
      </c>
      <c r="F44" s="49" t="s">
        <v>182</v>
      </c>
      <c r="G44" s="49" t="s">
        <v>1411</v>
      </c>
    </row>
    <row r="45" spans="1:7">
      <c r="A45" s="49" t="s">
        <v>1627</v>
      </c>
      <c r="B45" s="49" t="s">
        <v>1628</v>
      </c>
      <c r="C45" s="49" t="s">
        <v>1629</v>
      </c>
      <c r="D45" s="49" t="s">
        <v>1630</v>
      </c>
      <c r="E45" s="49" t="s">
        <v>1631</v>
      </c>
      <c r="F45" s="49" t="s">
        <v>182</v>
      </c>
      <c r="G45" s="49" t="s">
        <v>1411</v>
      </c>
    </row>
    <row r="46" spans="1:7">
      <c r="A46" s="49" t="s">
        <v>1632</v>
      </c>
      <c r="B46" s="49" t="s">
        <v>1633</v>
      </c>
      <c r="C46" s="49" t="s">
        <v>1634</v>
      </c>
      <c r="D46" s="49" t="s">
        <v>1635</v>
      </c>
      <c r="E46" s="49" t="s">
        <v>1636</v>
      </c>
      <c r="F46" s="49" t="s">
        <v>182</v>
      </c>
      <c r="G46" s="49" t="s">
        <v>1411</v>
      </c>
    </row>
    <row r="47" spans="1:7">
      <c r="A47" s="49" t="s">
        <v>1637</v>
      </c>
      <c r="B47" s="49" t="s">
        <v>1638</v>
      </c>
      <c r="C47" s="49" t="s">
        <v>1639</v>
      </c>
      <c r="D47" s="49" t="s">
        <v>1640</v>
      </c>
      <c r="E47" s="49" t="s">
        <v>1641</v>
      </c>
      <c r="F47" s="49" t="s">
        <v>182</v>
      </c>
      <c r="G47" s="49" t="s">
        <v>1411</v>
      </c>
    </row>
    <row r="48" spans="1:7">
      <c r="A48" s="49" t="s">
        <v>1642</v>
      </c>
      <c r="B48" s="49" t="s">
        <v>1643</v>
      </c>
      <c r="C48" s="49" t="s">
        <v>1644</v>
      </c>
      <c r="D48" s="49" t="s">
        <v>1645</v>
      </c>
      <c r="E48" s="49" t="s">
        <v>1646</v>
      </c>
      <c r="F48" s="49" t="s">
        <v>182</v>
      </c>
      <c r="G48" s="49" t="s">
        <v>1411</v>
      </c>
    </row>
    <row r="49" spans="1:7">
      <c r="A49" s="49" t="s">
        <v>1647</v>
      </c>
      <c r="B49" s="49" t="s">
        <v>1648</v>
      </c>
      <c r="C49" s="49" t="s">
        <v>1649</v>
      </c>
      <c r="D49" s="49" t="s">
        <v>1650</v>
      </c>
      <c r="E49" s="49" t="s">
        <v>1651</v>
      </c>
      <c r="F49" s="49" t="s">
        <v>182</v>
      </c>
      <c r="G49" s="49" t="s">
        <v>1411</v>
      </c>
    </row>
    <row r="50" spans="1:7">
      <c r="A50" s="49" t="s">
        <v>1652</v>
      </c>
      <c r="B50" s="49" t="s">
        <v>1653</v>
      </c>
      <c r="C50" s="49" t="s">
        <v>1654</v>
      </c>
      <c r="D50" s="49" t="s">
        <v>1655</v>
      </c>
      <c r="E50" s="49" t="s">
        <v>1656</v>
      </c>
      <c r="F50" s="49" t="s">
        <v>182</v>
      </c>
      <c r="G50" s="49" t="s">
        <v>1411</v>
      </c>
    </row>
    <row r="51" spans="1:7">
      <c r="A51" s="49" t="s">
        <v>1657</v>
      </c>
      <c r="B51" s="49" t="s">
        <v>1658</v>
      </c>
      <c r="C51" s="49" t="s">
        <v>1659</v>
      </c>
      <c r="D51" s="49" t="s">
        <v>1660</v>
      </c>
      <c r="E51" s="49" t="s">
        <v>1661</v>
      </c>
      <c r="F51" s="49" t="s">
        <v>182</v>
      </c>
      <c r="G51" s="49" t="s">
        <v>1554</v>
      </c>
    </row>
    <row r="52" spans="1:7">
      <c r="A52" s="49" t="s">
        <v>1662</v>
      </c>
      <c r="B52" s="49" t="s">
        <v>1663</v>
      </c>
      <c r="C52" s="49" t="s">
        <v>1664</v>
      </c>
      <c r="D52" s="49" t="s">
        <v>1665</v>
      </c>
      <c r="E52" s="49" t="s">
        <v>1666</v>
      </c>
      <c r="F52" s="49" t="s">
        <v>182</v>
      </c>
      <c r="G52" s="49" t="s">
        <v>1411</v>
      </c>
    </row>
    <row r="53" spans="1:7">
      <c r="A53" s="49" t="s">
        <v>1667</v>
      </c>
      <c r="B53" s="49" t="s">
        <v>1668</v>
      </c>
      <c r="C53" s="49" t="s">
        <v>1669</v>
      </c>
      <c r="D53" s="49" t="s">
        <v>1670</v>
      </c>
      <c r="E53" s="49" t="s">
        <v>1671</v>
      </c>
      <c r="F53" s="49" t="s">
        <v>182</v>
      </c>
      <c r="G53" s="49" t="s">
        <v>1554</v>
      </c>
    </row>
    <row r="54" spans="1:7">
      <c r="A54" s="49" t="s">
        <v>1672</v>
      </c>
      <c r="B54" s="49" t="s">
        <v>1673</v>
      </c>
      <c r="C54" s="49" t="s">
        <v>1674</v>
      </c>
      <c r="D54" s="49" t="s">
        <v>1675</v>
      </c>
      <c r="E54" s="49" t="s">
        <v>1676</v>
      </c>
      <c r="F54" s="49" t="s">
        <v>182</v>
      </c>
      <c r="G54" s="49" t="s">
        <v>1411</v>
      </c>
    </row>
    <row r="55" spans="1:7">
      <c r="A55" s="49" t="s">
        <v>1677</v>
      </c>
      <c r="B55" s="49" t="s">
        <v>1678</v>
      </c>
      <c r="C55" s="49" t="s">
        <v>1679</v>
      </c>
      <c r="D55" s="49" t="s">
        <v>1680</v>
      </c>
      <c r="E55" s="49" t="s">
        <v>1681</v>
      </c>
      <c r="F55" s="49" t="s">
        <v>182</v>
      </c>
      <c r="G55" s="49" t="s">
        <v>1411</v>
      </c>
    </row>
    <row r="56" spans="1:7">
      <c r="A56" s="49" t="s">
        <v>1682</v>
      </c>
      <c r="B56" s="49" t="s">
        <v>1683</v>
      </c>
      <c r="C56" s="49" t="s">
        <v>1684</v>
      </c>
      <c r="D56" s="49" t="s">
        <v>1685</v>
      </c>
      <c r="E56" s="49" t="s">
        <v>1686</v>
      </c>
      <c r="F56" s="49" t="s">
        <v>182</v>
      </c>
      <c r="G56" s="49" t="s">
        <v>1554</v>
      </c>
    </row>
    <row r="57" spans="1:7">
      <c r="A57" s="49" t="s">
        <v>1687</v>
      </c>
      <c r="B57" s="49" t="s">
        <v>1688</v>
      </c>
      <c r="C57" s="49" t="s">
        <v>1689</v>
      </c>
      <c r="D57" s="49" t="s">
        <v>1690</v>
      </c>
      <c r="E57" s="49" t="s">
        <v>1691</v>
      </c>
      <c r="F57" s="49" t="s">
        <v>182</v>
      </c>
      <c r="G57" s="49" t="s">
        <v>1411</v>
      </c>
    </row>
    <row r="58" spans="1:7">
      <c r="A58" s="49" t="s">
        <v>1692</v>
      </c>
      <c r="B58" s="49" t="s">
        <v>1693</v>
      </c>
      <c r="C58" s="49" t="s">
        <v>1694</v>
      </c>
      <c r="D58" s="49" t="s">
        <v>1695</v>
      </c>
      <c r="E58" s="49" t="s">
        <v>1696</v>
      </c>
      <c r="F58" s="49" t="s">
        <v>182</v>
      </c>
      <c r="G58" s="49" t="s">
        <v>1411</v>
      </c>
    </row>
    <row r="59" spans="1:7">
      <c r="A59" s="49" t="s">
        <v>1697</v>
      </c>
      <c r="B59" s="49" t="s">
        <v>1698</v>
      </c>
      <c r="C59" s="49" t="s">
        <v>1699</v>
      </c>
      <c r="D59" s="49" t="s">
        <v>1700</v>
      </c>
      <c r="E59" s="49" t="s">
        <v>1701</v>
      </c>
      <c r="F59" s="49" t="s">
        <v>182</v>
      </c>
      <c r="G59" s="49" t="s">
        <v>1411</v>
      </c>
    </row>
    <row r="60" spans="1:7">
      <c r="A60" s="49" t="s">
        <v>1702</v>
      </c>
      <c r="B60" s="49" t="s">
        <v>1703</v>
      </c>
      <c r="C60" s="49" t="s">
        <v>1704</v>
      </c>
      <c r="D60" s="49" t="s">
        <v>1705</v>
      </c>
      <c r="E60" s="49" t="s">
        <v>1706</v>
      </c>
      <c r="F60" s="49" t="s">
        <v>182</v>
      </c>
      <c r="G60" s="49" t="s">
        <v>1411</v>
      </c>
    </row>
    <row r="61" spans="1:7">
      <c r="A61" s="49" t="s">
        <v>1707</v>
      </c>
      <c r="B61" s="49" t="s">
        <v>1708</v>
      </c>
      <c r="C61" s="49" t="s">
        <v>1709</v>
      </c>
      <c r="D61" s="49" t="s">
        <v>1710</v>
      </c>
      <c r="E61" s="49" t="s">
        <v>1711</v>
      </c>
      <c r="F61" s="49" t="s">
        <v>182</v>
      </c>
      <c r="G61" s="49" t="s">
        <v>1411</v>
      </c>
    </row>
    <row r="62" spans="1:7">
      <c r="A62" s="49" t="s">
        <v>1712</v>
      </c>
      <c r="B62" s="49" t="s">
        <v>1713</v>
      </c>
      <c r="C62" s="49" t="s">
        <v>1714</v>
      </c>
      <c r="D62" s="49" t="s">
        <v>1715</v>
      </c>
      <c r="E62" s="49" t="s">
        <v>1716</v>
      </c>
      <c r="F62" s="49" t="s">
        <v>182</v>
      </c>
      <c r="G62" s="49" t="s">
        <v>1411</v>
      </c>
    </row>
    <row r="63" spans="1:7">
      <c r="A63" s="49" t="s">
        <v>1717</v>
      </c>
      <c r="B63" s="49" t="s">
        <v>1718</v>
      </c>
      <c r="C63" s="49" t="s">
        <v>1719</v>
      </c>
      <c r="D63" s="49" t="s">
        <v>1720</v>
      </c>
      <c r="E63" s="49" t="s">
        <v>1721</v>
      </c>
      <c r="F63" s="49" t="s">
        <v>182</v>
      </c>
      <c r="G63" s="49" t="s">
        <v>1621</v>
      </c>
    </row>
    <row r="64" spans="1:7">
      <c r="A64" s="49" t="s">
        <v>1722</v>
      </c>
      <c r="B64" s="49" t="s">
        <v>1723</v>
      </c>
      <c r="C64" s="49" t="s">
        <v>1724</v>
      </c>
      <c r="D64" s="49" t="s">
        <v>1725</v>
      </c>
      <c r="E64" s="49" t="s">
        <v>1726</v>
      </c>
      <c r="F64" s="49" t="s">
        <v>182</v>
      </c>
      <c r="G64" s="49" t="s">
        <v>1411</v>
      </c>
    </row>
    <row r="65" spans="1:7">
      <c r="A65" s="49" t="s">
        <v>1727</v>
      </c>
      <c r="B65" s="49" t="s">
        <v>1728</v>
      </c>
      <c r="C65" s="49" t="s">
        <v>1729</v>
      </c>
      <c r="D65" s="49" t="s">
        <v>1730</v>
      </c>
      <c r="E65" s="49" t="s">
        <v>1731</v>
      </c>
      <c r="F65" s="49" t="s">
        <v>182</v>
      </c>
      <c r="G65" s="49" t="s">
        <v>1554</v>
      </c>
    </row>
    <row r="66" spans="1:7">
      <c r="A66" s="49" t="s">
        <v>1732</v>
      </c>
      <c r="B66" s="49" t="s">
        <v>1733</v>
      </c>
      <c r="C66" s="49" t="s">
        <v>1734</v>
      </c>
      <c r="D66" s="49" t="s">
        <v>1735</v>
      </c>
      <c r="E66" s="49" t="s">
        <v>1736</v>
      </c>
      <c r="F66" s="49" t="s">
        <v>182</v>
      </c>
      <c r="G66" s="49" t="s">
        <v>1411</v>
      </c>
    </row>
    <row r="67" spans="1:7">
      <c r="A67" s="49" t="s">
        <v>1737</v>
      </c>
      <c r="B67" s="49" t="s">
        <v>1738</v>
      </c>
      <c r="C67" s="49" t="s">
        <v>1739</v>
      </c>
      <c r="D67" s="49" t="s">
        <v>1740</v>
      </c>
      <c r="E67" s="49" t="s">
        <v>1741</v>
      </c>
      <c r="F67" s="49" t="s">
        <v>182</v>
      </c>
      <c r="G67" s="49" t="s">
        <v>1411</v>
      </c>
    </row>
    <row r="68" spans="1:7">
      <c r="A68" s="49" t="s">
        <v>1742</v>
      </c>
      <c r="B68" s="49" t="s">
        <v>1743</v>
      </c>
      <c r="C68" s="49" t="s">
        <v>1744</v>
      </c>
      <c r="D68" s="49" t="s">
        <v>1745</v>
      </c>
      <c r="E68" s="49" t="s">
        <v>1746</v>
      </c>
      <c r="F68" s="49" t="s">
        <v>182</v>
      </c>
      <c r="G68" s="49" t="s">
        <v>1411</v>
      </c>
    </row>
    <row r="69" spans="1:7">
      <c r="A69" s="49" t="s">
        <v>1747</v>
      </c>
      <c r="B69" s="49" t="s">
        <v>1748</v>
      </c>
      <c r="C69" s="49" t="s">
        <v>1749</v>
      </c>
      <c r="D69" s="49" t="s">
        <v>1750</v>
      </c>
      <c r="E69" s="49" t="s">
        <v>1751</v>
      </c>
      <c r="F69" s="49" t="s">
        <v>182</v>
      </c>
      <c r="G69" s="49" t="s">
        <v>1411</v>
      </c>
    </row>
    <row r="70" spans="1:7">
      <c r="A70" s="49" t="s">
        <v>1752</v>
      </c>
      <c r="B70" s="49" t="s">
        <v>1753</v>
      </c>
      <c r="C70" s="49" t="s">
        <v>1754</v>
      </c>
      <c r="D70" s="49" t="s">
        <v>1755</v>
      </c>
      <c r="E70" s="49" t="s">
        <v>1756</v>
      </c>
      <c r="F70" s="49" t="s">
        <v>182</v>
      </c>
      <c r="G70" s="49" t="s">
        <v>1411</v>
      </c>
    </row>
    <row r="71" spans="1:7">
      <c r="A71" s="49" t="s">
        <v>1757</v>
      </c>
      <c r="B71" s="49" t="s">
        <v>1758</v>
      </c>
      <c r="C71" s="49" t="s">
        <v>1759</v>
      </c>
      <c r="D71" s="49" t="s">
        <v>1760</v>
      </c>
      <c r="E71" s="49" t="s">
        <v>1761</v>
      </c>
      <c r="F71" s="49" t="s">
        <v>182</v>
      </c>
      <c r="G71" s="49" t="s">
        <v>1411</v>
      </c>
    </row>
    <row r="72" spans="1:7">
      <c r="A72" s="49" t="s">
        <v>1762</v>
      </c>
      <c r="B72" s="49" t="s">
        <v>1763</v>
      </c>
      <c r="C72" s="49" t="s">
        <v>1764</v>
      </c>
      <c r="D72" s="49" t="s">
        <v>1765</v>
      </c>
      <c r="E72" s="49" t="s">
        <v>1766</v>
      </c>
      <c r="F72" s="49" t="s">
        <v>182</v>
      </c>
      <c r="G72" s="49" t="s">
        <v>1411</v>
      </c>
    </row>
    <row r="73" spans="1:7">
      <c r="A73" s="49" t="s">
        <v>1767</v>
      </c>
      <c r="B73" s="49" t="s">
        <v>1768</v>
      </c>
      <c r="C73" s="49" t="s">
        <v>1769</v>
      </c>
      <c r="D73" s="49" t="s">
        <v>1770</v>
      </c>
      <c r="E73" s="49" t="s">
        <v>1771</v>
      </c>
      <c r="F73" s="49" t="s">
        <v>182</v>
      </c>
      <c r="G73" s="49" t="s">
        <v>1411</v>
      </c>
    </row>
    <row r="74" spans="1:7">
      <c r="A74" s="49" t="s">
        <v>1772</v>
      </c>
      <c r="B74" s="49" t="s">
        <v>1773</v>
      </c>
      <c r="C74" s="49" t="s">
        <v>1774</v>
      </c>
      <c r="D74" s="49" t="s">
        <v>1775</v>
      </c>
      <c r="E74" s="49" t="s">
        <v>1776</v>
      </c>
      <c r="F74" s="49" t="s">
        <v>182</v>
      </c>
      <c r="G74" s="49" t="s">
        <v>1411</v>
      </c>
    </row>
    <row r="75" spans="1:7">
      <c r="A75" s="49" t="s">
        <v>1777</v>
      </c>
      <c r="B75" s="49" t="s">
        <v>1778</v>
      </c>
      <c r="C75" s="49" t="s">
        <v>1779</v>
      </c>
      <c r="D75" s="49" t="s">
        <v>1780</v>
      </c>
      <c r="E75" s="49" t="s">
        <v>1781</v>
      </c>
      <c r="F75" s="49" t="s">
        <v>182</v>
      </c>
      <c r="G75" s="49" t="s">
        <v>1411</v>
      </c>
    </row>
    <row r="76" spans="1:7">
      <c r="A76" s="49" t="s">
        <v>1782</v>
      </c>
      <c r="B76" s="49" t="s">
        <v>1783</v>
      </c>
      <c r="C76" s="49" t="s">
        <v>1784</v>
      </c>
      <c r="D76" s="49" t="s">
        <v>1785</v>
      </c>
      <c r="E76" s="49" t="s">
        <v>1786</v>
      </c>
      <c r="F76" s="49" t="s">
        <v>182</v>
      </c>
      <c r="G76" s="49" t="s">
        <v>1787</v>
      </c>
    </row>
    <row r="77" spans="1:7">
      <c r="A77" s="49" t="s">
        <v>1788</v>
      </c>
      <c r="B77" s="49" t="s">
        <v>1789</v>
      </c>
      <c r="C77" s="49" t="s">
        <v>1790</v>
      </c>
      <c r="D77" s="49" t="s">
        <v>1791</v>
      </c>
      <c r="E77" s="49" t="s">
        <v>1792</v>
      </c>
      <c r="F77" s="49" t="s">
        <v>182</v>
      </c>
      <c r="G77" s="49" t="s">
        <v>1411</v>
      </c>
    </row>
    <row r="78" spans="1:7">
      <c r="A78" s="49" t="s">
        <v>1793</v>
      </c>
      <c r="B78" s="49" t="s">
        <v>1794</v>
      </c>
      <c r="C78" s="49" t="s">
        <v>1795</v>
      </c>
      <c r="D78" s="49" t="s">
        <v>1796</v>
      </c>
      <c r="E78" s="49" t="s">
        <v>1797</v>
      </c>
      <c r="F78" s="49" t="s">
        <v>182</v>
      </c>
      <c r="G78" s="49" t="s">
        <v>1411</v>
      </c>
    </row>
    <row r="79" spans="1:7">
      <c r="A79" s="49" t="s">
        <v>1798</v>
      </c>
      <c r="B79" s="49" t="s">
        <v>1799</v>
      </c>
      <c r="C79" s="49" t="s">
        <v>1800</v>
      </c>
      <c r="D79" s="49" t="s">
        <v>1801</v>
      </c>
      <c r="E79" s="49" t="s">
        <v>1802</v>
      </c>
      <c r="F79" s="49" t="s">
        <v>182</v>
      </c>
      <c r="G79" s="49" t="s">
        <v>1803</v>
      </c>
    </row>
    <row r="80" spans="1:7">
      <c r="A80" s="49" t="s">
        <v>1804</v>
      </c>
      <c r="B80" s="49" t="s">
        <v>1805</v>
      </c>
      <c r="C80" s="49" t="s">
        <v>1806</v>
      </c>
      <c r="D80" s="49" t="s">
        <v>1807</v>
      </c>
      <c r="E80" s="49" t="s">
        <v>1808</v>
      </c>
      <c r="F80" s="49" t="s">
        <v>182</v>
      </c>
      <c r="G80" s="49" t="s">
        <v>1411</v>
      </c>
    </row>
    <row r="81" spans="1:7">
      <c r="A81" s="49" t="s">
        <v>1809</v>
      </c>
      <c r="B81" s="49" t="s">
        <v>1810</v>
      </c>
      <c r="C81" s="49" t="s">
        <v>1811</v>
      </c>
      <c r="D81" s="49" t="s">
        <v>1812</v>
      </c>
      <c r="E81" s="49" t="s">
        <v>1813</v>
      </c>
      <c r="F81" s="49" t="s">
        <v>182</v>
      </c>
      <c r="G81" s="49" t="s">
        <v>1411</v>
      </c>
    </row>
    <row r="82" spans="1:7">
      <c r="A82" s="49" t="s">
        <v>1814</v>
      </c>
      <c r="B82" s="49" t="s">
        <v>1815</v>
      </c>
      <c r="C82" s="49" t="s">
        <v>1816</v>
      </c>
      <c r="D82" s="49" t="s">
        <v>1817</v>
      </c>
      <c r="E82" s="49" t="s">
        <v>1818</v>
      </c>
      <c r="F82" s="49" t="s">
        <v>182</v>
      </c>
      <c r="G82" s="49" t="s">
        <v>1411</v>
      </c>
    </row>
    <row r="83" spans="1:7">
      <c r="A83" s="49" t="s">
        <v>1819</v>
      </c>
      <c r="B83" s="49" t="s">
        <v>1820</v>
      </c>
      <c r="C83" s="49" t="s">
        <v>1821</v>
      </c>
      <c r="D83" s="49" t="s">
        <v>1822</v>
      </c>
      <c r="E83" s="49" t="s">
        <v>1823</v>
      </c>
      <c r="F83" s="49" t="s">
        <v>182</v>
      </c>
      <c r="G83" s="49" t="s">
        <v>1411</v>
      </c>
    </row>
    <row r="84" spans="1:7">
      <c r="A84" s="49" t="s">
        <v>1824</v>
      </c>
      <c r="B84" s="49" t="s">
        <v>1825</v>
      </c>
      <c r="C84" s="49" t="s">
        <v>1826</v>
      </c>
      <c r="D84" s="49" t="s">
        <v>1827</v>
      </c>
      <c r="E84" s="49" t="s">
        <v>1828</v>
      </c>
      <c r="F84" s="49" t="s">
        <v>182</v>
      </c>
      <c r="G84" s="49" t="s">
        <v>1411</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8"/>
  <dimension ref="A1:O1000"/>
  <sheetViews>
    <sheetView workbookViewId="0"/>
  </sheetViews>
  <sheetFormatPr baseColWidth="10" defaultColWidth="9.140625" defaultRowHeight="15"/>
  <cols>
    <col min="1" max="1" width="18" customWidth="1"/>
    <col min="2" max="2" width="12" customWidth="1"/>
    <col min="3" max="3" width="25" customWidth="1"/>
    <col min="4" max="4" width="30" customWidth="1"/>
    <col min="5" max="5" width="15" customWidth="1"/>
    <col min="6" max="6" width="35" customWidth="1"/>
    <col min="7" max="7" width="18" customWidth="1"/>
    <col min="10" max="10" width="40" customWidth="1"/>
    <col min="11" max="11" width="18" customWidth="1"/>
  </cols>
  <sheetData>
    <row r="1" spans="1:15" ht="30" customHeight="1">
      <c r="A1" s="48" t="s">
        <v>1829</v>
      </c>
      <c r="B1" s="48" t="s">
        <v>1300</v>
      </c>
      <c r="C1" s="48" t="s">
        <v>1301</v>
      </c>
      <c r="D1" s="48" t="s">
        <v>1830</v>
      </c>
      <c r="E1" s="48" t="s">
        <v>1400</v>
      </c>
      <c r="F1" s="48" t="s">
        <v>1831</v>
      </c>
      <c r="G1" s="48" t="s">
        <v>1348</v>
      </c>
      <c r="H1" s="48" t="s">
        <v>1832</v>
      </c>
      <c r="I1" s="48" t="s">
        <v>1833</v>
      </c>
      <c r="J1" s="48" t="s">
        <v>1834</v>
      </c>
      <c r="K1" s="48" t="s">
        <v>1835</v>
      </c>
      <c r="L1" s="48" t="s">
        <v>1836</v>
      </c>
      <c r="M1" s="48" t="s">
        <v>1837</v>
      </c>
      <c r="N1" s="48" t="s">
        <v>1838</v>
      </c>
      <c r="O1" s="48" t="s">
        <v>1839</v>
      </c>
    </row>
    <row r="2" spans="1:15">
      <c r="A2" t="s">
        <v>1840</v>
      </c>
      <c r="B2" t="s">
        <v>1313</v>
      </c>
      <c r="C2" t="s">
        <v>1314</v>
      </c>
      <c r="D2" t="s">
        <v>1841</v>
      </c>
      <c r="E2" t="s">
        <v>1464</v>
      </c>
      <c r="F2" t="s">
        <v>1842</v>
      </c>
      <c r="G2">
        <v>4</v>
      </c>
      <c r="H2">
        <v>4</v>
      </c>
      <c r="I2">
        <f t="shared" ref="I2:I65" si="0">IF(AND(G2&lt;&gt;"", H2&lt;&gt;""), G2*H2, "")</f>
        <v>16</v>
      </c>
      <c r="J2" t="s">
        <v>1843</v>
      </c>
      <c r="K2">
        <v>2</v>
      </c>
      <c r="L2">
        <v>3</v>
      </c>
      <c r="M2">
        <f t="shared" ref="M2:M65" si="1">IF(AND(K2&lt;&gt;"", L2&lt;&gt;""), K2*L2, "")</f>
        <v>6</v>
      </c>
      <c r="N2" t="s">
        <v>1844</v>
      </c>
      <c r="O2" t="s">
        <v>59</v>
      </c>
    </row>
    <row r="3" spans="1:15">
      <c r="A3" t="s">
        <v>1845</v>
      </c>
      <c r="B3" t="s">
        <v>1324</v>
      </c>
      <c r="C3" t="s">
        <v>1325</v>
      </c>
      <c r="D3" t="s">
        <v>1846</v>
      </c>
      <c r="E3" t="s">
        <v>1448</v>
      </c>
      <c r="F3" t="s">
        <v>1847</v>
      </c>
      <c r="G3">
        <v>3</v>
      </c>
      <c r="H3">
        <v>5</v>
      </c>
      <c r="I3">
        <f t="shared" si="0"/>
        <v>15</v>
      </c>
      <c r="J3" t="s">
        <v>1848</v>
      </c>
      <c r="K3">
        <v>1</v>
      </c>
      <c r="L3">
        <v>4</v>
      </c>
      <c r="M3">
        <f t="shared" si="1"/>
        <v>4</v>
      </c>
      <c r="N3" t="s">
        <v>1849</v>
      </c>
      <c r="O3" t="s">
        <v>59</v>
      </c>
    </row>
    <row r="4" spans="1:15">
      <c r="I4" t="str">
        <f t="shared" si="0"/>
        <v/>
      </c>
      <c r="M4" t="str">
        <f t="shared" si="1"/>
        <v/>
      </c>
    </row>
    <row r="5" spans="1:15">
      <c r="I5" t="str">
        <f t="shared" si="0"/>
        <v/>
      </c>
      <c r="M5" t="str">
        <f t="shared" si="1"/>
        <v/>
      </c>
    </row>
    <row r="6" spans="1:15">
      <c r="I6" t="str">
        <f t="shared" si="0"/>
        <v/>
      </c>
      <c r="M6" t="str">
        <f t="shared" si="1"/>
        <v/>
      </c>
    </row>
    <row r="7" spans="1:15">
      <c r="I7" t="str">
        <f t="shared" si="0"/>
        <v/>
      </c>
      <c r="M7" t="str">
        <f t="shared" si="1"/>
        <v/>
      </c>
    </row>
    <row r="8" spans="1:15">
      <c r="I8" t="str">
        <f t="shared" si="0"/>
        <v/>
      </c>
      <c r="M8" t="str">
        <f t="shared" si="1"/>
        <v/>
      </c>
    </row>
    <row r="9" spans="1:15">
      <c r="I9" t="str">
        <f t="shared" si="0"/>
        <v/>
      </c>
      <c r="M9" t="str">
        <f t="shared" si="1"/>
        <v/>
      </c>
    </row>
    <row r="10" spans="1:15">
      <c r="I10" t="str">
        <f t="shared" si="0"/>
        <v/>
      </c>
      <c r="M10" t="str">
        <f t="shared" si="1"/>
        <v/>
      </c>
    </row>
    <row r="11" spans="1:15">
      <c r="I11" t="str">
        <f t="shared" si="0"/>
        <v/>
      </c>
      <c r="M11" t="str">
        <f t="shared" si="1"/>
        <v/>
      </c>
    </row>
    <row r="12" spans="1:15">
      <c r="I12" t="str">
        <f t="shared" si="0"/>
        <v/>
      </c>
      <c r="M12" t="str">
        <f t="shared" si="1"/>
        <v/>
      </c>
    </row>
    <row r="13" spans="1:15">
      <c r="I13" t="str">
        <f t="shared" si="0"/>
        <v/>
      </c>
      <c r="M13" t="str">
        <f t="shared" si="1"/>
        <v/>
      </c>
    </row>
    <row r="14" spans="1:15">
      <c r="I14" t="str">
        <f t="shared" si="0"/>
        <v/>
      </c>
      <c r="M14" t="str">
        <f t="shared" si="1"/>
        <v/>
      </c>
    </row>
    <row r="15" spans="1:15">
      <c r="I15" t="str">
        <f t="shared" si="0"/>
        <v/>
      </c>
      <c r="M15" t="str">
        <f t="shared" si="1"/>
        <v/>
      </c>
    </row>
    <row r="16" spans="1:15">
      <c r="I16" t="str">
        <f t="shared" si="0"/>
        <v/>
      </c>
      <c r="M16" t="str">
        <f t="shared" si="1"/>
        <v/>
      </c>
    </row>
    <row r="17" spans="9:13">
      <c r="I17" t="str">
        <f t="shared" si="0"/>
        <v/>
      </c>
      <c r="M17" t="str">
        <f t="shared" si="1"/>
        <v/>
      </c>
    </row>
    <row r="18" spans="9:13">
      <c r="I18" t="str">
        <f t="shared" si="0"/>
        <v/>
      </c>
      <c r="M18" t="str">
        <f t="shared" si="1"/>
        <v/>
      </c>
    </row>
    <row r="19" spans="9:13">
      <c r="I19" t="str">
        <f t="shared" si="0"/>
        <v/>
      </c>
      <c r="M19" t="str">
        <f t="shared" si="1"/>
        <v/>
      </c>
    </row>
    <row r="20" spans="9:13">
      <c r="I20" t="str">
        <f t="shared" si="0"/>
        <v/>
      </c>
      <c r="M20" t="str">
        <f t="shared" si="1"/>
        <v/>
      </c>
    </row>
    <row r="21" spans="9:13">
      <c r="I21" t="str">
        <f t="shared" si="0"/>
        <v/>
      </c>
      <c r="M21" t="str">
        <f t="shared" si="1"/>
        <v/>
      </c>
    </row>
    <row r="22" spans="9:13">
      <c r="I22" t="str">
        <f t="shared" si="0"/>
        <v/>
      </c>
      <c r="M22" t="str">
        <f t="shared" si="1"/>
        <v/>
      </c>
    </row>
    <row r="23" spans="9:13">
      <c r="I23" t="str">
        <f t="shared" si="0"/>
        <v/>
      </c>
      <c r="M23" t="str">
        <f t="shared" si="1"/>
        <v/>
      </c>
    </row>
    <row r="24" spans="9:13">
      <c r="I24" t="str">
        <f t="shared" si="0"/>
        <v/>
      </c>
      <c r="M24" t="str">
        <f t="shared" si="1"/>
        <v/>
      </c>
    </row>
    <row r="25" spans="9:13">
      <c r="I25" t="str">
        <f t="shared" si="0"/>
        <v/>
      </c>
      <c r="M25" t="str">
        <f t="shared" si="1"/>
        <v/>
      </c>
    </row>
    <row r="26" spans="9:13">
      <c r="I26" t="str">
        <f t="shared" si="0"/>
        <v/>
      </c>
      <c r="M26" t="str">
        <f t="shared" si="1"/>
        <v/>
      </c>
    </row>
    <row r="27" spans="9:13">
      <c r="I27" t="str">
        <f t="shared" si="0"/>
        <v/>
      </c>
      <c r="M27" t="str">
        <f t="shared" si="1"/>
        <v/>
      </c>
    </row>
    <row r="28" spans="9:13">
      <c r="I28" t="str">
        <f t="shared" si="0"/>
        <v/>
      </c>
      <c r="M28" t="str">
        <f t="shared" si="1"/>
        <v/>
      </c>
    </row>
    <row r="29" spans="9:13">
      <c r="I29" t="str">
        <f t="shared" si="0"/>
        <v/>
      </c>
      <c r="M29" t="str">
        <f t="shared" si="1"/>
        <v/>
      </c>
    </row>
    <row r="30" spans="9:13">
      <c r="I30" t="str">
        <f t="shared" si="0"/>
        <v/>
      </c>
      <c r="M30" t="str">
        <f t="shared" si="1"/>
        <v/>
      </c>
    </row>
    <row r="31" spans="9:13">
      <c r="I31" t="str">
        <f t="shared" si="0"/>
        <v/>
      </c>
      <c r="M31" t="str">
        <f t="shared" si="1"/>
        <v/>
      </c>
    </row>
    <row r="32" spans="9:13">
      <c r="I32" t="str">
        <f t="shared" si="0"/>
        <v/>
      </c>
      <c r="M32" t="str">
        <f t="shared" si="1"/>
        <v/>
      </c>
    </row>
    <row r="33" spans="9:13">
      <c r="I33" t="str">
        <f t="shared" si="0"/>
        <v/>
      </c>
      <c r="M33" t="str">
        <f t="shared" si="1"/>
        <v/>
      </c>
    </row>
    <row r="34" spans="9:13">
      <c r="I34" t="str">
        <f t="shared" si="0"/>
        <v/>
      </c>
      <c r="M34" t="str">
        <f t="shared" si="1"/>
        <v/>
      </c>
    </row>
    <row r="35" spans="9:13">
      <c r="I35" t="str">
        <f t="shared" si="0"/>
        <v/>
      </c>
      <c r="M35" t="str">
        <f t="shared" si="1"/>
        <v/>
      </c>
    </row>
    <row r="36" spans="9:13">
      <c r="I36" t="str">
        <f t="shared" si="0"/>
        <v/>
      </c>
      <c r="M36" t="str">
        <f t="shared" si="1"/>
        <v/>
      </c>
    </row>
    <row r="37" spans="9:13">
      <c r="I37" t="str">
        <f t="shared" si="0"/>
        <v/>
      </c>
      <c r="M37" t="str">
        <f t="shared" si="1"/>
        <v/>
      </c>
    </row>
    <row r="38" spans="9:13">
      <c r="I38" t="str">
        <f t="shared" si="0"/>
        <v/>
      </c>
      <c r="M38" t="str">
        <f t="shared" si="1"/>
        <v/>
      </c>
    </row>
    <row r="39" spans="9:13">
      <c r="I39" t="str">
        <f t="shared" si="0"/>
        <v/>
      </c>
      <c r="M39" t="str">
        <f t="shared" si="1"/>
        <v/>
      </c>
    </row>
    <row r="40" spans="9:13">
      <c r="I40" t="str">
        <f t="shared" si="0"/>
        <v/>
      </c>
      <c r="M40" t="str">
        <f t="shared" si="1"/>
        <v/>
      </c>
    </row>
    <row r="41" spans="9:13">
      <c r="I41" t="str">
        <f t="shared" si="0"/>
        <v/>
      </c>
      <c r="M41" t="str">
        <f t="shared" si="1"/>
        <v/>
      </c>
    </row>
    <row r="42" spans="9:13">
      <c r="I42" t="str">
        <f t="shared" si="0"/>
        <v/>
      </c>
      <c r="M42" t="str">
        <f t="shared" si="1"/>
        <v/>
      </c>
    </row>
    <row r="43" spans="9:13">
      <c r="I43" t="str">
        <f t="shared" si="0"/>
        <v/>
      </c>
      <c r="M43" t="str">
        <f t="shared" si="1"/>
        <v/>
      </c>
    </row>
    <row r="44" spans="9:13">
      <c r="I44" t="str">
        <f t="shared" si="0"/>
        <v/>
      </c>
      <c r="M44" t="str">
        <f t="shared" si="1"/>
        <v/>
      </c>
    </row>
    <row r="45" spans="9:13">
      <c r="I45" t="str">
        <f t="shared" si="0"/>
        <v/>
      </c>
      <c r="M45" t="str">
        <f t="shared" si="1"/>
        <v/>
      </c>
    </row>
    <row r="46" spans="9:13">
      <c r="I46" t="str">
        <f t="shared" si="0"/>
        <v/>
      </c>
      <c r="M46" t="str">
        <f t="shared" si="1"/>
        <v/>
      </c>
    </row>
    <row r="47" spans="9:13">
      <c r="I47" t="str">
        <f t="shared" si="0"/>
        <v/>
      </c>
      <c r="M47" t="str">
        <f t="shared" si="1"/>
        <v/>
      </c>
    </row>
    <row r="48" spans="9:13">
      <c r="I48" t="str">
        <f t="shared" si="0"/>
        <v/>
      </c>
      <c r="M48" t="str">
        <f t="shared" si="1"/>
        <v/>
      </c>
    </row>
    <row r="49" spans="9:13">
      <c r="I49" t="str">
        <f t="shared" si="0"/>
        <v/>
      </c>
      <c r="M49" t="str">
        <f t="shared" si="1"/>
        <v/>
      </c>
    </row>
    <row r="50" spans="9:13">
      <c r="I50" t="str">
        <f t="shared" si="0"/>
        <v/>
      </c>
      <c r="M50" t="str">
        <f t="shared" si="1"/>
        <v/>
      </c>
    </row>
    <row r="51" spans="9:13">
      <c r="I51" t="str">
        <f t="shared" si="0"/>
        <v/>
      </c>
      <c r="M51" t="str">
        <f t="shared" si="1"/>
        <v/>
      </c>
    </row>
    <row r="52" spans="9:13">
      <c r="I52" t="str">
        <f t="shared" si="0"/>
        <v/>
      </c>
      <c r="M52" t="str">
        <f t="shared" si="1"/>
        <v/>
      </c>
    </row>
    <row r="53" spans="9:13">
      <c r="I53" t="str">
        <f t="shared" si="0"/>
        <v/>
      </c>
      <c r="M53" t="str">
        <f t="shared" si="1"/>
        <v/>
      </c>
    </row>
    <row r="54" spans="9:13">
      <c r="I54" t="str">
        <f t="shared" si="0"/>
        <v/>
      </c>
      <c r="M54" t="str">
        <f t="shared" si="1"/>
        <v/>
      </c>
    </row>
    <row r="55" spans="9:13">
      <c r="I55" t="str">
        <f t="shared" si="0"/>
        <v/>
      </c>
      <c r="M55" t="str">
        <f t="shared" si="1"/>
        <v/>
      </c>
    </row>
    <row r="56" spans="9:13">
      <c r="I56" t="str">
        <f t="shared" si="0"/>
        <v/>
      </c>
      <c r="M56" t="str">
        <f t="shared" si="1"/>
        <v/>
      </c>
    </row>
    <row r="57" spans="9:13">
      <c r="I57" t="str">
        <f t="shared" si="0"/>
        <v/>
      </c>
      <c r="M57" t="str">
        <f t="shared" si="1"/>
        <v/>
      </c>
    </row>
    <row r="58" spans="9:13">
      <c r="I58" t="str">
        <f t="shared" si="0"/>
        <v/>
      </c>
      <c r="M58" t="str">
        <f t="shared" si="1"/>
        <v/>
      </c>
    </row>
    <row r="59" spans="9:13">
      <c r="I59" t="str">
        <f t="shared" si="0"/>
        <v/>
      </c>
      <c r="M59" t="str">
        <f t="shared" si="1"/>
        <v/>
      </c>
    </row>
    <row r="60" spans="9:13">
      <c r="I60" t="str">
        <f t="shared" si="0"/>
        <v/>
      </c>
      <c r="M60" t="str">
        <f t="shared" si="1"/>
        <v/>
      </c>
    </row>
    <row r="61" spans="9:13">
      <c r="I61" t="str">
        <f t="shared" si="0"/>
        <v/>
      </c>
      <c r="M61" t="str">
        <f t="shared" si="1"/>
        <v/>
      </c>
    </row>
    <row r="62" spans="9:13">
      <c r="I62" t="str">
        <f t="shared" si="0"/>
        <v/>
      </c>
      <c r="M62" t="str">
        <f t="shared" si="1"/>
        <v/>
      </c>
    </row>
    <row r="63" spans="9:13">
      <c r="I63" t="str">
        <f t="shared" si="0"/>
        <v/>
      </c>
      <c r="M63" t="str">
        <f t="shared" si="1"/>
        <v/>
      </c>
    </row>
    <row r="64" spans="9:13">
      <c r="I64" t="str">
        <f t="shared" si="0"/>
        <v/>
      </c>
      <c r="M64" t="str">
        <f t="shared" si="1"/>
        <v/>
      </c>
    </row>
    <row r="65" spans="9:13">
      <c r="I65" t="str">
        <f t="shared" si="0"/>
        <v/>
      </c>
      <c r="M65" t="str">
        <f t="shared" si="1"/>
        <v/>
      </c>
    </row>
    <row r="66" spans="9:13">
      <c r="I66" t="str">
        <f t="shared" ref="I66:I129" si="2">IF(AND(G66&lt;&gt;"", H66&lt;&gt;""), G66*H66, "")</f>
        <v/>
      </c>
      <c r="M66" t="str">
        <f t="shared" ref="M66:M129" si="3">IF(AND(K66&lt;&gt;"", L66&lt;&gt;""), K66*L66, "")</f>
        <v/>
      </c>
    </row>
    <row r="67" spans="9:13">
      <c r="I67" t="str">
        <f t="shared" si="2"/>
        <v/>
      </c>
      <c r="M67" t="str">
        <f t="shared" si="3"/>
        <v/>
      </c>
    </row>
    <row r="68" spans="9:13">
      <c r="I68" t="str">
        <f t="shared" si="2"/>
        <v/>
      </c>
      <c r="M68" t="str">
        <f t="shared" si="3"/>
        <v/>
      </c>
    </row>
    <row r="69" spans="9:13">
      <c r="I69" t="str">
        <f t="shared" si="2"/>
        <v/>
      </c>
      <c r="M69" t="str">
        <f t="shared" si="3"/>
        <v/>
      </c>
    </row>
    <row r="70" spans="9:13">
      <c r="I70" t="str">
        <f t="shared" si="2"/>
        <v/>
      </c>
      <c r="M70" t="str">
        <f t="shared" si="3"/>
        <v/>
      </c>
    </row>
    <row r="71" spans="9:13">
      <c r="I71" t="str">
        <f t="shared" si="2"/>
        <v/>
      </c>
      <c r="M71" t="str">
        <f t="shared" si="3"/>
        <v/>
      </c>
    </row>
    <row r="72" spans="9:13">
      <c r="I72" t="str">
        <f t="shared" si="2"/>
        <v/>
      </c>
      <c r="M72" t="str">
        <f t="shared" si="3"/>
        <v/>
      </c>
    </row>
    <row r="73" spans="9:13">
      <c r="I73" t="str">
        <f t="shared" si="2"/>
        <v/>
      </c>
      <c r="M73" t="str">
        <f t="shared" si="3"/>
        <v/>
      </c>
    </row>
    <row r="74" spans="9:13">
      <c r="I74" t="str">
        <f t="shared" si="2"/>
        <v/>
      </c>
      <c r="M74" t="str">
        <f t="shared" si="3"/>
        <v/>
      </c>
    </row>
    <row r="75" spans="9:13">
      <c r="I75" t="str">
        <f t="shared" si="2"/>
        <v/>
      </c>
      <c r="M75" t="str">
        <f t="shared" si="3"/>
        <v/>
      </c>
    </row>
    <row r="76" spans="9:13">
      <c r="I76" t="str">
        <f t="shared" si="2"/>
        <v/>
      </c>
      <c r="M76" t="str">
        <f t="shared" si="3"/>
        <v/>
      </c>
    </row>
    <row r="77" spans="9:13">
      <c r="I77" t="str">
        <f t="shared" si="2"/>
        <v/>
      </c>
      <c r="M77" t="str">
        <f t="shared" si="3"/>
        <v/>
      </c>
    </row>
    <row r="78" spans="9:13">
      <c r="I78" t="str">
        <f t="shared" si="2"/>
        <v/>
      </c>
      <c r="M78" t="str">
        <f t="shared" si="3"/>
        <v/>
      </c>
    </row>
    <row r="79" spans="9:13">
      <c r="I79" t="str">
        <f t="shared" si="2"/>
        <v/>
      </c>
      <c r="M79" t="str">
        <f t="shared" si="3"/>
        <v/>
      </c>
    </row>
    <row r="80" spans="9:13">
      <c r="I80" t="str">
        <f t="shared" si="2"/>
        <v/>
      </c>
      <c r="M80" t="str">
        <f t="shared" si="3"/>
        <v/>
      </c>
    </row>
    <row r="81" spans="9:13">
      <c r="I81" t="str">
        <f t="shared" si="2"/>
        <v/>
      </c>
      <c r="M81" t="str">
        <f t="shared" si="3"/>
        <v/>
      </c>
    </row>
    <row r="82" spans="9:13">
      <c r="I82" t="str">
        <f t="shared" si="2"/>
        <v/>
      </c>
      <c r="M82" t="str">
        <f t="shared" si="3"/>
        <v/>
      </c>
    </row>
    <row r="83" spans="9:13">
      <c r="I83" t="str">
        <f t="shared" si="2"/>
        <v/>
      </c>
      <c r="M83" t="str">
        <f t="shared" si="3"/>
        <v/>
      </c>
    </row>
    <row r="84" spans="9:13">
      <c r="I84" t="str">
        <f t="shared" si="2"/>
        <v/>
      </c>
      <c r="M84" t="str">
        <f t="shared" si="3"/>
        <v/>
      </c>
    </row>
    <row r="85" spans="9:13">
      <c r="I85" t="str">
        <f t="shared" si="2"/>
        <v/>
      </c>
      <c r="M85" t="str">
        <f t="shared" si="3"/>
        <v/>
      </c>
    </row>
    <row r="86" spans="9:13">
      <c r="I86" t="str">
        <f t="shared" si="2"/>
        <v/>
      </c>
      <c r="M86" t="str">
        <f t="shared" si="3"/>
        <v/>
      </c>
    </row>
    <row r="87" spans="9:13">
      <c r="I87" t="str">
        <f t="shared" si="2"/>
        <v/>
      </c>
      <c r="M87" t="str">
        <f t="shared" si="3"/>
        <v/>
      </c>
    </row>
    <row r="88" spans="9:13">
      <c r="I88" t="str">
        <f t="shared" si="2"/>
        <v/>
      </c>
      <c r="M88" t="str">
        <f t="shared" si="3"/>
        <v/>
      </c>
    </row>
    <row r="89" spans="9:13">
      <c r="I89" t="str">
        <f t="shared" si="2"/>
        <v/>
      </c>
      <c r="M89" t="str">
        <f t="shared" si="3"/>
        <v/>
      </c>
    </row>
    <row r="90" spans="9:13">
      <c r="I90" t="str">
        <f t="shared" si="2"/>
        <v/>
      </c>
      <c r="M90" t="str">
        <f t="shared" si="3"/>
        <v/>
      </c>
    </row>
    <row r="91" spans="9:13">
      <c r="I91" t="str">
        <f t="shared" si="2"/>
        <v/>
      </c>
      <c r="M91" t="str">
        <f t="shared" si="3"/>
        <v/>
      </c>
    </row>
    <row r="92" spans="9:13">
      <c r="I92" t="str">
        <f t="shared" si="2"/>
        <v/>
      </c>
      <c r="M92" t="str">
        <f t="shared" si="3"/>
        <v/>
      </c>
    </row>
    <row r="93" spans="9:13">
      <c r="I93" t="str">
        <f t="shared" si="2"/>
        <v/>
      </c>
      <c r="M93" t="str">
        <f t="shared" si="3"/>
        <v/>
      </c>
    </row>
    <row r="94" spans="9:13">
      <c r="I94" t="str">
        <f t="shared" si="2"/>
        <v/>
      </c>
      <c r="M94" t="str">
        <f t="shared" si="3"/>
        <v/>
      </c>
    </row>
    <row r="95" spans="9:13">
      <c r="I95" t="str">
        <f t="shared" si="2"/>
        <v/>
      </c>
      <c r="M95" t="str">
        <f t="shared" si="3"/>
        <v/>
      </c>
    </row>
    <row r="96" spans="9:13">
      <c r="I96" t="str">
        <f t="shared" si="2"/>
        <v/>
      </c>
      <c r="M96" t="str">
        <f t="shared" si="3"/>
        <v/>
      </c>
    </row>
    <row r="97" spans="9:13">
      <c r="I97" t="str">
        <f t="shared" si="2"/>
        <v/>
      </c>
      <c r="M97" t="str">
        <f t="shared" si="3"/>
        <v/>
      </c>
    </row>
    <row r="98" spans="9:13">
      <c r="I98" t="str">
        <f t="shared" si="2"/>
        <v/>
      </c>
      <c r="M98" t="str">
        <f t="shared" si="3"/>
        <v/>
      </c>
    </row>
    <row r="99" spans="9:13">
      <c r="I99" t="str">
        <f t="shared" si="2"/>
        <v/>
      </c>
      <c r="M99" t="str">
        <f t="shared" si="3"/>
        <v/>
      </c>
    </row>
    <row r="100" spans="9:13">
      <c r="I100" t="str">
        <f t="shared" si="2"/>
        <v/>
      </c>
      <c r="M100" t="str">
        <f t="shared" si="3"/>
        <v/>
      </c>
    </row>
    <row r="101" spans="9:13">
      <c r="I101" t="str">
        <f t="shared" si="2"/>
        <v/>
      </c>
      <c r="M101" t="str">
        <f t="shared" si="3"/>
        <v/>
      </c>
    </row>
    <row r="102" spans="9:13">
      <c r="I102" t="str">
        <f t="shared" si="2"/>
        <v/>
      </c>
      <c r="M102" t="str">
        <f t="shared" si="3"/>
        <v/>
      </c>
    </row>
    <row r="103" spans="9:13">
      <c r="I103" t="str">
        <f t="shared" si="2"/>
        <v/>
      </c>
      <c r="M103" t="str">
        <f t="shared" si="3"/>
        <v/>
      </c>
    </row>
    <row r="104" spans="9:13">
      <c r="I104" t="str">
        <f t="shared" si="2"/>
        <v/>
      </c>
      <c r="M104" t="str">
        <f t="shared" si="3"/>
        <v/>
      </c>
    </row>
    <row r="105" spans="9:13">
      <c r="I105" t="str">
        <f t="shared" si="2"/>
        <v/>
      </c>
      <c r="M105" t="str">
        <f t="shared" si="3"/>
        <v/>
      </c>
    </row>
    <row r="106" spans="9:13">
      <c r="I106" t="str">
        <f t="shared" si="2"/>
        <v/>
      </c>
      <c r="M106" t="str">
        <f t="shared" si="3"/>
        <v/>
      </c>
    </row>
    <row r="107" spans="9:13">
      <c r="I107" t="str">
        <f t="shared" si="2"/>
        <v/>
      </c>
      <c r="M107" t="str">
        <f t="shared" si="3"/>
        <v/>
      </c>
    </row>
    <row r="108" spans="9:13">
      <c r="I108" t="str">
        <f t="shared" si="2"/>
        <v/>
      </c>
      <c r="M108" t="str">
        <f t="shared" si="3"/>
        <v/>
      </c>
    </row>
    <row r="109" spans="9:13">
      <c r="I109" t="str">
        <f t="shared" si="2"/>
        <v/>
      </c>
      <c r="M109" t="str">
        <f t="shared" si="3"/>
        <v/>
      </c>
    </row>
    <row r="110" spans="9:13">
      <c r="I110" t="str">
        <f t="shared" si="2"/>
        <v/>
      </c>
      <c r="M110" t="str">
        <f t="shared" si="3"/>
        <v/>
      </c>
    </row>
    <row r="111" spans="9:13">
      <c r="I111" t="str">
        <f t="shared" si="2"/>
        <v/>
      </c>
      <c r="M111" t="str">
        <f t="shared" si="3"/>
        <v/>
      </c>
    </row>
    <row r="112" spans="9:13">
      <c r="I112" t="str">
        <f t="shared" si="2"/>
        <v/>
      </c>
      <c r="M112" t="str">
        <f t="shared" si="3"/>
        <v/>
      </c>
    </row>
    <row r="113" spans="9:13">
      <c r="I113" t="str">
        <f t="shared" si="2"/>
        <v/>
      </c>
      <c r="M113" t="str">
        <f t="shared" si="3"/>
        <v/>
      </c>
    </row>
    <row r="114" spans="9:13">
      <c r="I114" t="str">
        <f t="shared" si="2"/>
        <v/>
      </c>
      <c r="M114" t="str">
        <f t="shared" si="3"/>
        <v/>
      </c>
    </row>
    <row r="115" spans="9:13">
      <c r="I115" t="str">
        <f t="shared" si="2"/>
        <v/>
      </c>
      <c r="M115" t="str">
        <f t="shared" si="3"/>
        <v/>
      </c>
    </row>
    <row r="116" spans="9:13">
      <c r="I116" t="str">
        <f t="shared" si="2"/>
        <v/>
      </c>
      <c r="M116" t="str">
        <f t="shared" si="3"/>
        <v/>
      </c>
    </row>
    <row r="117" spans="9:13">
      <c r="I117" t="str">
        <f t="shared" si="2"/>
        <v/>
      </c>
      <c r="M117" t="str">
        <f t="shared" si="3"/>
        <v/>
      </c>
    </row>
    <row r="118" spans="9:13">
      <c r="I118" t="str">
        <f t="shared" si="2"/>
        <v/>
      </c>
      <c r="M118" t="str">
        <f t="shared" si="3"/>
        <v/>
      </c>
    </row>
    <row r="119" spans="9:13">
      <c r="I119" t="str">
        <f t="shared" si="2"/>
        <v/>
      </c>
      <c r="M119" t="str">
        <f t="shared" si="3"/>
        <v/>
      </c>
    </row>
    <row r="120" spans="9:13">
      <c r="I120" t="str">
        <f t="shared" si="2"/>
        <v/>
      </c>
      <c r="M120" t="str">
        <f t="shared" si="3"/>
        <v/>
      </c>
    </row>
    <row r="121" spans="9:13">
      <c r="I121" t="str">
        <f t="shared" si="2"/>
        <v/>
      </c>
      <c r="M121" t="str">
        <f t="shared" si="3"/>
        <v/>
      </c>
    </row>
    <row r="122" spans="9:13">
      <c r="I122" t="str">
        <f t="shared" si="2"/>
        <v/>
      </c>
      <c r="M122" t="str">
        <f t="shared" si="3"/>
        <v/>
      </c>
    </row>
    <row r="123" spans="9:13">
      <c r="I123" t="str">
        <f t="shared" si="2"/>
        <v/>
      </c>
      <c r="M123" t="str">
        <f t="shared" si="3"/>
        <v/>
      </c>
    </row>
    <row r="124" spans="9:13">
      <c r="I124" t="str">
        <f t="shared" si="2"/>
        <v/>
      </c>
      <c r="M124" t="str">
        <f t="shared" si="3"/>
        <v/>
      </c>
    </row>
    <row r="125" spans="9:13">
      <c r="I125" t="str">
        <f t="shared" si="2"/>
        <v/>
      </c>
      <c r="M125" t="str">
        <f t="shared" si="3"/>
        <v/>
      </c>
    </row>
    <row r="126" spans="9:13">
      <c r="I126" t="str">
        <f t="shared" si="2"/>
        <v/>
      </c>
      <c r="M126" t="str">
        <f t="shared" si="3"/>
        <v/>
      </c>
    </row>
    <row r="127" spans="9:13">
      <c r="I127" t="str">
        <f t="shared" si="2"/>
        <v/>
      </c>
      <c r="M127" t="str">
        <f t="shared" si="3"/>
        <v/>
      </c>
    </row>
    <row r="128" spans="9:13">
      <c r="I128" t="str">
        <f t="shared" si="2"/>
        <v/>
      </c>
      <c r="M128" t="str">
        <f t="shared" si="3"/>
        <v/>
      </c>
    </row>
    <row r="129" spans="9:13">
      <c r="I129" t="str">
        <f t="shared" si="2"/>
        <v/>
      </c>
      <c r="M129" t="str">
        <f t="shared" si="3"/>
        <v/>
      </c>
    </row>
    <row r="130" spans="9:13">
      <c r="I130" t="str">
        <f t="shared" ref="I130:I193" si="4">IF(AND(G130&lt;&gt;"", H130&lt;&gt;""), G130*H130, "")</f>
        <v/>
      </c>
      <c r="M130" t="str">
        <f t="shared" ref="M130:M193" si="5">IF(AND(K130&lt;&gt;"", L130&lt;&gt;""), K130*L130, "")</f>
        <v/>
      </c>
    </row>
    <row r="131" spans="9:13">
      <c r="I131" t="str">
        <f t="shared" si="4"/>
        <v/>
      </c>
      <c r="M131" t="str">
        <f t="shared" si="5"/>
        <v/>
      </c>
    </row>
    <row r="132" spans="9:13">
      <c r="I132" t="str">
        <f t="shared" si="4"/>
        <v/>
      </c>
      <c r="M132" t="str">
        <f t="shared" si="5"/>
        <v/>
      </c>
    </row>
    <row r="133" spans="9:13">
      <c r="I133" t="str">
        <f t="shared" si="4"/>
        <v/>
      </c>
      <c r="M133" t="str">
        <f t="shared" si="5"/>
        <v/>
      </c>
    </row>
    <row r="134" spans="9:13">
      <c r="I134" t="str">
        <f t="shared" si="4"/>
        <v/>
      </c>
      <c r="M134" t="str">
        <f t="shared" si="5"/>
        <v/>
      </c>
    </row>
    <row r="135" spans="9:13">
      <c r="I135" t="str">
        <f t="shared" si="4"/>
        <v/>
      </c>
      <c r="M135" t="str">
        <f t="shared" si="5"/>
        <v/>
      </c>
    </row>
    <row r="136" spans="9:13">
      <c r="I136" t="str">
        <f t="shared" si="4"/>
        <v/>
      </c>
      <c r="M136" t="str">
        <f t="shared" si="5"/>
        <v/>
      </c>
    </row>
    <row r="137" spans="9:13">
      <c r="I137" t="str">
        <f t="shared" si="4"/>
        <v/>
      </c>
      <c r="M137" t="str">
        <f t="shared" si="5"/>
        <v/>
      </c>
    </row>
    <row r="138" spans="9:13">
      <c r="I138" t="str">
        <f t="shared" si="4"/>
        <v/>
      </c>
      <c r="M138" t="str">
        <f t="shared" si="5"/>
        <v/>
      </c>
    </row>
    <row r="139" spans="9:13">
      <c r="I139" t="str">
        <f t="shared" si="4"/>
        <v/>
      </c>
      <c r="M139" t="str">
        <f t="shared" si="5"/>
        <v/>
      </c>
    </row>
    <row r="140" spans="9:13">
      <c r="I140" t="str">
        <f t="shared" si="4"/>
        <v/>
      </c>
      <c r="M140" t="str">
        <f t="shared" si="5"/>
        <v/>
      </c>
    </row>
    <row r="141" spans="9:13">
      <c r="I141" t="str">
        <f t="shared" si="4"/>
        <v/>
      </c>
      <c r="M141" t="str">
        <f t="shared" si="5"/>
        <v/>
      </c>
    </row>
    <row r="142" spans="9:13">
      <c r="I142" t="str">
        <f t="shared" si="4"/>
        <v/>
      </c>
      <c r="M142" t="str">
        <f t="shared" si="5"/>
        <v/>
      </c>
    </row>
    <row r="143" spans="9:13">
      <c r="I143" t="str">
        <f t="shared" si="4"/>
        <v/>
      </c>
      <c r="M143" t="str">
        <f t="shared" si="5"/>
        <v/>
      </c>
    </row>
    <row r="144" spans="9:13">
      <c r="I144" t="str">
        <f t="shared" si="4"/>
        <v/>
      </c>
      <c r="M144" t="str">
        <f t="shared" si="5"/>
        <v/>
      </c>
    </row>
    <row r="145" spans="9:13">
      <c r="I145" t="str">
        <f t="shared" si="4"/>
        <v/>
      </c>
      <c r="M145" t="str">
        <f t="shared" si="5"/>
        <v/>
      </c>
    </row>
    <row r="146" spans="9:13">
      <c r="I146" t="str">
        <f t="shared" si="4"/>
        <v/>
      </c>
      <c r="M146" t="str">
        <f t="shared" si="5"/>
        <v/>
      </c>
    </row>
    <row r="147" spans="9:13">
      <c r="I147" t="str">
        <f t="shared" si="4"/>
        <v/>
      </c>
      <c r="M147" t="str">
        <f t="shared" si="5"/>
        <v/>
      </c>
    </row>
    <row r="148" spans="9:13">
      <c r="I148" t="str">
        <f t="shared" si="4"/>
        <v/>
      </c>
      <c r="M148" t="str">
        <f t="shared" si="5"/>
        <v/>
      </c>
    </row>
    <row r="149" spans="9:13">
      <c r="I149" t="str">
        <f t="shared" si="4"/>
        <v/>
      </c>
      <c r="M149" t="str">
        <f t="shared" si="5"/>
        <v/>
      </c>
    </row>
    <row r="150" spans="9:13">
      <c r="I150" t="str">
        <f t="shared" si="4"/>
        <v/>
      </c>
      <c r="M150" t="str">
        <f t="shared" si="5"/>
        <v/>
      </c>
    </row>
    <row r="151" spans="9:13">
      <c r="I151" t="str">
        <f t="shared" si="4"/>
        <v/>
      </c>
      <c r="M151" t="str">
        <f t="shared" si="5"/>
        <v/>
      </c>
    </row>
    <row r="152" spans="9:13">
      <c r="I152" t="str">
        <f t="shared" si="4"/>
        <v/>
      </c>
      <c r="M152" t="str">
        <f t="shared" si="5"/>
        <v/>
      </c>
    </row>
    <row r="153" spans="9:13">
      <c r="I153" t="str">
        <f t="shared" si="4"/>
        <v/>
      </c>
      <c r="M153" t="str">
        <f t="shared" si="5"/>
        <v/>
      </c>
    </row>
    <row r="154" spans="9:13">
      <c r="I154" t="str">
        <f t="shared" si="4"/>
        <v/>
      </c>
      <c r="M154" t="str">
        <f t="shared" si="5"/>
        <v/>
      </c>
    </row>
    <row r="155" spans="9:13">
      <c r="I155" t="str">
        <f t="shared" si="4"/>
        <v/>
      </c>
      <c r="M155" t="str">
        <f t="shared" si="5"/>
        <v/>
      </c>
    </row>
    <row r="156" spans="9:13">
      <c r="I156" t="str">
        <f t="shared" si="4"/>
        <v/>
      </c>
      <c r="M156" t="str">
        <f t="shared" si="5"/>
        <v/>
      </c>
    </row>
    <row r="157" spans="9:13">
      <c r="I157" t="str">
        <f t="shared" si="4"/>
        <v/>
      </c>
      <c r="M157" t="str">
        <f t="shared" si="5"/>
        <v/>
      </c>
    </row>
    <row r="158" spans="9:13">
      <c r="I158" t="str">
        <f t="shared" si="4"/>
        <v/>
      </c>
      <c r="M158" t="str">
        <f t="shared" si="5"/>
        <v/>
      </c>
    </row>
    <row r="159" spans="9:13">
      <c r="I159" t="str">
        <f t="shared" si="4"/>
        <v/>
      </c>
      <c r="M159" t="str">
        <f t="shared" si="5"/>
        <v/>
      </c>
    </row>
    <row r="160" spans="9:13">
      <c r="I160" t="str">
        <f t="shared" si="4"/>
        <v/>
      </c>
      <c r="M160" t="str">
        <f t="shared" si="5"/>
        <v/>
      </c>
    </row>
    <row r="161" spans="9:13">
      <c r="I161" t="str">
        <f t="shared" si="4"/>
        <v/>
      </c>
      <c r="M161" t="str">
        <f t="shared" si="5"/>
        <v/>
      </c>
    </row>
    <row r="162" spans="9:13">
      <c r="I162" t="str">
        <f t="shared" si="4"/>
        <v/>
      </c>
      <c r="M162" t="str">
        <f t="shared" si="5"/>
        <v/>
      </c>
    </row>
    <row r="163" spans="9:13">
      <c r="I163" t="str">
        <f t="shared" si="4"/>
        <v/>
      </c>
      <c r="M163" t="str">
        <f t="shared" si="5"/>
        <v/>
      </c>
    </row>
    <row r="164" spans="9:13">
      <c r="I164" t="str">
        <f t="shared" si="4"/>
        <v/>
      </c>
      <c r="M164" t="str">
        <f t="shared" si="5"/>
        <v/>
      </c>
    </row>
    <row r="165" spans="9:13">
      <c r="I165" t="str">
        <f t="shared" si="4"/>
        <v/>
      </c>
      <c r="M165" t="str">
        <f t="shared" si="5"/>
        <v/>
      </c>
    </row>
    <row r="166" spans="9:13">
      <c r="I166" t="str">
        <f t="shared" si="4"/>
        <v/>
      </c>
      <c r="M166" t="str">
        <f t="shared" si="5"/>
        <v/>
      </c>
    </row>
    <row r="167" spans="9:13">
      <c r="I167" t="str">
        <f t="shared" si="4"/>
        <v/>
      </c>
      <c r="M167" t="str">
        <f t="shared" si="5"/>
        <v/>
      </c>
    </row>
    <row r="168" spans="9:13">
      <c r="I168" t="str">
        <f t="shared" si="4"/>
        <v/>
      </c>
      <c r="M168" t="str">
        <f t="shared" si="5"/>
        <v/>
      </c>
    </row>
    <row r="169" spans="9:13">
      <c r="I169" t="str">
        <f t="shared" si="4"/>
        <v/>
      </c>
      <c r="M169" t="str">
        <f t="shared" si="5"/>
        <v/>
      </c>
    </row>
    <row r="170" spans="9:13">
      <c r="I170" t="str">
        <f t="shared" si="4"/>
        <v/>
      </c>
      <c r="M170" t="str">
        <f t="shared" si="5"/>
        <v/>
      </c>
    </row>
    <row r="171" spans="9:13">
      <c r="I171" t="str">
        <f t="shared" si="4"/>
        <v/>
      </c>
      <c r="M171" t="str">
        <f t="shared" si="5"/>
        <v/>
      </c>
    </row>
    <row r="172" spans="9:13">
      <c r="I172" t="str">
        <f t="shared" si="4"/>
        <v/>
      </c>
      <c r="M172" t="str">
        <f t="shared" si="5"/>
        <v/>
      </c>
    </row>
    <row r="173" spans="9:13">
      <c r="I173" t="str">
        <f t="shared" si="4"/>
        <v/>
      </c>
      <c r="M173" t="str">
        <f t="shared" si="5"/>
        <v/>
      </c>
    </row>
    <row r="174" spans="9:13">
      <c r="I174" t="str">
        <f t="shared" si="4"/>
        <v/>
      </c>
      <c r="M174" t="str">
        <f t="shared" si="5"/>
        <v/>
      </c>
    </row>
    <row r="175" spans="9:13">
      <c r="I175" t="str">
        <f t="shared" si="4"/>
        <v/>
      </c>
      <c r="M175" t="str">
        <f t="shared" si="5"/>
        <v/>
      </c>
    </row>
    <row r="176" spans="9:13">
      <c r="I176" t="str">
        <f t="shared" si="4"/>
        <v/>
      </c>
      <c r="M176" t="str">
        <f t="shared" si="5"/>
        <v/>
      </c>
    </row>
    <row r="177" spans="9:13">
      <c r="I177" t="str">
        <f t="shared" si="4"/>
        <v/>
      </c>
      <c r="M177" t="str">
        <f t="shared" si="5"/>
        <v/>
      </c>
    </row>
    <row r="178" spans="9:13">
      <c r="I178" t="str">
        <f t="shared" si="4"/>
        <v/>
      </c>
      <c r="M178" t="str">
        <f t="shared" si="5"/>
        <v/>
      </c>
    </row>
    <row r="179" spans="9:13">
      <c r="I179" t="str">
        <f t="shared" si="4"/>
        <v/>
      </c>
      <c r="M179" t="str">
        <f t="shared" si="5"/>
        <v/>
      </c>
    </row>
    <row r="180" spans="9:13">
      <c r="I180" t="str">
        <f t="shared" si="4"/>
        <v/>
      </c>
      <c r="M180" t="str">
        <f t="shared" si="5"/>
        <v/>
      </c>
    </row>
    <row r="181" spans="9:13">
      <c r="I181" t="str">
        <f t="shared" si="4"/>
        <v/>
      </c>
      <c r="M181" t="str">
        <f t="shared" si="5"/>
        <v/>
      </c>
    </row>
    <row r="182" spans="9:13">
      <c r="I182" t="str">
        <f t="shared" si="4"/>
        <v/>
      </c>
      <c r="M182" t="str">
        <f t="shared" si="5"/>
        <v/>
      </c>
    </row>
    <row r="183" spans="9:13">
      <c r="I183" t="str">
        <f t="shared" si="4"/>
        <v/>
      </c>
      <c r="M183" t="str">
        <f t="shared" si="5"/>
        <v/>
      </c>
    </row>
    <row r="184" spans="9:13">
      <c r="I184" t="str">
        <f t="shared" si="4"/>
        <v/>
      </c>
      <c r="M184" t="str">
        <f t="shared" si="5"/>
        <v/>
      </c>
    </row>
    <row r="185" spans="9:13">
      <c r="I185" t="str">
        <f t="shared" si="4"/>
        <v/>
      </c>
      <c r="M185" t="str">
        <f t="shared" si="5"/>
        <v/>
      </c>
    </row>
    <row r="186" spans="9:13">
      <c r="I186" t="str">
        <f t="shared" si="4"/>
        <v/>
      </c>
      <c r="M186" t="str">
        <f t="shared" si="5"/>
        <v/>
      </c>
    </row>
    <row r="187" spans="9:13">
      <c r="I187" t="str">
        <f t="shared" si="4"/>
        <v/>
      </c>
      <c r="M187" t="str">
        <f t="shared" si="5"/>
        <v/>
      </c>
    </row>
    <row r="188" spans="9:13">
      <c r="I188" t="str">
        <f t="shared" si="4"/>
        <v/>
      </c>
      <c r="M188" t="str">
        <f t="shared" si="5"/>
        <v/>
      </c>
    </row>
    <row r="189" spans="9:13">
      <c r="I189" t="str">
        <f t="shared" si="4"/>
        <v/>
      </c>
      <c r="M189" t="str">
        <f t="shared" si="5"/>
        <v/>
      </c>
    </row>
    <row r="190" spans="9:13">
      <c r="I190" t="str">
        <f t="shared" si="4"/>
        <v/>
      </c>
      <c r="M190" t="str">
        <f t="shared" si="5"/>
        <v/>
      </c>
    </row>
    <row r="191" spans="9:13">
      <c r="I191" t="str">
        <f t="shared" si="4"/>
        <v/>
      </c>
      <c r="M191" t="str">
        <f t="shared" si="5"/>
        <v/>
      </c>
    </row>
    <row r="192" spans="9:13">
      <c r="I192" t="str">
        <f t="shared" si="4"/>
        <v/>
      </c>
      <c r="M192" t="str">
        <f t="shared" si="5"/>
        <v/>
      </c>
    </row>
    <row r="193" spans="9:13">
      <c r="I193" t="str">
        <f t="shared" si="4"/>
        <v/>
      </c>
      <c r="M193" t="str">
        <f t="shared" si="5"/>
        <v/>
      </c>
    </row>
    <row r="194" spans="9:13">
      <c r="I194" t="str">
        <f t="shared" ref="I194:I257" si="6">IF(AND(G194&lt;&gt;"", H194&lt;&gt;""), G194*H194, "")</f>
        <v/>
      </c>
      <c r="M194" t="str">
        <f t="shared" ref="M194:M257" si="7">IF(AND(K194&lt;&gt;"", L194&lt;&gt;""), K194*L194, "")</f>
        <v/>
      </c>
    </row>
    <row r="195" spans="9:13">
      <c r="I195" t="str">
        <f t="shared" si="6"/>
        <v/>
      </c>
      <c r="M195" t="str">
        <f t="shared" si="7"/>
        <v/>
      </c>
    </row>
    <row r="196" spans="9:13">
      <c r="I196" t="str">
        <f t="shared" si="6"/>
        <v/>
      </c>
      <c r="M196" t="str">
        <f t="shared" si="7"/>
        <v/>
      </c>
    </row>
    <row r="197" spans="9:13">
      <c r="I197" t="str">
        <f t="shared" si="6"/>
        <v/>
      </c>
      <c r="M197" t="str">
        <f t="shared" si="7"/>
        <v/>
      </c>
    </row>
    <row r="198" spans="9:13">
      <c r="I198" t="str">
        <f t="shared" si="6"/>
        <v/>
      </c>
      <c r="M198" t="str">
        <f t="shared" si="7"/>
        <v/>
      </c>
    </row>
    <row r="199" spans="9:13">
      <c r="I199" t="str">
        <f t="shared" si="6"/>
        <v/>
      </c>
      <c r="M199" t="str">
        <f t="shared" si="7"/>
        <v/>
      </c>
    </row>
    <row r="200" spans="9:13">
      <c r="I200" t="str">
        <f t="shared" si="6"/>
        <v/>
      </c>
      <c r="M200" t="str">
        <f t="shared" si="7"/>
        <v/>
      </c>
    </row>
    <row r="201" spans="9:13">
      <c r="I201" t="str">
        <f t="shared" si="6"/>
        <v/>
      </c>
      <c r="M201" t="str">
        <f t="shared" si="7"/>
        <v/>
      </c>
    </row>
    <row r="202" spans="9:13">
      <c r="I202" t="str">
        <f t="shared" si="6"/>
        <v/>
      </c>
      <c r="M202" t="str">
        <f t="shared" si="7"/>
        <v/>
      </c>
    </row>
    <row r="203" spans="9:13">
      <c r="I203" t="str">
        <f t="shared" si="6"/>
        <v/>
      </c>
      <c r="M203" t="str">
        <f t="shared" si="7"/>
        <v/>
      </c>
    </row>
    <row r="204" spans="9:13">
      <c r="I204" t="str">
        <f t="shared" si="6"/>
        <v/>
      </c>
      <c r="M204" t="str">
        <f t="shared" si="7"/>
        <v/>
      </c>
    </row>
    <row r="205" spans="9:13">
      <c r="I205" t="str">
        <f t="shared" si="6"/>
        <v/>
      </c>
      <c r="M205" t="str">
        <f t="shared" si="7"/>
        <v/>
      </c>
    </row>
    <row r="206" spans="9:13">
      <c r="I206" t="str">
        <f t="shared" si="6"/>
        <v/>
      </c>
      <c r="M206" t="str">
        <f t="shared" si="7"/>
        <v/>
      </c>
    </row>
    <row r="207" spans="9:13">
      <c r="I207" t="str">
        <f t="shared" si="6"/>
        <v/>
      </c>
      <c r="M207" t="str">
        <f t="shared" si="7"/>
        <v/>
      </c>
    </row>
    <row r="208" spans="9:13">
      <c r="I208" t="str">
        <f t="shared" si="6"/>
        <v/>
      </c>
      <c r="M208" t="str">
        <f t="shared" si="7"/>
        <v/>
      </c>
    </row>
    <row r="209" spans="9:13">
      <c r="I209" t="str">
        <f t="shared" si="6"/>
        <v/>
      </c>
      <c r="M209" t="str">
        <f t="shared" si="7"/>
        <v/>
      </c>
    </row>
    <row r="210" spans="9:13">
      <c r="I210" t="str">
        <f t="shared" si="6"/>
        <v/>
      </c>
      <c r="M210" t="str">
        <f t="shared" si="7"/>
        <v/>
      </c>
    </row>
    <row r="211" spans="9:13">
      <c r="I211" t="str">
        <f t="shared" si="6"/>
        <v/>
      </c>
      <c r="M211" t="str">
        <f t="shared" si="7"/>
        <v/>
      </c>
    </row>
    <row r="212" spans="9:13">
      <c r="I212" t="str">
        <f t="shared" si="6"/>
        <v/>
      </c>
      <c r="M212" t="str">
        <f t="shared" si="7"/>
        <v/>
      </c>
    </row>
    <row r="213" spans="9:13">
      <c r="I213" t="str">
        <f t="shared" si="6"/>
        <v/>
      </c>
      <c r="M213" t="str">
        <f t="shared" si="7"/>
        <v/>
      </c>
    </row>
    <row r="214" spans="9:13">
      <c r="I214" t="str">
        <f t="shared" si="6"/>
        <v/>
      </c>
      <c r="M214" t="str">
        <f t="shared" si="7"/>
        <v/>
      </c>
    </row>
    <row r="215" spans="9:13">
      <c r="I215" t="str">
        <f t="shared" si="6"/>
        <v/>
      </c>
      <c r="M215" t="str">
        <f t="shared" si="7"/>
        <v/>
      </c>
    </row>
    <row r="216" spans="9:13">
      <c r="I216" t="str">
        <f t="shared" si="6"/>
        <v/>
      </c>
      <c r="M216" t="str">
        <f t="shared" si="7"/>
        <v/>
      </c>
    </row>
    <row r="217" spans="9:13">
      <c r="I217" t="str">
        <f t="shared" si="6"/>
        <v/>
      </c>
      <c r="M217" t="str">
        <f t="shared" si="7"/>
        <v/>
      </c>
    </row>
    <row r="218" spans="9:13">
      <c r="I218" t="str">
        <f t="shared" si="6"/>
        <v/>
      </c>
      <c r="M218" t="str">
        <f t="shared" si="7"/>
        <v/>
      </c>
    </row>
    <row r="219" spans="9:13">
      <c r="I219" t="str">
        <f t="shared" si="6"/>
        <v/>
      </c>
      <c r="M219" t="str">
        <f t="shared" si="7"/>
        <v/>
      </c>
    </row>
    <row r="220" spans="9:13">
      <c r="I220" t="str">
        <f t="shared" si="6"/>
        <v/>
      </c>
      <c r="M220" t="str">
        <f t="shared" si="7"/>
        <v/>
      </c>
    </row>
    <row r="221" spans="9:13">
      <c r="I221" t="str">
        <f t="shared" si="6"/>
        <v/>
      </c>
      <c r="M221" t="str">
        <f t="shared" si="7"/>
        <v/>
      </c>
    </row>
    <row r="222" spans="9:13">
      <c r="I222" t="str">
        <f t="shared" si="6"/>
        <v/>
      </c>
      <c r="M222" t="str">
        <f t="shared" si="7"/>
        <v/>
      </c>
    </row>
    <row r="223" spans="9:13">
      <c r="I223" t="str">
        <f t="shared" si="6"/>
        <v/>
      </c>
      <c r="M223" t="str">
        <f t="shared" si="7"/>
        <v/>
      </c>
    </row>
    <row r="224" spans="9:13">
      <c r="I224" t="str">
        <f t="shared" si="6"/>
        <v/>
      </c>
      <c r="M224" t="str">
        <f t="shared" si="7"/>
        <v/>
      </c>
    </row>
    <row r="225" spans="9:13">
      <c r="I225" t="str">
        <f t="shared" si="6"/>
        <v/>
      </c>
      <c r="M225" t="str">
        <f t="shared" si="7"/>
        <v/>
      </c>
    </row>
    <row r="226" spans="9:13">
      <c r="I226" t="str">
        <f t="shared" si="6"/>
        <v/>
      </c>
      <c r="M226" t="str">
        <f t="shared" si="7"/>
        <v/>
      </c>
    </row>
    <row r="227" spans="9:13">
      <c r="I227" t="str">
        <f t="shared" si="6"/>
        <v/>
      </c>
      <c r="M227" t="str">
        <f t="shared" si="7"/>
        <v/>
      </c>
    </row>
    <row r="228" spans="9:13">
      <c r="I228" t="str">
        <f t="shared" si="6"/>
        <v/>
      </c>
      <c r="M228" t="str">
        <f t="shared" si="7"/>
        <v/>
      </c>
    </row>
    <row r="229" spans="9:13">
      <c r="I229" t="str">
        <f t="shared" si="6"/>
        <v/>
      </c>
      <c r="M229" t="str">
        <f t="shared" si="7"/>
        <v/>
      </c>
    </row>
    <row r="230" spans="9:13">
      <c r="I230" t="str">
        <f t="shared" si="6"/>
        <v/>
      </c>
      <c r="M230" t="str">
        <f t="shared" si="7"/>
        <v/>
      </c>
    </row>
    <row r="231" spans="9:13">
      <c r="I231" t="str">
        <f t="shared" si="6"/>
        <v/>
      </c>
      <c r="M231" t="str">
        <f t="shared" si="7"/>
        <v/>
      </c>
    </row>
    <row r="232" spans="9:13">
      <c r="I232" t="str">
        <f t="shared" si="6"/>
        <v/>
      </c>
      <c r="M232" t="str">
        <f t="shared" si="7"/>
        <v/>
      </c>
    </row>
    <row r="233" spans="9:13">
      <c r="I233" t="str">
        <f t="shared" si="6"/>
        <v/>
      </c>
      <c r="M233" t="str">
        <f t="shared" si="7"/>
        <v/>
      </c>
    </row>
    <row r="234" spans="9:13">
      <c r="I234" t="str">
        <f t="shared" si="6"/>
        <v/>
      </c>
      <c r="M234" t="str">
        <f t="shared" si="7"/>
        <v/>
      </c>
    </row>
    <row r="235" spans="9:13">
      <c r="I235" t="str">
        <f t="shared" si="6"/>
        <v/>
      </c>
      <c r="M235" t="str">
        <f t="shared" si="7"/>
        <v/>
      </c>
    </row>
    <row r="236" spans="9:13">
      <c r="I236" t="str">
        <f t="shared" si="6"/>
        <v/>
      </c>
      <c r="M236" t="str">
        <f t="shared" si="7"/>
        <v/>
      </c>
    </row>
    <row r="237" spans="9:13">
      <c r="I237" t="str">
        <f t="shared" si="6"/>
        <v/>
      </c>
      <c r="M237" t="str">
        <f t="shared" si="7"/>
        <v/>
      </c>
    </row>
    <row r="238" spans="9:13">
      <c r="I238" t="str">
        <f t="shared" si="6"/>
        <v/>
      </c>
      <c r="M238" t="str">
        <f t="shared" si="7"/>
        <v/>
      </c>
    </row>
    <row r="239" spans="9:13">
      <c r="I239" t="str">
        <f t="shared" si="6"/>
        <v/>
      </c>
      <c r="M239" t="str">
        <f t="shared" si="7"/>
        <v/>
      </c>
    </row>
    <row r="240" spans="9:13">
      <c r="I240" t="str">
        <f t="shared" si="6"/>
        <v/>
      </c>
      <c r="M240" t="str">
        <f t="shared" si="7"/>
        <v/>
      </c>
    </row>
    <row r="241" spans="9:13">
      <c r="I241" t="str">
        <f t="shared" si="6"/>
        <v/>
      </c>
      <c r="M241" t="str">
        <f t="shared" si="7"/>
        <v/>
      </c>
    </row>
    <row r="242" spans="9:13">
      <c r="I242" t="str">
        <f t="shared" si="6"/>
        <v/>
      </c>
      <c r="M242" t="str">
        <f t="shared" si="7"/>
        <v/>
      </c>
    </row>
    <row r="243" spans="9:13">
      <c r="I243" t="str">
        <f t="shared" si="6"/>
        <v/>
      </c>
      <c r="M243" t="str">
        <f t="shared" si="7"/>
        <v/>
      </c>
    </row>
    <row r="244" spans="9:13">
      <c r="I244" t="str">
        <f t="shared" si="6"/>
        <v/>
      </c>
      <c r="M244" t="str">
        <f t="shared" si="7"/>
        <v/>
      </c>
    </row>
    <row r="245" spans="9:13">
      <c r="I245" t="str">
        <f t="shared" si="6"/>
        <v/>
      </c>
      <c r="M245" t="str">
        <f t="shared" si="7"/>
        <v/>
      </c>
    </row>
    <row r="246" spans="9:13">
      <c r="I246" t="str">
        <f t="shared" si="6"/>
        <v/>
      </c>
      <c r="M246" t="str">
        <f t="shared" si="7"/>
        <v/>
      </c>
    </row>
    <row r="247" spans="9:13">
      <c r="I247" t="str">
        <f t="shared" si="6"/>
        <v/>
      </c>
      <c r="M247" t="str">
        <f t="shared" si="7"/>
        <v/>
      </c>
    </row>
    <row r="248" spans="9:13">
      <c r="I248" t="str">
        <f t="shared" si="6"/>
        <v/>
      </c>
      <c r="M248" t="str">
        <f t="shared" si="7"/>
        <v/>
      </c>
    </row>
    <row r="249" spans="9:13">
      <c r="I249" t="str">
        <f t="shared" si="6"/>
        <v/>
      </c>
      <c r="M249" t="str">
        <f t="shared" si="7"/>
        <v/>
      </c>
    </row>
    <row r="250" spans="9:13">
      <c r="I250" t="str">
        <f t="shared" si="6"/>
        <v/>
      </c>
      <c r="M250" t="str">
        <f t="shared" si="7"/>
        <v/>
      </c>
    </row>
    <row r="251" spans="9:13">
      <c r="I251" t="str">
        <f t="shared" si="6"/>
        <v/>
      </c>
      <c r="M251" t="str">
        <f t="shared" si="7"/>
        <v/>
      </c>
    </row>
    <row r="252" spans="9:13">
      <c r="I252" t="str">
        <f t="shared" si="6"/>
        <v/>
      </c>
      <c r="M252" t="str">
        <f t="shared" si="7"/>
        <v/>
      </c>
    </row>
    <row r="253" spans="9:13">
      <c r="I253" t="str">
        <f t="shared" si="6"/>
        <v/>
      </c>
      <c r="M253" t="str">
        <f t="shared" si="7"/>
        <v/>
      </c>
    </row>
    <row r="254" spans="9:13">
      <c r="I254" t="str">
        <f t="shared" si="6"/>
        <v/>
      </c>
      <c r="M254" t="str">
        <f t="shared" si="7"/>
        <v/>
      </c>
    </row>
    <row r="255" spans="9:13">
      <c r="I255" t="str">
        <f t="shared" si="6"/>
        <v/>
      </c>
      <c r="M255" t="str">
        <f t="shared" si="7"/>
        <v/>
      </c>
    </row>
    <row r="256" spans="9:13">
      <c r="I256" t="str">
        <f t="shared" si="6"/>
        <v/>
      </c>
      <c r="M256" t="str">
        <f t="shared" si="7"/>
        <v/>
      </c>
    </row>
    <row r="257" spans="9:13">
      <c r="I257" t="str">
        <f t="shared" si="6"/>
        <v/>
      </c>
      <c r="M257" t="str">
        <f t="shared" si="7"/>
        <v/>
      </c>
    </row>
    <row r="258" spans="9:13">
      <c r="I258" t="str">
        <f t="shared" ref="I258:I321" si="8">IF(AND(G258&lt;&gt;"", H258&lt;&gt;""), G258*H258, "")</f>
        <v/>
      </c>
      <c r="M258" t="str">
        <f t="shared" ref="M258:M321" si="9">IF(AND(K258&lt;&gt;"", L258&lt;&gt;""), K258*L258, "")</f>
        <v/>
      </c>
    </row>
    <row r="259" spans="9:13">
      <c r="I259" t="str">
        <f t="shared" si="8"/>
        <v/>
      </c>
      <c r="M259" t="str">
        <f t="shared" si="9"/>
        <v/>
      </c>
    </row>
    <row r="260" spans="9:13">
      <c r="I260" t="str">
        <f t="shared" si="8"/>
        <v/>
      </c>
      <c r="M260" t="str">
        <f t="shared" si="9"/>
        <v/>
      </c>
    </row>
    <row r="261" spans="9:13">
      <c r="I261" t="str">
        <f t="shared" si="8"/>
        <v/>
      </c>
      <c r="M261" t="str">
        <f t="shared" si="9"/>
        <v/>
      </c>
    </row>
    <row r="262" spans="9:13">
      <c r="I262" t="str">
        <f t="shared" si="8"/>
        <v/>
      </c>
      <c r="M262" t="str">
        <f t="shared" si="9"/>
        <v/>
      </c>
    </row>
    <row r="263" spans="9:13">
      <c r="I263" t="str">
        <f t="shared" si="8"/>
        <v/>
      </c>
      <c r="M263" t="str">
        <f t="shared" si="9"/>
        <v/>
      </c>
    </row>
    <row r="264" spans="9:13">
      <c r="I264" t="str">
        <f t="shared" si="8"/>
        <v/>
      </c>
      <c r="M264" t="str">
        <f t="shared" si="9"/>
        <v/>
      </c>
    </row>
    <row r="265" spans="9:13">
      <c r="I265" t="str">
        <f t="shared" si="8"/>
        <v/>
      </c>
      <c r="M265" t="str">
        <f t="shared" si="9"/>
        <v/>
      </c>
    </row>
    <row r="266" spans="9:13">
      <c r="I266" t="str">
        <f t="shared" si="8"/>
        <v/>
      </c>
      <c r="M266" t="str">
        <f t="shared" si="9"/>
        <v/>
      </c>
    </row>
    <row r="267" spans="9:13">
      <c r="I267" t="str">
        <f t="shared" si="8"/>
        <v/>
      </c>
      <c r="M267" t="str">
        <f t="shared" si="9"/>
        <v/>
      </c>
    </row>
    <row r="268" spans="9:13">
      <c r="I268" t="str">
        <f t="shared" si="8"/>
        <v/>
      </c>
      <c r="M268" t="str">
        <f t="shared" si="9"/>
        <v/>
      </c>
    </row>
    <row r="269" spans="9:13">
      <c r="I269" t="str">
        <f t="shared" si="8"/>
        <v/>
      </c>
      <c r="M269" t="str">
        <f t="shared" si="9"/>
        <v/>
      </c>
    </row>
    <row r="270" spans="9:13">
      <c r="I270" t="str">
        <f t="shared" si="8"/>
        <v/>
      </c>
      <c r="M270" t="str">
        <f t="shared" si="9"/>
        <v/>
      </c>
    </row>
    <row r="271" spans="9:13">
      <c r="I271" t="str">
        <f t="shared" si="8"/>
        <v/>
      </c>
      <c r="M271" t="str">
        <f t="shared" si="9"/>
        <v/>
      </c>
    </row>
    <row r="272" spans="9:13">
      <c r="I272" t="str">
        <f t="shared" si="8"/>
        <v/>
      </c>
      <c r="M272" t="str">
        <f t="shared" si="9"/>
        <v/>
      </c>
    </row>
    <row r="273" spans="9:13">
      <c r="I273" t="str">
        <f t="shared" si="8"/>
        <v/>
      </c>
      <c r="M273" t="str">
        <f t="shared" si="9"/>
        <v/>
      </c>
    </row>
    <row r="274" spans="9:13">
      <c r="I274" t="str">
        <f t="shared" si="8"/>
        <v/>
      </c>
      <c r="M274" t="str">
        <f t="shared" si="9"/>
        <v/>
      </c>
    </row>
    <row r="275" spans="9:13">
      <c r="I275" t="str">
        <f t="shared" si="8"/>
        <v/>
      </c>
      <c r="M275" t="str">
        <f t="shared" si="9"/>
        <v/>
      </c>
    </row>
    <row r="276" spans="9:13">
      <c r="I276" t="str">
        <f t="shared" si="8"/>
        <v/>
      </c>
      <c r="M276" t="str">
        <f t="shared" si="9"/>
        <v/>
      </c>
    </row>
    <row r="277" spans="9:13">
      <c r="I277" t="str">
        <f t="shared" si="8"/>
        <v/>
      </c>
      <c r="M277" t="str">
        <f t="shared" si="9"/>
        <v/>
      </c>
    </row>
    <row r="278" spans="9:13">
      <c r="I278" t="str">
        <f t="shared" si="8"/>
        <v/>
      </c>
      <c r="M278" t="str">
        <f t="shared" si="9"/>
        <v/>
      </c>
    </row>
    <row r="279" spans="9:13">
      <c r="I279" t="str">
        <f t="shared" si="8"/>
        <v/>
      </c>
      <c r="M279" t="str">
        <f t="shared" si="9"/>
        <v/>
      </c>
    </row>
    <row r="280" spans="9:13">
      <c r="I280" t="str">
        <f t="shared" si="8"/>
        <v/>
      </c>
      <c r="M280" t="str">
        <f t="shared" si="9"/>
        <v/>
      </c>
    </row>
    <row r="281" spans="9:13">
      <c r="I281" t="str">
        <f t="shared" si="8"/>
        <v/>
      </c>
      <c r="M281" t="str">
        <f t="shared" si="9"/>
        <v/>
      </c>
    </row>
    <row r="282" spans="9:13">
      <c r="I282" t="str">
        <f t="shared" si="8"/>
        <v/>
      </c>
      <c r="M282" t="str">
        <f t="shared" si="9"/>
        <v/>
      </c>
    </row>
    <row r="283" spans="9:13">
      <c r="I283" t="str">
        <f t="shared" si="8"/>
        <v/>
      </c>
      <c r="M283" t="str">
        <f t="shared" si="9"/>
        <v/>
      </c>
    </row>
    <row r="284" spans="9:13">
      <c r="I284" t="str">
        <f t="shared" si="8"/>
        <v/>
      </c>
      <c r="M284" t="str">
        <f t="shared" si="9"/>
        <v/>
      </c>
    </row>
    <row r="285" spans="9:13">
      <c r="I285" t="str">
        <f t="shared" si="8"/>
        <v/>
      </c>
      <c r="M285" t="str">
        <f t="shared" si="9"/>
        <v/>
      </c>
    </row>
    <row r="286" spans="9:13">
      <c r="I286" t="str">
        <f t="shared" si="8"/>
        <v/>
      </c>
      <c r="M286" t="str">
        <f t="shared" si="9"/>
        <v/>
      </c>
    </row>
    <row r="287" spans="9:13">
      <c r="I287" t="str">
        <f t="shared" si="8"/>
        <v/>
      </c>
      <c r="M287" t="str">
        <f t="shared" si="9"/>
        <v/>
      </c>
    </row>
    <row r="288" spans="9:13">
      <c r="I288" t="str">
        <f t="shared" si="8"/>
        <v/>
      </c>
      <c r="M288" t="str">
        <f t="shared" si="9"/>
        <v/>
      </c>
    </row>
    <row r="289" spans="9:13">
      <c r="I289" t="str">
        <f t="shared" si="8"/>
        <v/>
      </c>
      <c r="M289" t="str">
        <f t="shared" si="9"/>
        <v/>
      </c>
    </row>
    <row r="290" spans="9:13">
      <c r="I290" t="str">
        <f t="shared" si="8"/>
        <v/>
      </c>
      <c r="M290" t="str">
        <f t="shared" si="9"/>
        <v/>
      </c>
    </row>
    <row r="291" spans="9:13">
      <c r="I291" t="str">
        <f t="shared" si="8"/>
        <v/>
      </c>
      <c r="M291" t="str">
        <f t="shared" si="9"/>
        <v/>
      </c>
    </row>
    <row r="292" spans="9:13">
      <c r="I292" t="str">
        <f t="shared" si="8"/>
        <v/>
      </c>
      <c r="M292" t="str">
        <f t="shared" si="9"/>
        <v/>
      </c>
    </row>
    <row r="293" spans="9:13">
      <c r="I293" t="str">
        <f t="shared" si="8"/>
        <v/>
      </c>
      <c r="M293" t="str">
        <f t="shared" si="9"/>
        <v/>
      </c>
    </row>
    <row r="294" spans="9:13">
      <c r="I294" t="str">
        <f t="shared" si="8"/>
        <v/>
      </c>
      <c r="M294" t="str">
        <f t="shared" si="9"/>
        <v/>
      </c>
    </row>
    <row r="295" spans="9:13">
      <c r="I295" t="str">
        <f t="shared" si="8"/>
        <v/>
      </c>
      <c r="M295" t="str">
        <f t="shared" si="9"/>
        <v/>
      </c>
    </row>
    <row r="296" spans="9:13">
      <c r="I296" t="str">
        <f t="shared" si="8"/>
        <v/>
      </c>
      <c r="M296" t="str">
        <f t="shared" si="9"/>
        <v/>
      </c>
    </row>
    <row r="297" spans="9:13">
      <c r="I297" t="str">
        <f t="shared" si="8"/>
        <v/>
      </c>
      <c r="M297" t="str">
        <f t="shared" si="9"/>
        <v/>
      </c>
    </row>
    <row r="298" spans="9:13">
      <c r="I298" t="str">
        <f t="shared" si="8"/>
        <v/>
      </c>
      <c r="M298" t="str">
        <f t="shared" si="9"/>
        <v/>
      </c>
    </row>
    <row r="299" spans="9:13">
      <c r="I299" t="str">
        <f t="shared" si="8"/>
        <v/>
      </c>
      <c r="M299" t="str">
        <f t="shared" si="9"/>
        <v/>
      </c>
    </row>
    <row r="300" spans="9:13">
      <c r="I300" t="str">
        <f t="shared" si="8"/>
        <v/>
      </c>
      <c r="M300" t="str">
        <f t="shared" si="9"/>
        <v/>
      </c>
    </row>
    <row r="301" spans="9:13">
      <c r="I301" t="str">
        <f t="shared" si="8"/>
        <v/>
      </c>
      <c r="M301" t="str">
        <f t="shared" si="9"/>
        <v/>
      </c>
    </row>
    <row r="302" spans="9:13">
      <c r="I302" t="str">
        <f t="shared" si="8"/>
        <v/>
      </c>
      <c r="M302" t="str">
        <f t="shared" si="9"/>
        <v/>
      </c>
    </row>
    <row r="303" spans="9:13">
      <c r="I303" t="str">
        <f t="shared" si="8"/>
        <v/>
      </c>
      <c r="M303" t="str">
        <f t="shared" si="9"/>
        <v/>
      </c>
    </row>
    <row r="304" spans="9:13">
      <c r="I304" t="str">
        <f t="shared" si="8"/>
        <v/>
      </c>
      <c r="M304" t="str">
        <f t="shared" si="9"/>
        <v/>
      </c>
    </row>
    <row r="305" spans="9:13">
      <c r="I305" t="str">
        <f t="shared" si="8"/>
        <v/>
      </c>
      <c r="M305" t="str">
        <f t="shared" si="9"/>
        <v/>
      </c>
    </row>
    <row r="306" spans="9:13">
      <c r="I306" t="str">
        <f t="shared" si="8"/>
        <v/>
      </c>
      <c r="M306" t="str">
        <f t="shared" si="9"/>
        <v/>
      </c>
    </row>
    <row r="307" spans="9:13">
      <c r="I307" t="str">
        <f t="shared" si="8"/>
        <v/>
      </c>
      <c r="M307" t="str">
        <f t="shared" si="9"/>
        <v/>
      </c>
    </row>
    <row r="308" spans="9:13">
      <c r="I308" t="str">
        <f t="shared" si="8"/>
        <v/>
      </c>
      <c r="M308" t="str">
        <f t="shared" si="9"/>
        <v/>
      </c>
    </row>
    <row r="309" spans="9:13">
      <c r="I309" t="str">
        <f t="shared" si="8"/>
        <v/>
      </c>
      <c r="M309" t="str">
        <f t="shared" si="9"/>
        <v/>
      </c>
    </row>
    <row r="310" spans="9:13">
      <c r="I310" t="str">
        <f t="shared" si="8"/>
        <v/>
      </c>
      <c r="M310" t="str">
        <f t="shared" si="9"/>
        <v/>
      </c>
    </row>
    <row r="311" spans="9:13">
      <c r="I311" t="str">
        <f t="shared" si="8"/>
        <v/>
      </c>
      <c r="M311" t="str">
        <f t="shared" si="9"/>
        <v/>
      </c>
    </row>
    <row r="312" spans="9:13">
      <c r="I312" t="str">
        <f t="shared" si="8"/>
        <v/>
      </c>
      <c r="M312" t="str">
        <f t="shared" si="9"/>
        <v/>
      </c>
    </row>
    <row r="313" spans="9:13">
      <c r="I313" t="str">
        <f t="shared" si="8"/>
        <v/>
      </c>
      <c r="M313" t="str">
        <f t="shared" si="9"/>
        <v/>
      </c>
    </row>
    <row r="314" spans="9:13">
      <c r="I314" t="str">
        <f t="shared" si="8"/>
        <v/>
      </c>
      <c r="M314" t="str">
        <f t="shared" si="9"/>
        <v/>
      </c>
    </row>
    <row r="315" spans="9:13">
      <c r="I315" t="str">
        <f t="shared" si="8"/>
        <v/>
      </c>
      <c r="M315" t="str">
        <f t="shared" si="9"/>
        <v/>
      </c>
    </row>
    <row r="316" spans="9:13">
      <c r="I316" t="str">
        <f t="shared" si="8"/>
        <v/>
      </c>
      <c r="M316" t="str">
        <f t="shared" si="9"/>
        <v/>
      </c>
    </row>
    <row r="317" spans="9:13">
      <c r="I317" t="str">
        <f t="shared" si="8"/>
        <v/>
      </c>
      <c r="M317" t="str">
        <f t="shared" si="9"/>
        <v/>
      </c>
    </row>
    <row r="318" spans="9:13">
      <c r="I318" t="str">
        <f t="shared" si="8"/>
        <v/>
      </c>
      <c r="M318" t="str">
        <f t="shared" si="9"/>
        <v/>
      </c>
    </row>
    <row r="319" spans="9:13">
      <c r="I319" t="str">
        <f t="shared" si="8"/>
        <v/>
      </c>
      <c r="M319" t="str">
        <f t="shared" si="9"/>
        <v/>
      </c>
    </row>
    <row r="320" spans="9:13">
      <c r="I320" t="str">
        <f t="shared" si="8"/>
        <v/>
      </c>
      <c r="M320" t="str">
        <f t="shared" si="9"/>
        <v/>
      </c>
    </row>
    <row r="321" spans="9:13">
      <c r="I321" t="str">
        <f t="shared" si="8"/>
        <v/>
      </c>
      <c r="M321" t="str">
        <f t="shared" si="9"/>
        <v/>
      </c>
    </row>
    <row r="322" spans="9:13">
      <c r="I322" t="str">
        <f t="shared" ref="I322:I385" si="10">IF(AND(G322&lt;&gt;"", H322&lt;&gt;""), G322*H322, "")</f>
        <v/>
      </c>
      <c r="M322" t="str">
        <f t="shared" ref="M322:M385" si="11">IF(AND(K322&lt;&gt;"", L322&lt;&gt;""), K322*L322, "")</f>
        <v/>
      </c>
    </row>
    <row r="323" spans="9:13">
      <c r="I323" t="str">
        <f t="shared" si="10"/>
        <v/>
      </c>
      <c r="M323" t="str">
        <f t="shared" si="11"/>
        <v/>
      </c>
    </row>
    <row r="324" spans="9:13">
      <c r="I324" t="str">
        <f t="shared" si="10"/>
        <v/>
      </c>
      <c r="M324" t="str">
        <f t="shared" si="11"/>
        <v/>
      </c>
    </row>
    <row r="325" spans="9:13">
      <c r="I325" t="str">
        <f t="shared" si="10"/>
        <v/>
      </c>
      <c r="M325" t="str">
        <f t="shared" si="11"/>
        <v/>
      </c>
    </row>
    <row r="326" spans="9:13">
      <c r="I326" t="str">
        <f t="shared" si="10"/>
        <v/>
      </c>
      <c r="M326" t="str">
        <f t="shared" si="11"/>
        <v/>
      </c>
    </row>
    <row r="327" spans="9:13">
      <c r="I327" t="str">
        <f t="shared" si="10"/>
        <v/>
      </c>
      <c r="M327" t="str">
        <f t="shared" si="11"/>
        <v/>
      </c>
    </row>
    <row r="328" spans="9:13">
      <c r="I328" t="str">
        <f t="shared" si="10"/>
        <v/>
      </c>
      <c r="M328" t="str">
        <f t="shared" si="11"/>
        <v/>
      </c>
    </row>
    <row r="329" spans="9:13">
      <c r="I329" t="str">
        <f t="shared" si="10"/>
        <v/>
      </c>
      <c r="M329" t="str">
        <f t="shared" si="11"/>
        <v/>
      </c>
    </row>
    <row r="330" spans="9:13">
      <c r="I330" t="str">
        <f t="shared" si="10"/>
        <v/>
      </c>
      <c r="M330" t="str">
        <f t="shared" si="11"/>
        <v/>
      </c>
    </row>
    <row r="331" spans="9:13">
      <c r="I331" t="str">
        <f t="shared" si="10"/>
        <v/>
      </c>
      <c r="M331" t="str">
        <f t="shared" si="11"/>
        <v/>
      </c>
    </row>
    <row r="332" spans="9:13">
      <c r="I332" t="str">
        <f t="shared" si="10"/>
        <v/>
      </c>
      <c r="M332" t="str">
        <f t="shared" si="11"/>
        <v/>
      </c>
    </row>
    <row r="333" spans="9:13">
      <c r="I333" t="str">
        <f t="shared" si="10"/>
        <v/>
      </c>
      <c r="M333" t="str">
        <f t="shared" si="11"/>
        <v/>
      </c>
    </row>
    <row r="334" spans="9:13">
      <c r="I334" t="str">
        <f t="shared" si="10"/>
        <v/>
      </c>
      <c r="M334" t="str">
        <f t="shared" si="11"/>
        <v/>
      </c>
    </row>
    <row r="335" spans="9:13">
      <c r="I335" t="str">
        <f t="shared" si="10"/>
        <v/>
      </c>
      <c r="M335" t="str">
        <f t="shared" si="11"/>
        <v/>
      </c>
    </row>
    <row r="336" spans="9:13">
      <c r="I336" t="str">
        <f t="shared" si="10"/>
        <v/>
      </c>
      <c r="M336" t="str">
        <f t="shared" si="11"/>
        <v/>
      </c>
    </row>
    <row r="337" spans="9:13">
      <c r="I337" t="str">
        <f t="shared" si="10"/>
        <v/>
      </c>
      <c r="M337" t="str">
        <f t="shared" si="11"/>
        <v/>
      </c>
    </row>
    <row r="338" spans="9:13">
      <c r="I338" t="str">
        <f t="shared" si="10"/>
        <v/>
      </c>
      <c r="M338" t="str">
        <f t="shared" si="11"/>
        <v/>
      </c>
    </row>
    <row r="339" spans="9:13">
      <c r="I339" t="str">
        <f t="shared" si="10"/>
        <v/>
      </c>
      <c r="M339" t="str">
        <f t="shared" si="11"/>
        <v/>
      </c>
    </row>
    <row r="340" spans="9:13">
      <c r="I340" t="str">
        <f t="shared" si="10"/>
        <v/>
      </c>
      <c r="M340" t="str">
        <f t="shared" si="11"/>
        <v/>
      </c>
    </row>
    <row r="341" spans="9:13">
      <c r="I341" t="str">
        <f t="shared" si="10"/>
        <v/>
      </c>
      <c r="M341" t="str">
        <f t="shared" si="11"/>
        <v/>
      </c>
    </row>
    <row r="342" spans="9:13">
      <c r="I342" t="str">
        <f t="shared" si="10"/>
        <v/>
      </c>
      <c r="M342" t="str">
        <f t="shared" si="11"/>
        <v/>
      </c>
    </row>
    <row r="343" spans="9:13">
      <c r="I343" t="str">
        <f t="shared" si="10"/>
        <v/>
      </c>
      <c r="M343" t="str">
        <f t="shared" si="11"/>
        <v/>
      </c>
    </row>
    <row r="344" spans="9:13">
      <c r="I344" t="str">
        <f t="shared" si="10"/>
        <v/>
      </c>
      <c r="M344" t="str">
        <f t="shared" si="11"/>
        <v/>
      </c>
    </row>
    <row r="345" spans="9:13">
      <c r="I345" t="str">
        <f t="shared" si="10"/>
        <v/>
      </c>
      <c r="M345" t="str">
        <f t="shared" si="11"/>
        <v/>
      </c>
    </row>
    <row r="346" spans="9:13">
      <c r="I346" t="str">
        <f t="shared" si="10"/>
        <v/>
      </c>
      <c r="M346" t="str">
        <f t="shared" si="11"/>
        <v/>
      </c>
    </row>
    <row r="347" spans="9:13">
      <c r="I347" t="str">
        <f t="shared" si="10"/>
        <v/>
      </c>
      <c r="M347" t="str">
        <f t="shared" si="11"/>
        <v/>
      </c>
    </row>
    <row r="348" spans="9:13">
      <c r="I348" t="str">
        <f t="shared" si="10"/>
        <v/>
      </c>
      <c r="M348" t="str">
        <f t="shared" si="11"/>
        <v/>
      </c>
    </row>
    <row r="349" spans="9:13">
      <c r="I349" t="str">
        <f t="shared" si="10"/>
        <v/>
      </c>
      <c r="M349" t="str">
        <f t="shared" si="11"/>
        <v/>
      </c>
    </row>
    <row r="350" spans="9:13">
      <c r="I350" t="str">
        <f t="shared" si="10"/>
        <v/>
      </c>
      <c r="M350" t="str">
        <f t="shared" si="11"/>
        <v/>
      </c>
    </row>
    <row r="351" spans="9:13">
      <c r="I351" t="str">
        <f t="shared" si="10"/>
        <v/>
      </c>
      <c r="M351" t="str">
        <f t="shared" si="11"/>
        <v/>
      </c>
    </row>
    <row r="352" spans="9:13">
      <c r="I352" t="str">
        <f t="shared" si="10"/>
        <v/>
      </c>
      <c r="M352" t="str">
        <f t="shared" si="11"/>
        <v/>
      </c>
    </row>
    <row r="353" spans="9:13">
      <c r="I353" t="str">
        <f t="shared" si="10"/>
        <v/>
      </c>
      <c r="M353" t="str">
        <f t="shared" si="11"/>
        <v/>
      </c>
    </row>
    <row r="354" spans="9:13">
      <c r="I354" t="str">
        <f t="shared" si="10"/>
        <v/>
      </c>
      <c r="M354" t="str">
        <f t="shared" si="11"/>
        <v/>
      </c>
    </row>
    <row r="355" spans="9:13">
      <c r="I355" t="str">
        <f t="shared" si="10"/>
        <v/>
      </c>
      <c r="M355" t="str">
        <f t="shared" si="11"/>
        <v/>
      </c>
    </row>
    <row r="356" spans="9:13">
      <c r="I356" t="str">
        <f t="shared" si="10"/>
        <v/>
      </c>
      <c r="M356" t="str">
        <f t="shared" si="11"/>
        <v/>
      </c>
    </row>
    <row r="357" spans="9:13">
      <c r="I357" t="str">
        <f t="shared" si="10"/>
        <v/>
      </c>
      <c r="M357" t="str">
        <f t="shared" si="11"/>
        <v/>
      </c>
    </row>
    <row r="358" spans="9:13">
      <c r="I358" t="str">
        <f t="shared" si="10"/>
        <v/>
      </c>
      <c r="M358" t="str">
        <f t="shared" si="11"/>
        <v/>
      </c>
    </row>
    <row r="359" spans="9:13">
      <c r="I359" t="str">
        <f t="shared" si="10"/>
        <v/>
      </c>
      <c r="M359" t="str">
        <f t="shared" si="11"/>
        <v/>
      </c>
    </row>
    <row r="360" spans="9:13">
      <c r="I360" t="str">
        <f t="shared" si="10"/>
        <v/>
      </c>
      <c r="M360" t="str">
        <f t="shared" si="11"/>
        <v/>
      </c>
    </row>
    <row r="361" spans="9:13">
      <c r="I361" t="str">
        <f t="shared" si="10"/>
        <v/>
      </c>
      <c r="M361" t="str">
        <f t="shared" si="11"/>
        <v/>
      </c>
    </row>
    <row r="362" spans="9:13">
      <c r="I362" t="str">
        <f t="shared" si="10"/>
        <v/>
      </c>
      <c r="M362" t="str">
        <f t="shared" si="11"/>
        <v/>
      </c>
    </row>
    <row r="363" spans="9:13">
      <c r="I363" t="str">
        <f t="shared" si="10"/>
        <v/>
      </c>
      <c r="M363" t="str">
        <f t="shared" si="11"/>
        <v/>
      </c>
    </row>
    <row r="364" spans="9:13">
      <c r="I364" t="str">
        <f t="shared" si="10"/>
        <v/>
      </c>
      <c r="M364" t="str">
        <f t="shared" si="11"/>
        <v/>
      </c>
    </row>
    <row r="365" spans="9:13">
      <c r="I365" t="str">
        <f t="shared" si="10"/>
        <v/>
      </c>
      <c r="M365" t="str">
        <f t="shared" si="11"/>
        <v/>
      </c>
    </row>
    <row r="366" spans="9:13">
      <c r="I366" t="str">
        <f t="shared" si="10"/>
        <v/>
      </c>
      <c r="M366" t="str">
        <f t="shared" si="11"/>
        <v/>
      </c>
    </row>
    <row r="367" spans="9:13">
      <c r="I367" t="str">
        <f t="shared" si="10"/>
        <v/>
      </c>
      <c r="M367" t="str">
        <f t="shared" si="11"/>
        <v/>
      </c>
    </row>
    <row r="368" spans="9:13">
      <c r="I368" t="str">
        <f t="shared" si="10"/>
        <v/>
      </c>
      <c r="M368" t="str">
        <f t="shared" si="11"/>
        <v/>
      </c>
    </row>
    <row r="369" spans="9:13">
      <c r="I369" t="str">
        <f t="shared" si="10"/>
        <v/>
      </c>
      <c r="M369" t="str">
        <f t="shared" si="11"/>
        <v/>
      </c>
    </row>
    <row r="370" spans="9:13">
      <c r="I370" t="str">
        <f t="shared" si="10"/>
        <v/>
      </c>
      <c r="M370" t="str">
        <f t="shared" si="11"/>
        <v/>
      </c>
    </row>
    <row r="371" spans="9:13">
      <c r="I371" t="str">
        <f t="shared" si="10"/>
        <v/>
      </c>
      <c r="M371" t="str">
        <f t="shared" si="11"/>
        <v/>
      </c>
    </row>
    <row r="372" spans="9:13">
      <c r="I372" t="str">
        <f t="shared" si="10"/>
        <v/>
      </c>
      <c r="M372" t="str">
        <f t="shared" si="11"/>
        <v/>
      </c>
    </row>
    <row r="373" spans="9:13">
      <c r="I373" t="str">
        <f t="shared" si="10"/>
        <v/>
      </c>
      <c r="M373" t="str">
        <f t="shared" si="11"/>
        <v/>
      </c>
    </row>
    <row r="374" spans="9:13">
      <c r="I374" t="str">
        <f t="shared" si="10"/>
        <v/>
      </c>
      <c r="M374" t="str">
        <f t="shared" si="11"/>
        <v/>
      </c>
    </row>
    <row r="375" spans="9:13">
      <c r="I375" t="str">
        <f t="shared" si="10"/>
        <v/>
      </c>
      <c r="M375" t="str">
        <f t="shared" si="11"/>
        <v/>
      </c>
    </row>
    <row r="376" spans="9:13">
      <c r="I376" t="str">
        <f t="shared" si="10"/>
        <v/>
      </c>
      <c r="M376" t="str">
        <f t="shared" si="11"/>
        <v/>
      </c>
    </row>
    <row r="377" spans="9:13">
      <c r="I377" t="str">
        <f t="shared" si="10"/>
        <v/>
      </c>
      <c r="M377" t="str">
        <f t="shared" si="11"/>
        <v/>
      </c>
    </row>
    <row r="378" spans="9:13">
      <c r="I378" t="str">
        <f t="shared" si="10"/>
        <v/>
      </c>
      <c r="M378" t="str">
        <f t="shared" si="11"/>
        <v/>
      </c>
    </row>
    <row r="379" spans="9:13">
      <c r="I379" t="str">
        <f t="shared" si="10"/>
        <v/>
      </c>
      <c r="M379" t="str">
        <f t="shared" si="11"/>
        <v/>
      </c>
    </row>
    <row r="380" spans="9:13">
      <c r="I380" t="str">
        <f t="shared" si="10"/>
        <v/>
      </c>
      <c r="M380" t="str">
        <f t="shared" si="11"/>
        <v/>
      </c>
    </row>
    <row r="381" spans="9:13">
      <c r="I381" t="str">
        <f t="shared" si="10"/>
        <v/>
      </c>
      <c r="M381" t="str">
        <f t="shared" si="11"/>
        <v/>
      </c>
    </row>
    <row r="382" spans="9:13">
      <c r="I382" t="str">
        <f t="shared" si="10"/>
        <v/>
      </c>
      <c r="M382" t="str">
        <f t="shared" si="11"/>
        <v/>
      </c>
    </row>
    <row r="383" spans="9:13">
      <c r="I383" t="str">
        <f t="shared" si="10"/>
        <v/>
      </c>
      <c r="M383" t="str">
        <f t="shared" si="11"/>
        <v/>
      </c>
    </row>
    <row r="384" spans="9:13">
      <c r="I384" t="str">
        <f t="shared" si="10"/>
        <v/>
      </c>
      <c r="M384" t="str">
        <f t="shared" si="11"/>
        <v/>
      </c>
    </row>
    <row r="385" spans="9:13">
      <c r="I385" t="str">
        <f t="shared" si="10"/>
        <v/>
      </c>
      <c r="M385" t="str">
        <f t="shared" si="11"/>
        <v/>
      </c>
    </row>
    <row r="386" spans="9:13">
      <c r="I386" t="str">
        <f t="shared" ref="I386:I449" si="12">IF(AND(G386&lt;&gt;"", H386&lt;&gt;""), G386*H386, "")</f>
        <v/>
      </c>
      <c r="M386" t="str">
        <f t="shared" ref="M386:M449" si="13">IF(AND(K386&lt;&gt;"", L386&lt;&gt;""), K386*L386, "")</f>
        <v/>
      </c>
    </row>
    <row r="387" spans="9:13">
      <c r="I387" t="str">
        <f t="shared" si="12"/>
        <v/>
      </c>
      <c r="M387" t="str">
        <f t="shared" si="13"/>
        <v/>
      </c>
    </row>
    <row r="388" spans="9:13">
      <c r="I388" t="str">
        <f t="shared" si="12"/>
        <v/>
      </c>
      <c r="M388" t="str">
        <f t="shared" si="13"/>
        <v/>
      </c>
    </row>
    <row r="389" spans="9:13">
      <c r="I389" t="str">
        <f t="shared" si="12"/>
        <v/>
      </c>
      <c r="M389" t="str">
        <f t="shared" si="13"/>
        <v/>
      </c>
    </row>
    <row r="390" spans="9:13">
      <c r="I390" t="str">
        <f t="shared" si="12"/>
        <v/>
      </c>
      <c r="M390" t="str">
        <f t="shared" si="13"/>
        <v/>
      </c>
    </row>
    <row r="391" spans="9:13">
      <c r="I391" t="str">
        <f t="shared" si="12"/>
        <v/>
      </c>
      <c r="M391" t="str">
        <f t="shared" si="13"/>
        <v/>
      </c>
    </row>
    <row r="392" spans="9:13">
      <c r="I392" t="str">
        <f t="shared" si="12"/>
        <v/>
      </c>
      <c r="M392" t="str">
        <f t="shared" si="13"/>
        <v/>
      </c>
    </row>
    <row r="393" spans="9:13">
      <c r="I393" t="str">
        <f t="shared" si="12"/>
        <v/>
      </c>
      <c r="M393" t="str">
        <f t="shared" si="13"/>
        <v/>
      </c>
    </row>
    <row r="394" spans="9:13">
      <c r="I394" t="str">
        <f t="shared" si="12"/>
        <v/>
      </c>
      <c r="M394" t="str">
        <f t="shared" si="13"/>
        <v/>
      </c>
    </row>
    <row r="395" spans="9:13">
      <c r="I395" t="str">
        <f t="shared" si="12"/>
        <v/>
      </c>
      <c r="M395" t="str">
        <f t="shared" si="13"/>
        <v/>
      </c>
    </row>
    <row r="396" spans="9:13">
      <c r="I396" t="str">
        <f t="shared" si="12"/>
        <v/>
      </c>
      <c r="M396" t="str">
        <f t="shared" si="13"/>
        <v/>
      </c>
    </row>
    <row r="397" spans="9:13">
      <c r="I397" t="str">
        <f t="shared" si="12"/>
        <v/>
      </c>
      <c r="M397" t="str">
        <f t="shared" si="13"/>
        <v/>
      </c>
    </row>
    <row r="398" spans="9:13">
      <c r="I398" t="str">
        <f t="shared" si="12"/>
        <v/>
      </c>
      <c r="M398" t="str">
        <f t="shared" si="13"/>
        <v/>
      </c>
    </row>
    <row r="399" spans="9:13">
      <c r="I399" t="str">
        <f t="shared" si="12"/>
        <v/>
      </c>
      <c r="M399" t="str">
        <f t="shared" si="13"/>
        <v/>
      </c>
    </row>
    <row r="400" spans="9:13">
      <c r="I400" t="str">
        <f t="shared" si="12"/>
        <v/>
      </c>
      <c r="M400" t="str">
        <f t="shared" si="13"/>
        <v/>
      </c>
    </row>
    <row r="401" spans="9:13">
      <c r="I401" t="str">
        <f t="shared" si="12"/>
        <v/>
      </c>
      <c r="M401" t="str">
        <f t="shared" si="13"/>
        <v/>
      </c>
    </row>
    <row r="402" spans="9:13">
      <c r="I402" t="str">
        <f t="shared" si="12"/>
        <v/>
      </c>
      <c r="M402" t="str">
        <f t="shared" si="13"/>
        <v/>
      </c>
    </row>
    <row r="403" spans="9:13">
      <c r="I403" t="str">
        <f t="shared" si="12"/>
        <v/>
      </c>
      <c r="M403" t="str">
        <f t="shared" si="13"/>
        <v/>
      </c>
    </row>
    <row r="404" spans="9:13">
      <c r="I404" t="str">
        <f t="shared" si="12"/>
        <v/>
      </c>
      <c r="M404" t="str">
        <f t="shared" si="13"/>
        <v/>
      </c>
    </row>
    <row r="405" spans="9:13">
      <c r="I405" t="str">
        <f t="shared" si="12"/>
        <v/>
      </c>
      <c r="M405" t="str">
        <f t="shared" si="13"/>
        <v/>
      </c>
    </row>
    <row r="406" spans="9:13">
      <c r="I406" t="str">
        <f t="shared" si="12"/>
        <v/>
      </c>
      <c r="M406" t="str">
        <f t="shared" si="13"/>
        <v/>
      </c>
    </row>
    <row r="407" spans="9:13">
      <c r="I407" t="str">
        <f t="shared" si="12"/>
        <v/>
      </c>
      <c r="M407" t="str">
        <f t="shared" si="13"/>
        <v/>
      </c>
    </row>
    <row r="408" spans="9:13">
      <c r="I408" t="str">
        <f t="shared" si="12"/>
        <v/>
      </c>
      <c r="M408" t="str">
        <f t="shared" si="13"/>
        <v/>
      </c>
    </row>
    <row r="409" spans="9:13">
      <c r="I409" t="str">
        <f t="shared" si="12"/>
        <v/>
      </c>
      <c r="M409" t="str">
        <f t="shared" si="13"/>
        <v/>
      </c>
    </row>
    <row r="410" spans="9:13">
      <c r="I410" t="str">
        <f t="shared" si="12"/>
        <v/>
      </c>
      <c r="M410" t="str">
        <f t="shared" si="13"/>
        <v/>
      </c>
    </row>
    <row r="411" spans="9:13">
      <c r="I411" t="str">
        <f t="shared" si="12"/>
        <v/>
      </c>
      <c r="M411" t="str">
        <f t="shared" si="13"/>
        <v/>
      </c>
    </row>
    <row r="412" spans="9:13">
      <c r="I412" t="str">
        <f t="shared" si="12"/>
        <v/>
      </c>
      <c r="M412" t="str">
        <f t="shared" si="13"/>
        <v/>
      </c>
    </row>
    <row r="413" spans="9:13">
      <c r="I413" t="str">
        <f t="shared" si="12"/>
        <v/>
      </c>
      <c r="M413" t="str">
        <f t="shared" si="13"/>
        <v/>
      </c>
    </row>
    <row r="414" spans="9:13">
      <c r="I414" t="str">
        <f t="shared" si="12"/>
        <v/>
      </c>
      <c r="M414" t="str">
        <f t="shared" si="13"/>
        <v/>
      </c>
    </row>
    <row r="415" spans="9:13">
      <c r="I415" t="str">
        <f t="shared" si="12"/>
        <v/>
      </c>
      <c r="M415" t="str">
        <f t="shared" si="13"/>
        <v/>
      </c>
    </row>
    <row r="416" spans="9:13">
      <c r="I416" t="str">
        <f t="shared" si="12"/>
        <v/>
      </c>
      <c r="M416" t="str">
        <f t="shared" si="13"/>
        <v/>
      </c>
    </row>
    <row r="417" spans="9:13">
      <c r="I417" t="str">
        <f t="shared" si="12"/>
        <v/>
      </c>
      <c r="M417" t="str">
        <f t="shared" si="13"/>
        <v/>
      </c>
    </row>
    <row r="418" spans="9:13">
      <c r="I418" t="str">
        <f t="shared" si="12"/>
        <v/>
      </c>
      <c r="M418" t="str">
        <f t="shared" si="13"/>
        <v/>
      </c>
    </row>
    <row r="419" spans="9:13">
      <c r="I419" t="str">
        <f t="shared" si="12"/>
        <v/>
      </c>
      <c r="M419" t="str">
        <f t="shared" si="13"/>
        <v/>
      </c>
    </row>
    <row r="420" spans="9:13">
      <c r="I420" t="str">
        <f t="shared" si="12"/>
        <v/>
      </c>
      <c r="M420" t="str">
        <f t="shared" si="13"/>
        <v/>
      </c>
    </row>
    <row r="421" spans="9:13">
      <c r="I421" t="str">
        <f t="shared" si="12"/>
        <v/>
      </c>
      <c r="M421" t="str">
        <f t="shared" si="13"/>
        <v/>
      </c>
    </row>
    <row r="422" spans="9:13">
      <c r="I422" t="str">
        <f t="shared" si="12"/>
        <v/>
      </c>
      <c r="M422" t="str">
        <f t="shared" si="13"/>
        <v/>
      </c>
    </row>
    <row r="423" spans="9:13">
      <c r="I423" t="str">
        <f t="shared" si="12"/>
        <v/>
      </c>
      <c r="M423" t="str">
        <f t="shared" si="13"/>
        <v/>
      </c>
    </row>
    <row r="424" spans="9:13">
      <c r="I424" t="str">
        <f t="shared" si="12"/>
        <v/>
      </c>
      <c r="M424" t="str">
        <f t="shared" si="13"/>
        <v/>
      </c>
    </row>
    <row r="425" spans="9:13">
      <c r="I425" t="str">
        <f t="shared" si="12"/>
        <v/>
      </c>
      <c r="M425" t="str">
        <f t="shared" si="13"/>
        <v/>
      </c>
    </row>
    <row r="426" spans="9:13">
      <c r="I426" t="str">
        <f t="shared" si="12"/>
        <v/>
      </c>
      <c r="M426" t="str">
        <f t="shared" si="13"/>
        <v/>
      </c>
    </row>
    <row r="427" spans="9:13">
      <c r="I427" t="str">
        <f t="shared" si="12"/>
        <v/>
      </c>
      <c r="M427" t="str">
        <f t="shared" si="13"/>
        <v/>
      </c>
    </row>
    <row r="428" spans="9:13">
      <c r="I428" t="str">
        <f t="shared" si="12"/>
        <v/>
      </c>
      <c r="M428" t="str">
        <f t="shared" si="13"/>
        <v/>
      </c>
    </row>
    <row r="429" spans="9:13">
      <c r="I429" t="str">
        <f t="shared" si="12"/>
        <v/>
      </c>
      <c r="M429" t="str">
        <f t="shared" si="13"/>
        <v/>
      </c>
    </row>
    <row r="430" spans="9:13">
      <c r="I430" t="str">
        <f t="shared" si="12"/>
        <v/>
      </c>
      <c r="M430" t="str">
        <f t="shared" si="13"/>
        <v/>
      </c>
    </row>
    <row r="431" spans="9:13">
      <c r="I431" t="str">
        <f t="shared" si="12"/>
        <v/>
      </c>
      <c r="M431" t="str">
        <f t="shared" si="13"/>
        <v/>
      </c>
    </row>
    <row r="432" spans="9:13">
      <c r="I432" t="str">
        <f t="shared" si="12"/>
        <v/>
      </c>
      <c r="M432" t="str">
        <f t="shared" si="13"/>
        <v/>
      </c>
    </row>
    <row r="433" spans="9:13">
      <c r="I433" t="str">
        <f t="shared" si="12"/>
        <v/>
      </c>
      <c r="M433" t="str">
        <f t="shared" si="13"/>
        <v/>
      </c>
    </row>
    <row r="434" spans="9:13">
      <c r="I434" t="str">
        <f t="shared" si="12"/>
        <v/>
      </c>
      <c r="M434" t="str">
        <f t="shared" si="13"/>
        <v/>
      </c>
    </row>
    <row r="435" spans="9:13">
      <c r="I435" t="str">
        <f t="shared" si="12"/>
        <v/>
      </c>
      <c r="M435" t="str">
        <f t="shared" si="13"/>
        <v/>
      </c>
    </row>
    <row r="436" spans="9:13">
      <c r="I436" t="str">
        <f t="shared" si="12"/>
        <v/>
      </c>
      <c r="M436" t="str">
        <f t="shared" si="13"/>
        <v/>
      </c>
    </row>
    <row r="437" spans="9:13">
      <c r="I437" t="str">
        <f t="shared" si="12"/>
        <v/>
      </c>
      <c r="M437" t="str">
        <f t="shared" si="13"/>
        <v/>
      </c>
    </row>
    <row r="438" spans="9:13">
      <c r="I438" t="str">
        <f t="shared" si="12"/>
        <v/>
      </c>
      <c r="M438" t="str">
        <f t="shared" si="13"/>
        <v/>
      </c>
    </row>
    <row r="439" spans="9:13">
      <c r="I439" t="str">
        <f t="shared" si="12"/>
        <v/>
      </c>
      <c r="M439" t="str">
        <f t="shared" si="13"/>
        <v/>
      </c>
    </row>
    <row r="440" spans="9:13">
      <c r="I440" t="str">
        <f t="shared" si="12"/>
        <v/>
      </c>
      <c r="M440" t="str">
        <f t="shared" si="13"/>
        <v/>
      </c>
    </row>
    <row r="441" spans="9:13">
      <c r="I441" t="str">
        <f t="shared" si="12"/>
        <v/>
      </c>
      <c r="M441" t="str">
        <f t="shared" si="13"/>
        <v/>
      </c>
    </row>
    <row r="442" spans="9:13">
      <c r="I442" t="str">
        <f t="shared" si="12"/>
        <v/>
      </c>
      <c r="M442" t="str">
        <f t="shared" si="13"/>
        <v/>
      </c>
    </row>
    <row r="443" spans="9:13">
      <c r="I443" t="str">
        <f t="shared" si="12"/>
        <v/>
      </c>
      <c r="M443" t="str">
        <f t="shared" si="13"/>
        <v/>
      </c>
    </row>
    <row r="444" spans="9:13">
      <c r="I444" t="str">
        <f t="shared" si="12"/>
        <v/>
      </c>
      <c r="M444" t="str">
        <f t="shared" si="13"/>
        <v/>
      </c>
    </row>
    <row r="445" spans="9:13">
      <c r="I445" t="str">
        <f t="shared" si="12"/>
        <v/>
      </c>
      <c r="M445" t="str">
        <f t="shared" si="13"/>
        <v/>
      </c>
    </row>
    <row r="446" spans="9:13">
      <c r="I446" t="str">
        <f t="shared" si="12"/>
        <v/>
      </c>
      <c r="M446" t="str">
        <f t="shared" si="13"/>
        <v/>
      </c>
    </row>
    <row r="447" spans="9:13">
      <c r="I447" t="str">
        <f t="shared" si="12"/>
        <v/>
      </c>
      <c r="M447" t="str">
        <f t="shared" si="13"/>
        <v/>
      </c>
    </row>
    <row r="448" spans="9:13">
      <c r="I448" t="str">
        <f t="shared" si="12"/>
        <v/>
      </c>
      <c r="M448" t="str">
        <f t="shared" si="13"/>
        <v/>
      </c>
    </row>
    <row r="449" spans="9:13">
      <c r="I449" t="str">
        <f t="shared" si="12"/>
        <v/>
      </c>
      <c r="M449" t="str">
        <f t="shared" si="13"/>
        <v/>
      </c>
    </row>
    <row r="450" spans="9:13">
      <c r="I450" t="str">
        <f t="shared" ref="I450:I513" si="14">IF(AND(G450&lt;&gt;"", H450&lt;&gt;""), G450*H450, "")</f>
        <v/>
      </c>
      <c r="M450" t="str">
        <f t="shared" ref="M450:M513" si="15">IF(AND(K450&lt;&gt;"", L450&lt;&gt;""), K450*L450, "")</f>
        <v/>
      </c>
    </row>
    <row r="451" spans="9:13">
      <c r="I451" t="str">
        <f t="shared" si="14"/>
        <v/>
      </c>
      <c r="M451" t="str">
        <f t="shared" si="15"/>
        <v/>
      </c>
    </row>
    <row r="452" spans="9:13">
      <c r="I452" t="str">
        <f t="shared" si="14"/>
        <v/>
      </c>
      <c r="M452" t="str">
        <f t="shared" si="15"/>
        <v/>
      </c>
    </row>
    <row r="453" spans="9:13">
      <c r="I453" t="str">
        <f t="shared" si="14"/>
        <v/>
      </c>
      <c r="M453" t="str">
        <f t="shared" si="15"/>
        <v/>
      </c>
    </row>
    <row r="454" spans="9:13">
      <c r="I454" t="str">
        <f t="shared" si="14"/>
        <v/>
      </c>
      <c r="M454" t="str">
        <f t="shared" si="15"/>
        <v/>
      </c>
    </row>
    <row r="455" spans="9:13">
      <c r="I455" t="str">
        <f t="shared" si="14"/>
        <v/>
      </c>
      <c r="M455" t="str">
        <f t="shared" si="15"/>
        <v/>
      </c>
    </row>
    <row r="456" spans="9:13">
      <c r="I456" t="str">
        <f t="shared" si="14"/>
        <v/>
      </c>
      <c r="M456" t="str">
        <f t="shared" si="15"/>
        <v/>
      </c>
    </row>
    <row r="457" spans="9:13">
      <c r="I457" t="str">
        <f t="shared" si="14"/>
        <v/>
      </c>
      <c r="M457" t="str">
        <f t="shared" si="15"/>
        <v/>
      </c>
    </row>
    <row r="458" spans="9:13">
      <c r="I458" t="str">
        <f t="shared" si="14"/>
        <v/>
      </c>
      <c r="M458" t="str">
        <f t="shared" si="15"/>
        <v/>
      </c>
    </row>
    <row r="459" spans="9:13">
      <c r="I459" t="str">
        <f t="shared" si="14"/>
        <v/>
      </c>
      <c r="M459" t="str">
        <f t="shared" si="15"/>
        <v/>
      </c>
    </row>
    <row r="460" spans="9:13">
      <c r="I460" t="str">
        <f t="shared" si="14"/>
        <v/>
      </c>
      <c r="M460" t="str">
        <f t="shared" si="15"/>
        <v/>
      </c>
    </row>
    <row r="461" spans="9:13">
      <c r="I461" t="str">
        <f t="shared" si="14"/>
        <v/>
      </c>
      <c r="M461" t="str">
        <f t="shared" si="15"/>
        <v/>
      </c>
    </row>
    <row r="462" spans="9:13">
      <c r="I462" t="str">
        <f t="shared" si="14"/>
        <v/>
      </c>
      <c r="M462" t="str">
        <f t="shared" si="15"/>
        <v/>
      </c>
    </row>
    <row r="463" spans="9:13">
      <c r="I463" t="str">
        <f t="shared" si="14"/>
        <v/>
      </c>
      <c r="M463" t="str">
        <f t="shared" si="15"/>
        <v/>
      </c>
    </row>
    <row r="464" spans="9:13">
      <c r="I464" t="str">
        <f t="shared" si="14"/>
        <v/>
      </c>
      <c r="M464" t="str">
        <f t="shared" si="15"/>
        <v/>
      </c>
    </row>
    <row r="465" spans="9:13">
      <c r="I465" t="str">
        <f t="shared" si="14"/>
        <v/>
      </c>
      <c r="M465" t="str">
        <f t="shared" si="15"/>
        <v/>
      </c>
    </row>
    <row r="466" spans="9:13">
      <c r="I466" t="str">
        <f t="shared" si="14"/>
        <v/>
      </c>
      <c r="M466" t="str">
        <f t="shared" si="15"/>
        <v/>
      </c>
    </row>
    <row r="467" spans="9:13">
      <c r="I467" t="str">
        <f t="shared" si="14"/>
        <v/>
      </c>
      <c r="M467" t="str">
        <f t="shared" si="15"/>
        <v/>
      </c>
    </row>
    <row r="468" spans="9:13">
      <c r="I468" t="str">
        <f t="shared" si="14"/>
        <v/>
      </c>
      <c r="M468" t="str">
        <f t="shared" si="15"/>
        <v/>
      </c>
    </row>
    <row r="469" spans="9:13">
      <c r="I469" t="str">
        <f t="shared" si="14"/>
        <v/>
      </c>
      <c r="M469" t="str">
        <f t="shared" si="15"/>
        <v/>
      </c>
    </row>
    <row r="470" spans="9:13">
      <c r="I470" t="str">
        <f t="shared" si="14"/>
        <v/>
      </c>
      <c r="M470" t="str">
        <f t="shared" si="15"/>
        <v/>
      </c>
    </row>
    <row r="471" spans="9:13">
      <c r="I471" t="str">
        <f t="shared" si="14"/>
        <v/>
      </c>
      <c r="M471" t="str">
        <f t="shared" si="15"/>
        <v/>
      </c>
    </row>
    <row r="472" spans="9:13">
      <c r="I472" t="str">
        <f t="shared" si="14"/>
        <v/>
      </c>
      <c r="M472" t="str">
        <f t="shared" si="15"/>
        <v/>
      </c>
    </row>
    <row r="473" spans="9:13">
      <c r="I473" t="str">
        <f t="shared" si="14"/>
        <v/>
      </c>
      <c r="M473" t="str">
        <f t="shared" si="15"/>
        <v/>
      </c>
    </row>
    <row r="474" spans="9:13">
      <c r="I474" t="str">
        <f t="shared" si="14"/>
        <v/>
      </c>
      <c r="M474" t="str">
        <f t="shared" si="15"/>
        <v/>
      </c>
    </row>
    <row r="475" spans="9:13">
      <c r="I475" t="str">
        <f t="shared" si="14"/>
        <v/>
      </c>
      <c r="M475" t="str">
        <f t="shared" si="15"/>
        <v/>
      </c>
    </row>
    <row r="476" spans="9:13">
      <c r="I476" t="str">
        <f t="shared" si="14"/>
        <v/>
      </c>
      <c r="M476" t="str">
        <f t="shared" si="15"/>
        <v/>
      </c>
    </row>
    <row r="477" spans="9:13">
      <c r="I477" t="str">
        <f t="shared" si="14"/>
        <v/>
      </c>
      <c r="M477" t="str">
        <f t="shared" si="15"/>
        <v/>
      </c>
    </row>
    <row r="478" spans="9:13">
      <c r="I478" t="str">
        <f t="shared" si="14"/>
        <v/>
      </c>
      <c r="M478" t="str">
        <f t="shared" si="15"/>
        <v/>
      </c>
    </row>
    <row r="479" spans="9:13">
      <c r="I479" t="str">
        <f t="shared" si="14"/>
        <v/>
      </c>
      <c r="M479" t="str">
        <f t="shared" si="15"/>
        <v/>
      </c>
    </row>
    <row r="480" spans="9:13">
      <c r="I480" t="str">
        <f t="shared" si="14"/>
        <v/>
      </c>
      <c r="M480" t="str">
        <f t="shared" si="15"/>
        <v/>
      </c>
    </row>
    <row r="481" spans="9:13">
      <c r="I481" t="str">
        <f t="shared" si="14"/>
        <v/>
      </c>
      <c r="M481" t="str">
        <f t="shared" si="15"/>
        <v/>
      </c>
    </row>
    <row r="482" spans="9:13">
      <c r="I482" t="str">
        <f t="shared" si="14"/>
        <v/>
      </c>
      <c r="M482" t="str">
        <f t="shared" si="15"/>
        <v/>
      </c>
    </row>
    <row r="483" spans="9:13">
      <c r="I483" t="str">
        <f t="shared" si="14"/>
        <v/>
      </c>
      <c r="M483" t="str">
        <f t="shared" si="15"/>
        <v/>
      </c>
    </row>
    <row r="484" spans="9:13">
      <c r="I484" t="str">
        <f t="shared" si="14"/>
        <v/>
      </c>
      <c r="M484" t="str">
        <f t="shared" si="15"/>
        <v/>
      </c>
    </row>
    <row r="485" spans="9:13">
      <c r="I485" t="str">
        <f t="shared" si="14"/>
        <v/>
      </c>
      <c r="M485" t="str">
        <f t="shared" si="15"/>
        <v/>
      </c>
    </row>
    <row r="486" spans="9:13">
      <c r="I486" t="str">
        <f t="shared" si="14"/>
        <v/>
      </c>
      <c r="M486" t="str">
        <f t="shared" si="15"/>
        <v/>
      </c>
    </row>
    <row r="487" spans="9:13">
      <c r="I487" t="str">
        <f t="shared" si="14"/>
        <v/>
      </c>
      <c r="M487" t="str">
        <f t="shared" si="15"/>
        <v/>
      </c>
    </row>
    <row r="488" spans="9:13">
      <c r="I488" t="str">
        <f t="shared" si="14"/>
        <v/>
      </c>
      <c r="M488" t="str">
        <f t="shared" si="15"/>
        <v/>
      </c>
    </row>
    <row r="489" spans="9:13">
      <c r="I489" t="str">
        <f t="shared" si="14"/>
        <v/>
      </c>
      <c r="M489" t="str">
        <f t="shared" si="15"/>
        <v/>
      </c>
    </row>
    <row r="490" spans="9:13">
      <c r="I490" t="str">
        <f t="shared" si="14"/>
        <v/>
      </c>
      <c r="M490" t="str">
        <f t="shared" si="15"/>
        <v/>
      </c>
    </row>
    <row r="491" spans="9:13">
      <c r="I491" t="str">
        <f t="shared" si="14"/>
        <v/>
      </c>
      <c r="M491" t="str">
        <f t="shared" si="15"/>
        <v/>
      </c>
    </row>
    <row r="492" spans="9:13">
      <c r="I492" t="str">
        <f t="shared" si="14"/>
        <v/>
      </c>
      <c r="M492" t="str">
        <f t="shared" si="15"/>
        <v/>
      </c>
    </row>
    <row r="493" spans="9:13">
      <c r="I493" t="str">
        <f t="shared" si="14"/>
        <v/>
      </c>
      <c r="M493" t="str">
        <f t="shared" si="15"/>
        <v/>
      </c>
    </row>
    <row r="494" spans="9:13">
      <c r="I494" t="str">
        <f t="shared" si="14"/>
        <v/>
      </c>
      <c r="M494" t="str">
        <f t="shared" si="15"/>
        <v/>
      </c>
    </row>
    <row r="495" spans="9:13">
      <c r="I495" t="str">
        <f t="shared" si="14"/>
        <v/>
      </c>
      <c r="M495" t="str">
        <f t="shared" si="15"/>
        <v/>
      </c>
    </row>
    <row r="496" spans="9:13">
      <c r="I496" t="str">
        <f t="shared" si="14"/>
        <v/>
      </c>
      <c r="M496" t="str">
        <f t="shared" si="15"/>
        <v/>
      </c>
    </row>
    <row r="497" spans="9:13">
      <c r="I497" t="str">
        <f t="shared" si="14"/>
        <v/>
      </c>
      <c r="M497" t="str">
        <f t="shared" si="15"/>
        <v/>
      </c>
    </row>
    <row r="498" spans="9:13">
      <c r="I498" t="str">
        <f t="shared" si="14"/>
        <v/>
      </c>
      <c r="M498" t="str">
        <f t="shared" si="15"/>
        <v/>
      </c>
    </row>
    <row r="499" spans="9:13">
      <c r="I499" t="str">
        <f t="shared" si="14"/>
        <v/>
      </c>
      <c r="M499" t="str">
        <f t="shared" si="15"/>
        <v/>
      </c>
    </row>
    <row r="500" spans="9:13">
      <c r="I500" t="str">
        <f t="shared" si="14"/>
        <v/>
      </c>
      <c r="M500" t="str">
        <f t="shared" si="15"/>
        <v/>
      </c>
    </row>
    <row r="501" spans="9:13">
      <c r="I501" t="str">
        <f t="shared" si="14"/>
        <v/>
      </c>
      <c r="M501" t="str">
        <f t="shared" si="15"/>
        <v/>
      </c>
    </row>
    <row r="502" spans="9:13">
      <c r="I502" t="str">
        <f t="shared" si="14"/>
        <v/>
      </c>
      <c r="M502" t="str">
        <f t="shared" si="15"/>
        <v/>
      </c>
    </row>
    <row r="503" spans="9:13">
      <c r="I503" t="str">
        <f t="shared" si="14"/>
        <v/>
      </c>
      <c r="M503" t="str">
        <f t="shared" si="15"/>
        <v/>
      </c>
    </row>
    <row r="504" spans="9:13">
      <c r="I504" t="str">
        <f t="shared" si="14"/>
        <v/>
      </c>
      <c r="M504" t="str">
        <f t="shared" si="15"/>
        <v/>
      </c>
    </row>
    <row r="505" spans="9:13">
      <c r="I505" t="str">
        <f t="shared" si="14"/>
        <v/>
      </c>
      <c r="M505" t="str">
        <f t="shared" si="15"/>
        <v/>
      </c>
    </row>
    <row r="506" spans="9:13">
      <c r="I506" t="str">
        <f t="shared" si="14"/>
        <v/>
      </c>
      <c r="M506" t="str">
        <f t="shared" si="15"/>
        <v/>
      </c>
    </row>
    <row r="507" spans="9:13">
      <c r="I507" t="str">
        <f t="shared" si="14"/>
        <v/>
      </c>
      <c r="M507" t="str">
        <f t="shared" si="15"/>
        <v/>
      </c>
    </row>
    <row r="508" spans="9:13">
      <c r="I508" t="str">
        <f t="shared" si="14"/>
        <v/>
      </c>
      <c r="M508" t="str">
        <f t="shared" si="15"/>
        <v/>
      </c>
    </row>
    <row r="509" spans="9:13">
      <c r="I509" t="str">
        <f t="shared" si="14"/>
        <v/>
      </c>
      <c r="M509" t="str">
        <f t="shared" si="15"/>
        <v/>
      </c>
    </row>
    <row r="510" spans="9:13">
      <c r="I510" t="str">
        <f t="shared" si="14"/>
        <v/>
      </c>
      <c r="M510" t="str">
        <f t="shared" si="15"/>
        <v/>
      </c>
    </row>
    <row r="511" spans="9:13">
      <c r="I511" t="str">
        <f t="shared" si="14"/>
        <v/>
      </c>
      <c r="M511" t="str">
        <f t="shared" si="15"/>
        <v/>
      </c>
    </row>
    <row r="512" spans="9:13">
      <c r="I512" t="str">
        <f t="shared" si="14"/>
        <v/>
      </c>
      <c r="M512" t="str">
        <f t="shared" si="15"/>
        <v/>
      </c>
    </row>
    <row r="513" spans="9:13">
      <c r="I513" t="str">
        <f t="shared" si="14"/>
        <v/>
      </c>
      <c r="M513" t="str">
        <f t="shared" si="15"/>
        <v/>
      </c>
    </row>
    <row r="514" spans="9:13">
      <c r="I514" t="str">
        <f t="shared" ref="I514:I577" si="16">IF(AND(G514&lt;&gt;"", H514&lt;&gt;""), G514*H514, "")</f>
        <v/>
      </c>
      <c r="M514" t="str">
        <f t="shared" ref="M514:M577" si="17">IF(AND(K514&lt;&gt;"", L514&lt;&gt;""), K514*L514, "")</f>
        <v/>
      </c>
    </row>
    <row r="515" spans="9:13">
      <c r="I515" t="str">
        <f t="shared" si="16"/>
        <v/>
      </c>
      <c r="M515" t="str">
        <f t="shared" si="17"/>
        <v/>
      </c>
    </row>
    <row r="516" spans="9:13">
      <c r="I516" t="str">
        <f t="shared" si="16"/>
        <v/>
      </c>
      <c r="M516" t="str">
        <f t="shared" si="17"/>
        <v/>
      </c>
    </row>
    <row r="517" spans="9:13">
      <c r="I517" t="str">
        <f t="shared" si="16"/>
        <v/>
      </c>
      <c r="M517" t="str">
        <f t="shared" si="17"/>
        <v/>
      </c>
    </row>
    <row r="518" spans="9:13">
      <c r="I518" t="str">
        <f t="shared" si="16"/>
        <v/>
      </c>
      <c r="M518" t="str">
        <f t="shared" si="17"/>
        <v/>
      </c>
    </row>
    <row r="519" spans="9:13">
      <c r="I519" t="str">
        <f t="shared" si="16"/>
        <v/>
      </c>
      <c r="M519" t="str">
        <f t="shared" si="17"/>
        <v/>
      </c>
    </row>
    <row r="520" spans="9:13">
      <c r="I520" t="str">
        <f t="shared" si="16"/>
        <v/>
      </c>
      <c r="M520" t="str">
        <f t="shared" si="17"/>
        <v/>
      </c>
    </row>
    <row r="521" spans="9:13">
      <c r="I521" t="str">
        <f t="shared" si="16"/>
        <v/>
      </c>
      <c r="M521" t="str">
        <f t="shared" si="17"/>
        <v/>
      </c>
    </row>
    <row r="522" spans="9:13">
      <c r="I522" t="str">
        <f t="shared" si="16"/>
        <v/>
      </c>
      <c r="M522" t="str">
        <f t="shared" si="17"/>
        <v/>
      </c>
    </row>
    <row r="523" spans="9:13">
      <c r="I523" t="str">
        <f t="shared" si="16"/>
        <v/>
      </c>
      <c r="M523" t="str">
        <f t="shared" si="17"/>
        <v/>
      </c>
    </row>
    <row r="524" spans="9:13">
      <c r="I524" t="str">
        <f t="shared" si="16"/>
        <v/>
      </c>
      <c r="M524" t="str">
        <f t="shared" si="17"/>
        <v/>
      </c>
    </row>
    <row r="525" spans="9:13">
      <c r="I525" t="str">
        <f t="shared" si="16"/>
        <v/>
      </c>
      <c r="M525" t="str">
        <f t="shared" si="17"/>
        <v/>
      </c>
    </row>
    <row r="526" spans="9:13">
      <c r="I526" t="str">
        <f t="shared" si="16"/>
        <v/>
      </c>
      <c r="M526" t="str">
        <f t="shared" si="17"/>
        <v/>
      </c>
    </row>
    <row r="527" spans="9:13">
      <c r="I527" t="str">
        <f t="shared" si="16"/>
        <v/>
      </c>
      <c r="M527" t="str">
        <f t="shared" si="17"/>
        <v/>
      </c>
    </row>
    <row r="528" spans="9:13">
      <c r="I528" t="str">
        <f t="shared" si="16"/>
        <v/>
      </c>
      <c r="M528" t="str">
        <f t="shared" si="17"/>
        <v/>
      </c>
    </row>
    <row r="529" spans="9:13">
      <c r="I529" t="str">
        <f t="shared" si="16"/>
        <v/>
      </c>
      <c r="M529" t="str">
        <f t="shared" si="17"/>
        <v/>
      </c>
    </row>
    <row r="530" spans="9:13">
      <c r="I530" t="str">
        <f t="shared" si="16"/>
        <v/>
      </c>
      <c r="M530" t="str">
        <f t="shared" si="17"/>
        <v/>
      </c>
    </row>
    <row r="531" spans="9:13">
      <c r="I531" t="str">
        <f t="shared" si="16"/>
        <v/>
      </c>
      <c r="M531" t="str">
        <f t="shared" si="17"/>
        <v/>
      </c>
    </row>
    <row r="532" spans="9:13">
      <c r="I532" t="str">
        <f t="shared" si="16"/>
        <v/>
      </c>
      <c r="M532" t="str">
        <f t="shared" si="17"/>
        <v/>
      </c>
    </row>
    <row r="533" spans="9:13">
      <c r="I533" t="str">
        <f t="shared" si="16"/>
        <v/>
      </c>
      <c r="M533" t="str">
        <f t="shared" si="17"/>
        <v/>
      </c>
    </row>
    <row r="534" spans="9:13">
      <c r="I534" t="str">
        <f t="shared" si="16"/>
        <v/>
      </c>
      <c r="M534" t="str">
        <f t="shared" si="17"/>
        <v/>
      </c>
    </row>
    <row r="535" spans="9:13">
      <c r="I535" t="str">
        <f t="shared" si="16"/>
        <v/>
      </c>
      <c r="M535" t="str">
        <f t="shared" si="17"/>
        <v/>
      </c>
    </row>
    <row r="536" spans="9:13">
      <c r="I536" t="str">
        <f t="shared" si="16"/>
        <v/>
      </c>
      <c r="M536" t="str">
        <f t="shared" si="17"/>
        <v/>
      </c>
    </row>
    <row r="537" spans="9:13">
      <c r="I537" t="str">
        <f t="shared" si="16"/>
        <v/>
      </c>
      <c r="M537" t="str">
        <f t="shared" si="17"/>
        <v/>
      </c>
    </row>
    <row r="538" spans="9:13">
      <c r="I538" t="str">
        <f t="shared" si="16"/>
        <v/>
      </c>
      <c r="M538" t="str">
        <f t="shared" si="17"/>
        <v/>
      </c>
    </row>
    <row r="539" spans="9:13">
      <c r="I539" t="str">
        <f t="shared" si="16"/>
        <v/>
      </c>
      <c r="M539" t="str">
        <f t="shared" si="17"/>
        <v/>
      </c>
    </row>
    <row r="540" spans="9:13">
      <c r="I540" t="str">
        <f t="shared" si="16"/>
        <v/>
      </c>
      <c r="M540" t="str">
        <f t="shared" si="17"/>
        <v/>
      </c>
    </row>
    <row r="541" spans="9:13">
      <c r="I541" t="str">
        <f t="shared" si="16"/>
        <v/>
      </c>
      <c r="M541" t="str">
        <f t="shared" si="17"/>
        <v/>
      </c>
    </row>
    <row r="542" spans="9:13">
      <c r="I542" t="str">
        <f t="shared" si="16"/>
        <v/>
      </c>
      <c r="M542" t="str">
        <f t="shared" si="17"/>
        <v/>
      </c>
    </row>
    <row r="543" spans="9:13">
      <c r="I543" t="str">
        <f t="shared" si="16"/>
        <v/>
      </c>
      <c r="M543" t="str">
        <f t="shared" si="17"/>
        <v/>
      </c>
    </row>
    <row r="544" spans="9:13">
      <c r="I544" t="str">
        <f t="shared" si="16"/>
        <v/>
      </c>
      <c r="M544" t="str">
        <f t="shared" si="17"/>
        <v/>
      </c>
    </row>
    <row r="545" spans="9:13">
      <c r="I545" t="str">
        <f t="shared" si="16"/>
        <v/>
      </c>
      <c r="M545" t="str">
        <f t="shared" si="17"/>
        <v/>
      </c>
    </row>
    <row r="546" spans="9:13">
      <c r="I546" t="str">
        <f t="shared" si="16"/>
        <v/>
      </c>
      <c r="M546" t="str">
        <f t="shared" si="17"/>
        <v/>
      </c>
    </row>
    <row r="547" spans="9:13">
      <c r="I547" t="str">
        <f t="shared" si="16"/>
        <v/>
      </c>
      <c r="M547" t="str">
        <f t="shared" si="17"/>
        <v/>
      </c>
    </row>
    <row r="548" spans="9:13">
      <c r="I548" t="str">
        <f t="shared" si="16"/>
        <v/>
      </c>
      <c r="M548" t="str">
        <f t="shared" si="17"/>
        <v/>
      </c>
    </row>
    <row r="549" spans="9:13">
      <c r="I549" t="str">
        <f t="shared" si="16"/>
        <v/>
      </c>
      <c r="M549" t="str">
        <f t="shared" si="17"/>
        <v/>
      </c>
    </row>
    <row r="550" spans="9:13">
      <c r="I550" t="str">
        <f t="shared" si="16"/>
        <v/>
      </c>
      <c r="M550" t="str">
        <f t="shared" si="17"/>
        <v/>
      </c>
    </row>
    <row r="551" spans="9:13">
      <c r="I551" t="str">
        <f t="shared" si="16"/>
        <v/>
      </c>
      <c r="M551" t="str">
        <f t="shared" si="17"/>
        <v/>
      </c>
    </row>
    <row r="552" spans="9:13">
      <c r="I552" t="str">
        <f t="shared" si="16"/>
        <v/>
      </c>
      <c r="M552" t="str">
        <f t="shared" si="17"/>
        <v/>
      </c>
    </row>
    <row r="553" spans="9:13">
      <c r="I553" t="str">
        <f t="shared" si="16"/>
        <v/>
      </c>
      <c r="M553" t="str">
        <f t="shared" si="17"/>
        <v/>
      </c>
    </row>
    <row r="554" spans="9:13">
      <c r="I554" t="str">
        <f t="shared" si="16"/>
        <v/>
      </c>
      <c r="M554" t="str">
        <f t="shared" si="17"/>
        <v/>
      </c>
    </row>
    <row r="555" spans="9:13">
      <c r="I555" t="str">
        <f t="shared" si="16"/>
        <v/>
      </c>
      <c r="M555" t="str">
        <f t="shared" si="17"/>
        <v/>
      </c>
    </row>
    <row r="556" spans="9:13">
      <c r="I556" t="str">
        <f t="shared" si="16"/>
        <v/>
      </c>
      <c r="M556" t="str">
        <f t="shared" si="17"/>
        <v/>
      </c>
    </row>
    <row r="557" spans="9:13">
      <c r="I557" t="str">
        <f t="shared" si="16"/>
        <v/>
      </c>
      <c r="M557" t="str">
        <f t="shared" si="17"/>
        <v/>
      </c>
    </row>
    <row r="558" spans="9:13">
      <c r="I558" t="str">
        <f t="shared" si="16"/>
        <v/>
      </c>
      <c r="M558" t="str">
        <f t="shared" si="17"/>
        <v/>
      </c>
    </row>
    <row r="559" spans="9:13">
      <c r="I559" t="str">
        <f t="shared" si="16"/>
        <v/>
      </c>
      <c r="M559" t="str">
        <f t="shared" si="17"/>
        <v/>
      </c>
    </row>
    <row r="560" spans="9:13">
      <c r="I560" t="str">
        <f t="shared" si="16"/>
        <v/>
      </c>
      <c r="M560" t="str">
        <f t="shared" si="17"/>
        <v/>
      </c>
    </row>
    <row r="561" spans="9:13">
      <c r="I561" t="str">
        <f t="shared" si="16"/>
        <v/>
      </c>
      <c r="M561" t="str">
        <f t="shared" si="17"/>
        <v/>
      </c>
    </row>
    <row r="562" spans="9:13">
      <c r="I562" t="str">
        <f t="shared" si="16"/>
        <v/>
      </c>
      <c r="M562" t="str">
        <f t="shared" si="17"/>
        <v/>
      </c>
    </row>
    <row r="563" spans="9:13">
      <c r="I563" t="str">
        <f t="shared" si="16"/>
        <v/>
      </c>
      <c r="M563" t="str">
        <f t="shared" si="17"/>
        <v/>
      </c>
    </row>
    <row r="564" spans="9:13">
      <c r="I564" t="str">
        <f t="shared" si="16"/>
        <v/>
      </c>
      <c r="M564" t="str">
        <f t="shared" si="17"/>
        <v/>
      </c>
    </row>
    <row r="565" spans="9:13">
      <c r="I565" t="str">
        <f t="shared" si="16"/>
        <v/>
      </c>
      <c r="M565" t="str">
        <f t="shared" si="17"/>
        <v/>
      </c>
    </row>
    <row r="566" spans="9:13">
      <c r="I566" t="str">
        <f t="shared" si="16"/>
        <v/>
      </c>
      <c r="M566" t="str">
        <f t="shared" si="17"/>
        <v/>
      </c>
    </row>
    <row r="567" spans="9:13">
      <c r="I567" t="str">
        <f t="shared" si="16"/>
        <v/>
      </c>
      <c r="M567" t="str">
        <f t="shared" si="17"/>
        <v/>
      </c>
    </row>
    <row r="568" spans="9:13">
      <c r="I568" t="str">
        <f t="shared" si="16"/>
        <v/>
      </c>
      <c r="M568" t="str">
        <f t="shared" si="17"/>
        <v/>
      </c>
    </row>
    <row r="569" spans="9:13">
      <c r="I569" t="str">
        <f t="shared" si="16"/>
        <v/>
      </c>
      <c r="M569" t="str">
        <f t="shared" si="17"/>
        <v/>
      </c>
    </row>
    <row r="570" spans="9:13">
      <c r="I570" t="str">
        <f t="shared" si="16"/>
        <v/>
      </c>
      <c r="M570" t="str">
        <f t="shared" si="17"/>
        <v/>
      </c>
    </row>
    <row r="571" spans="9:13">
      <c r="I571" t="str">
        <f t="shared" si="16"/>
        <v/>
      </c>
      <c r="M571" t="str">
        <f t="shared" si="17"/>
        <v/>
      </c>
    </row>
    <row r="572" spans="9:13">
      <c r="I572" t="str">
        <f t="shared" si="16"/>
        <v/>
      </c>
      <c r="M572" t="str">
        <f t="shared" si="17"/>
        <v/>
      </c>
    </row>
    <row r="573" spans="9:13">
      <c r="I573" t="str">
        <f t="shared" si="16"/>
        <v/>
      </c>
      <c r="M573" t="str">
        <f t="shared" si="17"/>
        <v/>
      </c>
    </row>
    <row r="574" spans="9:13">
      <c r="I574" t="str">
        <f t="shared" si="16"/>
        <v/>
      </c>
      <c r="M574" t="str">
        <f t="shared" si="17"/>
        <v/>
      </c>
    </row>
    <row r="575" spans="9:13">
      <c r="I575" t="str">
        <f t="shared" si="16"/>
        <v/>
      </c>
      <c r="M575" t="str">
        <f t="shared" si="17"/>
        <v/>
      </c>
    </row>
    <row r="576" spans="9:13">
      <c r="I576" t="str">
        <f t="shared" si="16"/>
        <v/>
      </c>
      <c r="M576" t="str">
        <f t="shared" si="17"/>
        <v/>
      </c>
    </row>
    <row r="577" spans="9:13">
      <c r="I577" t="str">
        <f t="shared" si="16"/>
        <v/>
      </c>
      <c r="M577" t="str">
        <f t="shared" si="17"/>
        <v/>
      </c>
    </row>
    <row r="578" spans="9:13">
      <c r="I578" t="str">
        <f t="shared" ref="I578:I641" si="18">IF(AND(G578&lt;&gt;"", H578&lt;&gt;""), G578*H578, "")</f>
        <v/>
      </c>
      <c r="M578" t="str">
        <f t="shared" ref="M578:M641" si="19">IF(AND(K578&lt;&gt;"", L578&lt;&gt;""), K578*L578, "")</f>
        <v/>
      </c>
    </row>
    <row r="579" spans="9:13">
      <c r="I579" t="str">
        <f t="shared" si="18"/>
        <v/>
      </c>
      <c r="M579" t="str">
        <f t="shared" si="19"/>
        <v/>
      </c>
    </row>
    <row r="580" spans="9:13">
      <c r="I580" t="str">
        <f t="shared" si="18"/>
        <v/>
      </c>
      <c r="M580" t="str">
        <f t="shared" si="19"/>
        <v/>
      </c>
    </row>
    <row r="581" spans="9:13">
      <c r="I581" t="str">
        <f t="shared" si="18"/>
        <v/>
      </c>
      <c r="M581" t="str">
        <f t="shared" si="19"/>
        <v/>
      </c>
    </row>
    <row r="582" spans="9:13">
      <c r="I582" t="str">
        <f t="shared" si="18"/>
        <v/>
      </c>
      <c r="M582" t="str">
        <f t="shared" si="19"/>
        <v/>
      </c>
    </row>
    <row r="583" spans="9:13">
      <c r="I583" t="str">
        <f t="shared" si="18"/>
        <v/>
      </c>
      <c r="M583" t="str">
        <f t="shared" si="19"/>
        <v/>
      </c>
    </row>
    <row r="584" spans="9:13">
      <c r="I584" t="str">
        <f t="shared" si="18"/>
        <v/>
      </c>
      <c r="M584" t="str">
        <f t="shared" si="19"/>
        <v/>
      </c>
    </row>
    <row r="585" spans="9:13">
      <c r="I585" t="str">
        <f t="shared" si="18"/>
        <v/>
      </c>
      <c r="M585" t="str">
        <f t="shared" si="19"/>
        <v/>
      </c>
    </row>
    <row r="586" spans="9:13">
      <c r="I586" t="str">
        <f t="shared" si="18"/>
        <v/>
      </c>
      <c r="M586" t="str">
        <f t="shared" si="19"/>
        <v/>
      </c>
    </row>
    <row r="587" spans="9:13">
      <c r="I587" t="str">
        <f t="shared" si="18"/>
        <v/>
      </c>
      <c r="M587" t="str">
        <f t="shared" si="19"/>
        <v/>
      </c>
    </row>
    <row r="588" spans="9:13">
      <c r="I588" t="str">
        <f t="shared" si="18"/>
        <v/>
      </c>
      <c r="M588" t="str">
        <f t="shared" si="19"/>
        <v/>
      </c>
    </row>
    <row r="589" spans="9:13">
      <c r="I589" t="str">
        <f t="shared" si="18"/>
        <v/>
      </c>
      <c r="M589" t="str">
        <f t="shared" si="19"/>
        <v/>
      </c>
    </row>
    <row r="590" spans="9:13">
      <c r="I590" t="str">
        <f t="shared" si="18"/>
        <v/>
      </c>
      <c r="M590" t="str">
        <f t="shared" si="19"/>
        <v/>
      </c>
    </row>
    <row r="591" spans="9:13">
      <c r="I591" t="str">
        <f t="shared" si="18"/>
        <v/>
      </c>
      <c r="M591" t="str">
        <f t="shared" si="19"/>
        <v/>
      </c>
    </row>
    <row r="592" spans="9:13">
      <c r="I592" t="str">
        <f t="shared" si="18"/>
        <v/>
      </c>
      <c r="M592" t="str">
        <f t="shared" si="19"/>
        <v/>
      </c>
    </row>
    <row r="593" spans="9:13">
      <c r="I593" t="str">
        <f t="shared" si="18"/>
        <v/>
      </c>
      <c r="M593" t="str">
        <f t="shared" si="19"/>
        <v/>
      </c>
    </row>
    <row r="594" spans="9:13">
      <c r="I594" t="str">
        <f t="shared" si="18"/>
        <v/>
      </c>
      <c r="M594" t="str">
        <f t="shared" si="19"/>
        <v/>
      </c>
    </row>
    <row r="595" spans="9:13">
      <c r="I595" t="str">
        <f t="shared" si="18"/>
        <v/>
      </c>
      <c r="M595" t="str">
        <f t="shared" si="19"/>
        <v/>
      </c>
    </row>
    <row r="596" spans="9:13">
      <c r="I596" t="str">
        <f t="shared" si="18"/>
        <v/>
      </c>
      <c r="M596" t="str">
        <f t="shared" si="19"/>
        <v/>
      </c>
    </row>
    <row r="597" spans="9:13">
      <c r="I597" t="str">
        <f t="shared" si="18"/>
        <v/>
      </c>
      <c r="M597" t="str">
        <f t="shared" si="19"/>
        <v/>
      </c>
    </row>
    <row r="598" spans="9:13">
      <c r="I598" t="str">
        <f t="shared" si="18"/>
        <v/>
      </c>
      <c r="M598" t="str">
        <f t="shared" si="19"/>
        <v/>
      </c>
    </row>
    <row r="599" spans="9:13">
      <c r="I599" t="str">
        <f t="shared" si="18"/>
        <v/>
      </c>
      <c r="M599" t="str">
        <f t="shared" si="19"/>
        <v/>
      </c>
    </row>
    <row r="600" spans="9:13">
      <c r="I600" t="str">
        <f t="shared" si="18"/>
        <v/>
      </c>
      <c r="M600" t="str">
        <f t="shared" si="19"/>
        <v/>
      </c>
    </row>
    <row r="601" spans="9:13">
      <c r="I601" t="str">
        <f t="shared" si="18"/>
        <v/>
      </c>
      <c r="M601" t="str">
        <f t="shared" si="19"/>
        <v/>
      </c>
    </row>
    <row r="602" spans="9:13">
      <c r="I602" t="str">
        <f t="shared" si="18"/>
        <v/>
      </c>
      <c r="M602" t="str">
        <f t="shared" si="19"/>
        <v/>
      </c>
    </row>
    <row r="603" spans="9:13">
      <c r="I603" t="str">
        <f t="shared" si="18"/>
        <v/>
      </c>
      <c r="M603" t="str">
        <f t="shared" si="19"/>
        <v/>
      </c>
    </row>
    <row r="604" spans="9:13">
      <c r="I604" t="str">
        <f t="shared" si="18"/>
        <v/>
      </c>
      <c r="M604" t="str">
        <f t="shared" si="19"/>
        <v/>
      </c>
    </row>
    <row r="605" spans="9:13">
      <c r="I605" t="str">
        <f t="shared" si="18"/>
        <v/>
      </c>
      <c r="M605" t="str">
        <f t="shared" si="19"/>
        <v/>
      </c>
    </row>
    <row r="606" spans="9:13">
      <c r="I606" t="str">
        <f t="shared" si="18"/>
        <v/>
      </c>
      <c r="M606" t="str">
        <f t="shared" si="19"/>
        <v/>
      </c>
    </row>
    <row r="607" spans="9:13">
      <c r="I607" t="str">
        <f t="shared" si="18"/>
        <v/>
      </c>
      <c r="M607" t="str">
        <f t="shared" si="19"/>
        <v/>
      </c>
    </row>
    <row r="608" spans="9:13">
      <c r="I608" t="str">
        <f t="shared" si="18"/>
        <v/>
      </c>
      <c r="M608" t="str">
        <f t="shared" si="19"/>
        <v/>
      </c>
    </row>
    <row r="609" spans="9:13">
      <c r="I609" t="str">
        <f t="shared" si="18"/>
        <v/>
      </c>
      <c r="M609" t="str">
        <f t="shared" si="19"/>
        <v/>
      </c>
    </row>
    <row r="610" spans="9:13">
      <c r="I610" t="str">
        <f t="shared" si="18"/>
        <v/>
      </c>
      <c r="M610" t="str">
        <f t="shared" si="19"/>
        <v/>
      </c>
    </row>
    <row r="611" spans="9:13">
      <c r="I611" t="str">
        <f t="shared" si="18"/>
        <v/>
      </c>
      <c r="M611" t="str">
        <f t="shared" si="19"/>
        <v/>
      </c>
    </row>
    <row r="612" spans="9:13">
      <c r="I612" t="str">
        <f t="shared" si="18"/>
        <v/>
      </c>
      <c r="M612" t="str">
        <f t="shared" si="19"/>
        <v/>
      </c>
    </row>
    <row r="613" spans="9:13">
      <c r="I613" t="str">
        <f t="shared" si="18"/>
        <v/>
      </c>
      <c r="M613" t="str">
        <f t="shared" si="19"/>
        <v/>
      </c>
    </row>
    <row r="614" spans="9:13">
      <c r="I614" t="str">
        <f t="shared" si="18"/>
        <v/>
      </c>
      <c r="M614" t="str">
        <f t="shared" si="19"/>
        <v/>
      </c>
    </row>
    <row r="615" spans="9:13">
      <c r="I615" t="str">
        <f t="shared" si="18"/>
        <v/>
      </c>
      <c r="M615" t="str">
        <f t="shared" si="19"/>
        <v/>
      </c>
    </row>
    <row r="616" spans="9:13">
      <c r="I616" t="str">
        <f t="shared" si="18"/>
        <v/>
      </c>
      <c r="M616" t="str">
        <f t="shared" si="19"/>
        <v/>
      </c>
    </row>
    <row r="617" spans="9:13">
      <c r="I617" t="str">
        <f t="shared" si="18"/>
        <v/>
      </c>
      <c r="M617" t="str">
        <f t="shared" si="19"/>
        <v/>
      </c>
    </row>
    <row r="618" spans="9:13">
      <c r="I618" t="str">
        <f t="shared" si="18"/>
        <v/>
      </c>
      <c r="M618" t="str">
        <f t="shared" si="19"/>
        <v/>
      </c>
    </row>
    <row r="619" spans="9:13">
      <c r="I619" t="str">
        <f t="shared" si="18"/>
        <v/>
      </c>
      <c r="M619" t="str">
        <f t="shared" si="19"/>
        <v/>
      </c>
    </row>
    <row r="620" spans="9:13">
      <c r="I620" t="str">
        <f t="shared" si="18"/>
        <v/>
      </c>
      <c r="M620" t="str">
        <f t="shared" si="19"/>
        <v/>
      </c>
    </row>
    <row r="621" spans="9:13">
      <c r="I621" t="str">
        <f t="shared" si="18"/>
        <v/>
      </c>
      <c r="M621" t="str">
        <f t="shared" si="19"/>
        <v/>
      </c>
    </row>
    <row r="622" spans="9:13">
      <c r="I622" t="str">
        <f t="shared" si="18"/>
        <v/>
      </c>
      <c r="M622" t="str">
        <f t="shared" si="19"/>
        <v/>
      </c>
    </row>
    <row r="623" spans="9:13">
      <c r="I623" t="str">
        <f t="shared" si="18"/>
        <v/>
      </c>
      <c r="M623" t="str">
        <f t="shared" si="19"/>
        <v/>
      </c>
    </row>
    <row r="624" spans="9:13">
      <c r="I624" t="str">
        <f t="shared" si="18"/>
        <v/>
      </c>
      <c r="M624" t="str">
        <f t="shared" si="19"/>
        <v/>
      </c>
    </row>
    <row r="625" spans="9:13">
      <c r="I625" t="str">
        <f t="shared" si="18"/>
        <v/>
      </c>
      <c r="M625" t="str">
        <f t="shared" si="19"/>
        <v/>
      </c>
    </row>
    <row r="626" spans="9:13">
      <c r="I626" t="str">
        <f t="shared" si="18"/>
        <v/>
      </c>
      <c r="M626" t="str">
        <f t="shared" si="19"/>
        <v/>
      </c>
    </row>
    <row r="627" spans="9:13">
      <c r="I627" t="str">
        <f t="shared" si="18"/>
        <v/>
      </c>
      <c r="M627" t="str">
        <f t="shared" si="19"/>
        <v/>
      </c>
    </row>
    <row r="628" spans="9:13">
      <c r="I628" t="str">
        <f t="shared" si="18"/>
        <v/>
      </c>
      <c r="M628" t="str">
        <f t="shared" si="19"/>
        <v/>
      </c>
    </row>
    <row r="629" spans="9:13">
      <c r="I629" t="str">
        <f t="shared" si="18"/>
        <v/>
      </c>
      <c r="M629" t="str">
        <f t="shared" si="19"/>
        <v/>
      </c>
    </row>
    <row r="630" spans="9:13">
      <c r="I630" t="str">
        <f t="shared" si="18"/>
        <v/>
      </c>
      <c r="M630" t="str">
        <f t="shared" si="19"/>
        <v/>
      </c>
    </row>
    <row r="631" spans="9:13">
      <c r="I631" t="str">
        <f t="shared" si="18"/>
        <v/>
      </c>
      <c r="M631" t="str">
        <f t="shared" si="19"/>
        <v/>
      </c>
    </row>
    <row r="632" spans="9:13">
      <c r="I632" t="str">
        <f t="shared" si="18"/>
        <v/>
      </c>
      <c r="M632" t="str">
        <f t="shared" si="19"/>
        <v/>
      </c>
    </row>
    <row r="633" spans="9:13">
      <c r="I633" t="str">
        <f t="shared" si="18"/>
        <v/>
      </c>
      <c r="M633" t="str">
        <f t="shared" si="19"/>
        <v/>
      </c>
    </row>
    <row r="634" spans="9:13">
      <c r="I634" t="str">
        <f t="shared" si="18"/>
        <v/>
      </c>
      <c r="M634" t="str">
        <f t="shared" si="19"/>
        <v/>
      </c>
    </row>
    <row r="635" spans="9:13">
      <c r="I635" t="str">
        <f t="shared" si="18"/>
        <v/>
      </c>
      <c r="M635" t="str">
        <f t="shared" si="19"/>
        <v/>
      </c>
    </row>
    <row r="636" spans="9:13">
      <c r="I636" t="str">
        <f t="shared" si="18"/>
        <v/>
      </c>
      <c r="M636" t="str">
        <f t="shared" si="19"/>
        <v/>
      </c>
    </row>
    <row r="637" spans="9:13">
      <c r="I637" t="str">
        <f t="shared" si="18"/>
        <v/>
      </c>
      <c r="M637" t="str">
        <f t="shared" si="19"/>
        <v/>
      </c>
    </row>
    <row r="638" spans="9:13">
      <c r="I638" t="str">
        <f t="shared" si="18"/>
        <v/>
      </c>
      <c r="M638" t="str">
        <f t="shared" si="19"/>
        <v/>
      </c>
    </row>
    <row r="639" spans="9:13">
      <c r="I639" t="str">
        <f t="shared" si="18"/>
        <v/>
      </c>
      <c r="M639" t="str">
        <f t="shared" si="19"/>
        <v/>
      </c>
    </row>
    <row r="640" spans="9:13">
      <c r="I640" t="str">
        <f t="shared" si="18"/>
        <v/>
      </c>
      <c r="M640" t="str">
        <f t="shared" si="19"/>
        <v/>
      </c>
    </row>
    <row r="641" spans="9:13">
      <c r="I641" t="str">
        <f t="shared" si="18"/>
        <v/>
      </c>
      <c r="M641" t="str">
        <f t="shared" si="19"/>
        <v/>
      </c>
    </row>
    <row r="642" spans="9:13">
      <c r="I642" t="str">
        <f t="shared" ref="I642:I705" si="20">IF(AND(G642&lt;&gt;"", H642&lt;&gt;""), G642*H642, "")</f>
        <v/>
      </c>
      <c r="M642" t="str">
        <f t="shared" ref="M642:M705" si="21">IF(AND(K642&lt;&gt;"", L642&lt;&gt;""), K642*L642, "")</f>
        <v/>
      </c>
    </row>
    <row r="643" spans="9:13">
      <c r="I643" t="str">
        <f t="shared" si="20"/>
        <v/>
      </c>
      <c r="M643" t="str">
        <f t="shared" si="21"/>
        <v/>
      </c>
    </row>
    <row r="644" spans="9:13">
      <c r="I644" t="str">
        <f t="shared" si="20"/>
        <v/>
      </c>
      <c r="M644" t="str">
        <f t="shared" si="21"/>
        <v/>
      </c>
    </row>
    <row r="645" spans="9:13">
      <c r="I645" t="str">
        <f t="shared" si="20"/>
        <v/>
      </c>
      <c r="M645" t="str">
        <f t="shared" si="21"/>
        <v/>
      </c>
    </row>
    <row r="646" spans="9:13">
      <c r="I646" t="str">
        <f t="shared" si="20"/>
        <v/>
      </c>
      <c r="M646" t="str">
        <f t="shared" si="21"/>
        <v/>
      </c>
    </row>
    <row r="647" spans="9:13">
      <c r="I647" t="str">
        <f t="shared" si="20"/>
        <v/>
      </c>
      <c r="M647" t="str">
        <f t="shared" si="21"/>
        <v/>
      </c>
    </row>
    <row r="648" spans="9:13">
      <c r="I648" t="str">
        <f t="shared" si="20"/>
        <v/>
      </c>
      <c r="M648" t="str">
        <f t="shared" si="21"/>
        <v/>
      </c>
    </row>
    <row r="649" spans="9:13">
      <c r="I649" t="str">
        <f t="shared" si="20"/>
        <v/>
      </c>
      <c r="M649" t="str">
        <f t="shared" si="21"/>
        <v/>
      </c>
    </row>
    <row r="650" spans="9:13">
      <c r="I650" t="str">
        <f t="shared" si="20"/>
        <v/>
      </c>
      <c r="M650" t="str">
        <f t="shared" si="21"/>
        <v/>
      </c>
    </row>
    <row r="651" spans="9:13">
      <c r="I651" t="str">
        <f t="shared" si="20"/>
        <v/>
      </c>
      <c r="M651" t="str">
        <f t="shared" si="21"/>
        <v/>
      </c>
    </row>
    <row r="652" spans="9:13">
      <c r="I652" t="str">
        <f t="shared" si="20"/>
        <v/>
      </c>
      <c r="M652" t="str">
        <f t="shared" si="21"/>
        <v/>
      </c>
    </row>
    <row r="653" spans="9:13">
      <c r="I653" t="str">
        <f t="shared" si="20"/>
        <v/>
      </c>
      <c r="M653" t="str">
        <f t="shared" si="21"/>
        <v/>
      </c>
    </row>
    <row r="654" spans="9:13">
      <c r="I654" t="str">
        <f t="shared" si="20"/>
        <v/>
      </c>
      <c r="M654" t="str">
        <f t="shared" si="21"/>
        <v/>
      </c>
    </row>
    <row r="655" spans="9:13">
      <c r="I655" t="str">
        <f t="shared" si="20"/>
        <v/>
      </c>
      <c r="M655" t="str">
        <f t="shared" si="21"/>
        <v/>
      </c>
    </row>
    <row r="656" spans="9:13">
      <c r="I656" t="str">
        <f t="shared" si="20"/>
        <v/>
      </c>
      <c r="M656" t="str">
        <f t="shared" si="21"/>
        <v/>
      </c>
    </row>
    <row r="657" spans="9:13">
      <c r="I657" t="str">
        <f t="shared" si="20"/>
        <v/>
      </c>
      <c r="M657" t="str">
        <f t="shared" si="21"/>
        <v/>
      </c>
    </row>
    <row r="658" spans="9:13">
      <c r="I658" t="str">
        <f t="shared" si="20"/>
        <v/>
      </c>
      <c r="M658" t="str">
        <f t="shared" si="21"/>
        <v/>
      </c>
    </row>
    <row r="659" spans="9:13">
      <c r="I659" t="str">
        <f t="shared" si="20"/>
        <v/>
      </c>
      <c r="M659" t="str">
        <f t="shared" si="21"/>
        <v/>
      </c>
    </row>
    <row r="660" spans="9:13">
      <c r="I660" t="str">
        <f t="shared" si="20"/>
        <v/>
      </c>
      <c r="M660" t="str">
        <f t="shared" si="21"/>
        <v/>
      </c>
    </row>
    <row r="661" spans="9:13">
      <c r="I661" t="str">
        <f t="shared" si="20"/>
        <v/>
      </c>
      <c r="M661" t="str">
        <f t="shared" si="21"/>
        <v/>
      </c>
    </row>
    <row r="662" spans="9:13">
      <c r="I662" t="str">
        <f t="shared" si="20"/>
        <v/>
      </c>
      <c r="M662" t="str">
        <f t="shared" si="21"/>
        <v/>
      </c>
    </row>
    <row r="663" spans="9:13">
      <c r="I663" t="str">
        <f t="shared" si="20"/>
        <v/>
      </c>
      <c r="M663" t="str">
        <f t="shared" si="21"/>
        <v/>
      </c>
    </row>
    <row r="664" spans="9:13">
      <c r="I664" t="str">
        <f t="shared" si="20"/>
        <v/>
      </c>
      <c r="M664" t="str">
        <f t="shared" si="21"/>
        <v/>
      </c>
    </row>
    <row r="665" spans="9:13">
      <c r="I665" t="str">
        <f t="shared" si="20"/>
        <v/>
      </c>
      <c r="M665" t="str">
        <f t="shared" si="21"/>
        <v/>
      </c>
    </row>
    <row r="666" spans="9:13">
      <c r="I666" t="str">
        <f t="shared" si="20"/>
        <v/>
      </c>
      <c r="M666" t="str">
        <f t="shared" si="21"/>
        <v/>
      </c>
    </row>
    <row r="667" spans="9:13">
      <c r="I667" t="str">
        <f t="shared" si="20"/>
        <v/>
      </c>
      <c r="M667" t="str">
        <f t="shared" si="21"/>
        <v/>
      </c>
    </row>
    <row r="668" spans="9:13">
      <c r="I668" t="str">
        <f t="shared" si="20"/>
        <v/>
      </c>
      <c r="M668" t="str">
        <f t="shared" si="21"/>
        <v/>
      </c>
    </row>
    <row r="669" spans="9:13">
      <c r="I669" t="str">
        <f t="shared" si="20"/>
        <v/>
      </c>
      <c r="M669" t="str">
        <f t="shared" si="21"/>
        <v/>
      </c>
    </row>
    <row r="670" spans="9:13">
      <c r="I670" t="str">
        <f t="shared" si="20"/>
        <v/>
      </c>
      <c r="M670" t="str">
        <f t="shared" si="21"/>
        <v/>
      </c>
    </row>
    <row r="671" spans="9:13">
      <c r="I671" t="str">
        <f t="shared" si="20"/>
        <v/>
      </c>
      <c r="M671" t="str">
        <f t="shared" si="21"/>
        <v/>
      </c>
    </row>
    <row r="672" spans="9:13">
      <c r="I672" t="str">
        <f t="shared" si="20"/>
        <v/>
      </c>
      <c r="M672" t="str">
        <f t="shared" si="21"/>
        <v/>
      </c>
    </row>
    <row r="673" spans="9:13">
      <c r="I673" t="str">
        <f t="shared" si="20"/>
        <v/>
      </c>
      <c r="M673" t="str">
        <f t="shared" si="21"/>
        <v/>
      </c>
    </row>
    <row r="674" spans="9:13">
      <c r="I674" t="str">
        <f t="shared" si="20"/>
        <v/>
      </c>
      <c r="M674" t="str">
        <f t="shared" si="21"/>
        <v/>
      </c>
    </row>
    <row r="675" spans="9:13">
      <c r="I675" t="str">
        <f t="shared" si="20"/>
        <v/>
      </c>
      <c r="M675" t="str">
        <f t="shared" si="21"/>
        <v/>
      </c>
    </row>
    <row r="676" spans="9:13">
      <c r="I676" t="str">
        <f t="shared" si="20"/>
        <v/>
      </c>
      <c r="M676" t="str">
        <f t="shared" si="21"/>
        <v/>
      </c>
    </row>
    <row r="677" spans="9:13">
      <c r="I677" t="str">
        <f t="shared" si="20"/>
        <v/>
      </c>
      <c r="M677" t="str">
        <f t="shared" si="21"/>
        <v/>
      </c>
    </row>
    <row r="678" spans="9:13">
      <c r="I678" t="str">
        <f t="shared" si="20"/>
        <v/>
      </c>
      <c r="M678" t="str">
        <f t="shared" si="21"/>
        <v/>
      </c>
    </row>
    <row r="679" spans="9:13">
      <c r="I679" t="str">
        <f t="shared" si="20"/>
        <v/>
      </c>
      <c r="M679" t="str">
        <f t="shared" si="21"/>
        <v/>
      </c>
    </row>
    <row r="680" spans="9:13">
      <c r="I680" t="str">
        <f t="shared" si="20"/>
        <v/>
      </c>
      <c r="M680" t="str">
        <f t="shared" si="21"/>
        <v/>
      </c>
    </row>
    <row r="681" spans="9:13">
      <c r="I681" t="str">
        <f t="shared" si="20"/>
        <v/>
      </c>
      <c r="M681" t="str">
        <f t="shared" si="21"/>
        <v/>
      </c>
    </row>
    <row r="682" spans="9:13">
      <c r="I682" t="str">
        <f t="shared" si="20"/>
        <v/>
      </c>
      <c r="M682" t="str">
        <f t="shared" si="21"/>
        <v/>
      </c>
    </row>
    <row r="683" spans="9:13">
      <c r="I683" t="str">
        <f t="shared" si="20"/>
        <v/>
      </c>
      <c r="M683" t="str">
        <f t="shared" si="21"/>
        <v/>
      </c>
    </row>
    <row r="684" spans="9:13">
      <c r="I684" t="str">
        <f t="shared" si="20"/>
        <v/>
      </c>
      <c r="M684" t="str">
        <f t="shared" si="21"/>
        <v/>
      </c>
    </row>
    <row r="685" spans="9:13">
      <c r="I685" t="str">
        <f t="shared" si="20"/>
        <v/>
      </c>
      <c r="M685" t="str">
        <f t="shared" si="21"/>
        <v/>
      </c>
    </row>
    <row r="686" spans="9:13">
      <c r="I686" t="str">
        <f t="shared" si="20"/>
        <v/>
      </c>
      <c r="M686" t="str">
        <f t="shared" si="21"/>
        <v/>
      </c>
    </row>
    <row r="687" spans="9:13">
      <c r="I687" t="str">
        <f t="shared" si="20"/>
        <v/>
      </c>
      <c r="M687" t="str">
        <f t="shared" si="21"/>
        <v/>
      </c>
    </row>
    <row r="688" spans="9:13">
      <c r="I688" t="str">
        <f t="shared" si="20"/>
        <v/>
      </c>
      <c r="M688" t="str">
        <f t="shared" si="21"/>
        <v/>
      </c>
    </row>
    <row r="689" spans="9:13">
      <c r="I689" t="str">
        <f t="shared" si="20"/>
        <v/>
      </c>
      <c r="M689" t="str">
        <f t="shared" si="21"/>
        <v/>
      </c>
    </row>
    <row r="690" spans="9:13">
      <c r="I690" t="str">
        <f t="shared" si="20"/>
        <v/>
      </c>
      <c r="M690" t="str">
        <f t="shared" si="21"/>
        <v/>
      </c>
    </row>
    <row r="691" spans="9:13">
      <c r="I691" t="str">
        <f t="shared" si="20"/>
        <v/>
      </c>
      <c r="M691" t="str">
        <f t="shared" si="21"/>
        <v/>
      </c>
    </row>
    <row r="692" spans="9:13">
      <c r="I692" t="str">
        <f t="shared" si="20"/>
        <v/>
      </c>
      <c r="M692" t="str">
        <f t="shared" si="21"/>
        <v/>
      </c>
    </row>
    <row r="693" spans="9:13">
      <c r="I693" t="str">
        <f t="shared" si="20"/>
        <v/>
      </c>
      <c r="M693" t="str">
        <f t="shared" si="21"/>
        <v/>
      </c>
    </row>
    <row r="694" spans="9:13">
      <c r="I694" t="str">
        <f t="shared" si="20"/>
        <v/>
      </c>
      <c r="M694" t="str">
        <f t="shared" si="21"/>
        <v/>
      </c>
    </row>
    <row r="695" spans="9:13">
      <c r="I695" t="str">
        <f t="shared" si="20"/>
        <v/>
      </c>
      <c r="M695" t="str">
        <f t="shared" si="21"/>
        <v/>
      </c>
    </row>
    <row r="696" spans="9:13">
      <c r="I696" t="str">
        <f t="shared" si="20"/>
        <v/>
      </c>
      <c r="M696" t="str">
        <f t="shared" si="21"/>
        <v/>
      </c>
    </row>
    <row r="697" spans="9:13">
      <c r="I697" t="str">
        <f t="shared" si="20"/>
        <v/>
      </c>
      <c r="M697" t="str">
        <f t="shared" si="21"/>
        <v/>
      </c>
    </row>
    <row r="698" spans="9:13">
      <c r="I698" t="str">
        <f t="shared" si="20"/>
        <v/>
      </c>
      <c r="M698" t="str">
        <f t="shared" si="21"/>
        <v/>
      </c>
    </row>
    <row r="699" spans="9:13">
      <c r="I699" t="str">
        <f t="shared" si="20"/>
        <v/>
      </c>
      <c r="M699" t="str">
        <f t="shared" si="21"/>
        <v/>
      </c>
    </row>
    <row r="700" spans="9:13">
      <c r="I700" t="str">
        <f t="shared" si="20"/>
        <v/>
      </c>
      <c r="M700" t="str">
        <f t="shared" si="21"/>
        <v/>
      </c>
    </row>
    <row r="701" spans="9:13">
      <c r="I701" t="str">
        <f t="shared" si="20"/>
        <v/>
      </c>
      <c r="M701" t="str">
        <f t="shared" si="21"/>
        <v/>
      </c>
    </row>
    <row r="702" spans="9:13">
      <c r="I702" t="str">
        <f t="shared" si="20"/>
        <v/>
      </c>
      <c r="M702" t="str">
        <f t="shared" si="21"/>
        <v/>
      </c>
    </row>
    <row r="703" spans="9:13">
      <c r="I703" t="str">
        <f t="shared" si="20"/>
        <v/>
      </c>
      <c r="M703" t="str">
        <f t="shared" si="21"/>
        <v/>
      </c>
    </row>
    <row r="704" spans="9:13">
      <c r="I704" t="str">
        <f t="shared" si="20"/>
        <v/>
      </c>
      <c r="M704" t="str">
        <f t="shared" si="21"/>
        <v/>
      </c>
    </row>
    <row r="705" spans="9:13">
      <c r="I705" t="str">
        <f t="shared" si="20"/>
        <v/>
      </c>
      <c r="M705" t="str">
        <f t="shared" si="21"/>
        <v/>
      </c>
    </row>
    <row r="706" spans="9:13">
      <c r="I706" t="str">
        <f t="shared" ref="I706:I769" si="22">IF(AND(G706&lt;&gt;"", H706&lt;&gt;""), G706*H706, "")</f>
        <v/>
      </c>
      <c r="M706" t="str">
        <f t="shared" ref="M706:M769" si="23">IF(AND(K706&lt;&gt;"", L706&lt;&gt;""), K706*L706, "")</f>
        <v/>
      </c>
    </row>
    <row r="707" spans="9:13">
      <c r="I707" t="str">
        <f t="shared" si="22"/>
        <v/>
      </c>
      <c r="M707" t="str">
        <f t="shared" si="23"/>
        <v/>
      </c>
    </row>
    <row r="708" spans="9:13">
      <c r="I708" t="str">
        <f t="shared" si="22"/>
        <v/>
      </c>
      <c r="M708" t="str">
        <f t="shared" si="23"/>
        <v/>
      </c>
    </row>
    <row r="709" spans="9:13">
      <c r="I709" t="str">
        <f t="shared" si="22"/>
        <v/>
      </c>
      <c r="M709" t="str">
        <f t="shared" si="23"/>
        <v/>
      </c>
    </row>
    <row r="710" spans="9:13">
      <c r="I710" t="str">
        <f t="shared" si="22"/>
        <v/>
      </c>
      <c r="M710" t="str">
        <f t="shared" si="23"/>
        <v/>
      </c>
    </row>
    <row r="711" spans="9:13">
      <c r="I711" t="str">
        <f t="shared" si="22"/>
        <v/>
      </c>
      <c r="M711" t="str">
        <f t="shared" si="23"/>
        <v/>
      </c>
    </row>
    <row r="712" spans="9:13">
      <c r="I712" t="str">
        <f t="shared" si="22"/>
        <v/>
      </c>
      <c r="M712" t="str">
        <f t="shared" si="23"/>
        <v/>
      </c>
    </row>
    <row r="713" spans="9:13">
      <c r="I713" t="str">
        <f t="shared" si="22"/>
        <v/>
      </c>
      <c r="M713" t="str">
        <f t="shared" si="23"/>
        <v/>
      </c>
    </row>
    <row r="714" spans="9:13">
      <c r="I714" t="str">
        <f t="shared" si="22"/>
        <v/>
      </c>
      <c r="M714" t="str">
        <f t="shared" si="23"/>
        <v/>
      </c>
    </row>
    <row r="715" spans="9:13">
      <c r="I715" t="str">
        <f t="shared" si="22"/>
        <v/>
      </c>
      <c r="M715" t="str">
        <f t="shared" si="23"/>
        <v/>
      </c>
    </row>
    <row r="716" spans="9:13">
      <c r="I716" t="str">
        <f t="shared" si="22"/>
        <v/>
      </c>
      <c r="M716" t="str">
        <f t="shared" si="23"/>
        <v/>
      </c>
    </row>
    <row r="717" spans="9:13">
      <c r="I717" t="str">
        <f t="shared" si="22"/>
        <v/>
      </c>
      <c r="M717" t="str">
        <f t="shared" si="23"/>
        <v/>
      </c>
    </row>
    <row r="718" spans="9:13">
      <c r="I718" t="str">
        <f t="shared" si="22"/>
        <v/>
      </c>
      <c r="M718" t="str">
        <f t="shared" si="23"/>
        <v/>
      </c>
    </row>
    <row r="719" spans="9:13">
      <c r="I719" t="str">
        <f t="shared" si="22"/>
        <v/>
      </c>
      <c r="M719" t="str">
        <f t="shared" si="23"/>
        <v/>
      </c>
    </row>
    <row r="720" spans="9:13">
      <c r="I720" t="str">
        <f t="shared" si="22"/>
        <v/>
      </c>
      <c r="M720" t="str">
        <f t="shared" si="23"/>
        <v/>
      </c>
    </row>
    <row r="721" spans="9:13">
      <c r="I721" t="str">
        <f t="shared" si="22"/>
        <v/>
      </c>
      <c r="M721" t="str">
        <f t="shared" si="23"/>
        <v/>
      </c>
    </row>
    <row r="722" spans="9:13">
      <c r="I722" t="str">
        <f t="shared" si="22"/>
        <v/>
      </c>
      <c r="M722" t="str">
        <f t="shared" si="23"/>
        <v/>
      </c>
    </row>
    <row r="723" spans="9:13">
      <c r="I723" t="str">
        <f t="shared" si="22"/>
        <v/>
      </c>
      <c r="M723" t="str">
        <f t="shared" si="23"/>
        <v/>
      </c>
    </row>
    <row r="724" spans="9:13">
      <c r="I724" t="str">
        <f t="shared" si="22"/>
        <v/>
      </c>
      <c r="M724" t="str">
        <f t="shared" si="23"/>
        <v/>
      </c>
    </row>
    <row r="725" spans="9:13">
      <c r="I725" t="str">
        <f t="shared" si="22"/>
        <v/>
      </c>
      <c r="M725" t="str">
        <f t="shared" si="23"/>
        <v/>
      </c>
    </row>
    <row r="726" spans="9:13">
      <c r="I726" t="str">
        <f t="shared" si="22"/>
        <v/>
      </c>
      <c r="M726" t="str">
        <f t="shared" si="23"/>
        <v/>
      </c>
    </row>
    <row r="727" spans="9:13">
      <c r="I727" t="str">
        <f t="shared" si="22"/>
        <v/>
      </c>
      <c r="M727" t="str">
        <f t="shared" si="23"/>
        <v/>
      </c>
    </row>
    <row r="728" spans="9:13">
      <c r="I728" t="str">
        <f t="shared" si="22"/>
        <v/>
      </c>
      <c r="M728" t="str">
        <f t="shared" si="23"/>
        <v/>
      </c>
    </row>
    <row r="729" spans="9:13">
      <c r="I729" t="str">
        <f t="shared" si="22"/>
        <v/>
      </c>
      <c r="M729" t="str">
        <f t="shared" si="23"/>
        <v/>
      </c>
    </row>
    <row r="730" spans="9:13">
      <c r="I730" t="str">
        <f t="shared" si="22"/>
        <v/>
      </c>
      <c r="M730" t="str">
        <f t="shared" si="23"/>
        <v/>
      </c>
    </row>
    <row r="731" spans="9:13">
      <c r="I731" t="str">
        <f t="shared" si="22"/>
        <v/>
      </c>
      <c r="M731" t="str">
        <f t="shared" si="23"/>
        <v/>
      </c>
    </row>
    <row r="732" spans="9:13">
      <c r="I732" t="str">
        <f t="shared" si="22"/>
        <v/>
      </c>
      <c r="M732" t="str">
        <f t="shared" si="23"/>
        <v/>
      </c>
    </row>
    <row r="733" spans="9:13">
      <c r="I733" t="str">
        <f t="shared" si="22"/>
        <v/>
      </c>
      <c r="M733" t="str">
        <f t="shared" si="23"/>
        <v/>
      </c>
    </row>
    <row r="734" spans="9:13">
      <c r="I734" t="str">
        <f t="shared" si="22"/>
        <v/>
      </c>
      <c r="M734" t="str">
        <f t="shared" si="23"/>
        <v/>
      </c>
    </row>
    <row r="735" spans="9:13">
      <c r="I735" t="str">
        <f t="shared" si="22"/>
        <v/>
      </c>
      <c r="M735" t="str">
        <f t="shared" si="23"/>
        <v/>
      </c>
    </row>
    <row r="736" spans="9:13">
      <c r="I736" t="str">
        <f t="shared" si="22"/>
        <v/>
      </c>
      <c r="M736" t="str">
        <f t="shared" si="23"/>
        <v/>
      </c>
    </row>
    <row r="737" spans="9:13">
      <c r="I737" t="str">
        <f t="shared" si="22"/>
        <v/>
      </c>
      <c r="M737" t="str">
        <f t="shared" si="23"/>
        <v/>
      </c>
    </row>
    <row r="738" spans="9:13">
      <c r="I738" t="str">
        <f t="shared" si="22"/>
        <v/>
      </c>
      <c r="M738" t="str">
        <f t="shared" si="23"/>
        <v/>
      </c>
    </row>
    <row r="739" spans="9:13">
      <c r="I739" t="str">
        <f t="shared" si="22"/>
        <v/>
      </c>
      <c r="M739" t="str">
        <f t="shared" si="23"/>
        <v/>
      </c>
    </row>
    <row r="740" spans="9:13">
      <c r="I740" t="str">
        <f t="shared" si="22"/>
        <v/>
      </c>
      <c r="M740" t="str">
        <f t="shared" si="23"/>
        <v/>
      </c>
    </row>
    <row r="741" spans="9:13">
      <c r="I741" t="str">
        <f t="shared" si="22"/>
        <v/>
      </c>
      <c r="M741" t="str">
        <f t="shared" si="23"/>
        <v/>
      </c>
    </row>
    <row r="742" spans="9:13">
      <c r="I742" t="str">
        <f t="shared" si="22"/>
        <v/>
      </c>
      <c r="M742" t="str">
        <f t="shared" si="23"/>
        <v/>
      </c>
    </row>
    <row r="743" spans="9:13">
      <c r="I743" t="str">
        <f t="shared" si="22"/>
        <v/>
      </c>
      <c r="M743" t="str">
        <f t="shared" si="23"/>
        <v/>
      </c>
    </row>
    <row r="744" spans="9:13">
      <c r="I744" t="str">
        <f t="shared" si="22"/>
        <v/>
      </c>
      <c r="M744" t="str">
        <f t="shared" si="23"/>
        <v/>
      </c>
    </row>
    <row r="745" spans="9:13">
      <c r="I745" t="str">
        <f t="shared" si="22"/>
        <v/>
      </c>
      <c r="M745" t="str">
        <f t="shared" si="23"/>
        <v/>
      </c>
    </row>
    <row r="746" spans="9:13">
      <c r="I746" t="str">
        <f t="shared" si="22"/>
        <v/>
      </c>
      <c r="M746" t="str">
        <f t="shared" si="23"/>
        <v/>
      </c>
    </row>
    <row r="747" spans="9:13">
      <c r="I747" t="str">
        <f t="shared" si="22"/>
        <v/>
      </c>
      <c r="M747" t="str">
        <f t="shared" si="23"/>
        <v/>
      </c>
    </row>
    <row r="748" spans="9:13">
      <c r="I748" t="str">
        <f t="shared" si="22"/>
        <v/>
      </c>
      <c r="M748" t="str">
        <f t="shared" si="23"/>
        <v/>
      </c>
    </row>
    <row r="749" spans="9:13">
      <c r="I749" t="str">
        <f t="shared" si="22"/>
        <v/>
      </c>
      <c r="M749" t="str">
        <f t="shared" si="23"/>
        <v/>
      </c>
    </row>
    <row r="750" spans="9:13">
      <c r="I750" t="str">
        <f t="shared" si="22"/>
        <v/>
      </c>
      <c r="M750" t="str">
        <f t="shared" si="23"/>
        <v/>
      </c>
    </row>
    <row r="751" spans="9:13">
      <c r="I751" t="str">
        <f t="shared" si="22"/>
        <v/>
      </c>
      <c r="M751" t="str">
        <f t="shared" si="23"/>
        <v/>
      </c>
    </row>
    <row r="752" spans="9:13">
      <c r="I752" t="str">
        <f t="shared" si="22"/>
        <v/>
      </c>
      <c r="M752" t="str">
        <f t="shared" si="23"/>
        <v/>
      </c>
    </row>
    <row r="753" spans="9:13">
      <c r="I753" t="str">
        <f t="shared" si="22"/>
        <v/>
      </c>
      <c r="M753" t="str">
        <f t="shared" si="23"/>
        <v/>
      </c>
    </row>
    <row r="754" spans="9:13">
      <c r="I754" t="str">
        <f t="shared" si="22"/>
        <v/>
      </c>
      <c r="M754" t="str">
        <f t="shared" si="23"/>
        <v/>
      </c>
    </row>
    <row r="755" spans="9:13">
      <c r="I755" t="str">
        <f t="shared" si="22"/>
        <v/>
      </c>
      <c r="M755" t="str">
        <f t="shared" si="23"/>
        <v/>
      </c>
    </row>
    <row r="756" spans="9:13">
      <c r="I756" t="str">
        <f t="shared" si="22"/>
        <v/>
      </c>
      <c r="M756" t="str">
        <f t="shared" si="23"/>
        <v/>
      </c>
    </row>
    <row r="757" spans="9:13">
      <c r="I757" t="str">
        <f t="shared" si="22"/>
        <v/>
      </c>
      <c r="M757" t="str">
        <f t="shared" si="23"/>
        <v/>
      </c>
    </row>
    <row r="758" spans="9:13">
      <c r="I758" t="str">
        <f t="shared" si="22"/>
        <v/>
      </c>
      <c r="M758" t="str">
        <f t="shared" si="23"/>
        <v/>
      </c>
    </row>
    <row r="759" spans="9:13">
      <c r="I759" t="str">
        <f t="shared" si="22"/>
        <v/>
      </c>
      <c r="M759" t="str">
        <f t="shared" si="23"/>
        <v/>
      </c>
    </row>
    <row r="760" spans="9:13">
      <c r="I760" t="str">
        <f t="shared" si="22"/>
        <v/>
      </c>
      <c r="M760" t="str">
        <f t="shared" si="23"/>
        <v/>
      </c>
    </row>
    <row r="761" spans="9:13">
      <c r="I761" t="str">
        <f t="shared" si="22"/>
        <v/>
      </c>
      <c r="M761" t="str">
        <f t="shared" si="23"/>
        <v/>
      </c>
    </row>
    <row r="762" spans="9:13">
      <c r="I762" t="str">
        <f t="shared" si="22"/>
        <v/>
      </c>
      <c r="M762" t="str">
        <f t="shared" si="23"/>
        <v/>
      </c>
    </row>
    <row r="763" spans="9:13">
      <c r="I763" t="str">
        <f t="shared" si="22"/>
        <v/>
      </c>
      <c r="M763" t="str">
        <f t="shared" si="23"/>
        <v/>
      </c>
    </row>
    <row r="764" spans="9:13">
      <c r="I764" t="str">
        <f t="shared" si="22"/>
        <v/>
      </c>
      <c r="M764" t="str">
        <f t="shared" si="23"/>
        <v/>
      </c>
    </row>
    <row r="765" spans="9:13">
      <c r="I765" t="str">
        <f t="shared" si="22"/>
        <v/>
      </c>
      <c r="M765" t="str">
        <f t="shared" si="23"/>
        <v/>
      </c>
    </row>
    <row r="766" spans="9:13">
      <c r="I766" t="str">
        <f t="shared" si="22"/>
        <v/>
      </c>
      <c r="M766" t="str">
        <f t="shared" si="23"/>
        <v/>
      </c>
    </row>
    <row r="767" spans="9:13">
      <c r="I767" t="str">
        <f t="shared" si="22"/>
        <v/>
      </c>
      <c r="M767" t="str">
        <f t="shared" si="23"/>
        <v/>
      </c>
    </row>
    <row r="768" spans="9:13">
      <c r="I768" t="str">
        <f t="shared" si="22"/>
        <v/>
      </c>
      <c r="M768" t="str">
        <f t="shared" si="23"/>
        <v/>
      </c>
    </row>
    <row r="769" spans="9:13">
      <c r="I769" t="str">
        <f t="shared" si="22"/>
        <v/>
      </c>
      <c r="M769" t="str">
        <f t="shared" si="23"/>
        <v/>
      </c>
    </row>
    <row r="770" spans="9:13">
      <c r="I770" t="str">
        <f t="shared" ref="I770:I833" si="24">IF(AND(G770&lt;&gt;"", H770&lt;&gt;""), G770*H770, "")</f>
        <v/>
      </c>
      <c r="M770" t="str">
        <f t="shared" ref="M770:M833" si="25">IF(AND(K770&lt;&gt;"", L770&lt;&gt;""), K770*L770, "")</f>
        <v/>
      </c>
    </row>
    <row r="771" spans="9:13">
      <c r="I771" t="str">
        <f t="shared" si="24"/>
        <v/>
      </c>
      <c r="M771" t="str">
        <f t="shared" si="25"/>
        <v/>
      </c>
    </row>
    <row r="772" spans="9:13">
      <c r="I772" t="str">
        <f t="shared" si="24"/>
        <v/>
      </c>
      <c r="M772" t="str">
        <f t="shared" si="25"/>
        <v/>
      </c>
    </row>
    <row r="773" spans="9:13">
      <c r="I773" t="str">
        <f t="shared" si="24"/>
        <v/>
      </c>
      <c r="M773" t="str">
        <f t="shared" si="25"/>
        <v/>
      </c>
    </row>
    <row r="774" spans="9:13">
      <c r="I774" t="str">
        <f t="shared" si="24"/>
        <v/>
      </c>
      <c r="M774" t="str">
        <f t="shared" si="25"/>
        <v/>
      </c>
    </row>
    <row r="775" spans="9:13">
      <c r="I775" t="str">
        <f t="shared" si="24"/>
        <v/>
      </c>
      <c r="M775" t="str">
        <f t="shared" si="25"/>
        <v/>
      </c>
    </row>
    <row r="776" spans="9:13">
      <c r="I776" t="str">
        <f t="shared" si="24"/>
        <v/>
      </c>
      <c r="M776" t="str">
        <f t="shared" si="25"/>
        <v/>
      </c>
    </row>
    <row r="777" spans="9:13">
      <c r="I777" t="str">
        <f t="shared" si="24"/>
        <v/>
      </c>
      <c r="M777" t="str">
        <f t="shared" si="25"/>
        <v/>
      </c>
    </row>
    <row r="778" spans="9:13">
      <c r="I778" t="str">
        <f t="shared" si="24"/>
        <v/>
      </c>
      <c r="M778" t="str">
        <f t="shared" si="25"/>
        <v/>
      </c>
    </row>
    <row r="779" spans="9:13">
      <c r="I779" t="str">
        <f t="shared" si="24"/>
        <v/>
      </c>
      <c r="M779" t="str">
        <f t="shared" si="25"/>
        <v/>
      </c>
    </row>
    <row r="780" spans="9:13">
      <c r="I780" t="str">
        <f t="shared" si="24"/>
        <v/>
      </c>
      <c r="M780" t="str">
        <f t="shared" si="25"/>
        <v/>
      </c>
    </row>
    <row r="781" spans="9:13">
      <c r="I781" t="str">
        <f t="shared" si="24"/>
        <v/>
      </c>
      <c r="M781" t="str">
        <f t="shared" si="25"/>
        <v/>
      </c>
    </row>
    <row r="782" spans="9:13">
      <c r="I782" t="str">
        <f t="shared" si="24"/>
        <v/>
      </c>
      <c r="M782" t="str">
        <f t="shared" si="25"/>
        <v/>
      </c>
    </row>
    <row r="783" spans="9:13">
      <c r="I783" t="str">
        <f t="shared" si="24"/>
        <v/>
      </c>
      <c r="M783" t="str">
        <f t="shared" si="25"/>
        <v/>
      </c>
    </row>
    <row r="784" spans="9:13">
      <c r="I784" t="str">
        <f t="shared" si="24"/>
        <v/>
      </c>
      <c r="M784" t="str">
        <f t="shared" si="25"/>
        <v/>
      </c>
    </row>
    <row r="785" spans="9:13">
      <c r="I785" t="str">
        <f t="shared" si="24"/>
        <v/>
      </c>
      <c r="M785" t="str">
        <f t="shared" si="25"/>
        <v/>
      </c>
    </row>
    <row r="786" spans="9:13">
      <c r="I786" t="str">
        <f t="shared" si="24"/>
        <v/>
      </c>
      <c r="M786" t="str">
        <f t="shared" si="25"/>
        <v/>
      </c>
    </row>
    <row r="787" spans="9:13">
      <c r="I787" t="str">
        <f t="shared" si="24"/>
        <v/>
      </c>
      <c r="M787" t="str">
        <f t="shared" si="25"/>
        <v/>
      </c>
    </row>
    <row r="788" spans="9:13">
      <c r="I788" t="str">
        <f t="shared" si="24"/>
        <v/>
      </c>
      <c r="M788" t="str">
        <f t="shared" si="25"/>
        <v/>
      </c>
    </row>
    <row r="789" spans="9:13">
      <c r="I789" t="str">
        <f t="shared" si="24"/>
        <v/>
      </c>
      <c r="M789" t="str">
        <f t="shared" si="25"/>
        <v/>
      </c>
    </row>
    <row r="790" spans="9:13">
      <c r="I790" t="str">
        <f t="shared" si="24"/>
        <v/>
      </c>
      <c r="M790" t="str">
        <f t="shared" si="25"/>
        <v/>
      </c>
    </row>
    <row r="791" spans="9:13">
      <c r="I791" t="str">
        <f t="shared" si="24"/>
        <v/>
      </c>
      <c r="M791" t="str">
        <f t="shared" si="25"/>
        <v/>
      </c>
    </row>
    <row r="792" spans="9:13">
      <c r="I792" t="str">
        <f t="shared" si="24"/>
        <v/>
      </c>
      <c r="M792" t="str">
        <f t="shared" si="25"/>
        <v/>
      </c>
    </row>
    <row r="793" spans="9:13">
      <c r="I793" t="str">
        <f t="shared" si="24"/>
        <v/>
      </c>
      <c r="M793" t="str">
        <f t="shared" si="25"/>
        <v/>
      </c>
    </row>
    <row r="794" spans="9:13">
      <c r="I794" t="str">
        <f t="shared" si="24"/>
        <v/>
      </c>
      <c r="M794" t="str">
        <f t="shared" si="25"/>
        <v/>
      </c>
    </row>
    <row r="795" spans="9:13">
      <c r="I795" t="str">
        <f t="shared" si="24"/>
        <v/>
      </c>
      <c r="M795" t="str">
        <f t="shared" si="25"/>
        <v/>
      </c>
    </row>
    <row r="796" spans="9:13">
      <c r="I796" t="str">
        <f t="shared" si="24"/>
        <v/>
      </c>
      <c r="M796" t="str">
        <f t="shared" si="25"/>
        <v/>
      </c>
    </row>
    <row r="797" spans="9:13">
      <c r="I797" t="str">
        <f t="shared" si="24"/>
        <v/>
      </c>
      <c r="M797" t="str">
        <f t="shared" si="25"/>
        <v/>
      </c>
    </row>
    <row r="798" spans="9:13">
      <c r="I798" t="str">
        <f t="shared" si="24"/>
        <v/>
      </c>
      <c r="M798" t="str">
        <f t="shared" si="25"/>
        <v/>
      </c>
    </row>
    <row r="799" spans="9:13">
      <c r="I799" t="str">
        <f t="shared" si="24"/>
        <v/>
      </c>
      <c r="M799" t="str">
        <f t="shared" si="25"/>
        <v/>
      </c>
    </row>
    <row r="800" spans="9:13">
      <c r="I800" t="str">
        <f t="shared" si="24"/>
        <v/>
      </c>
      <c r="M800" t="str">
        <f t="shared" si="25"/>
        <v/>
      </c>
    </row>
    <row r="801" spans="9:13">
      <c r="I801" t="str">
        <f t="shared" si="24"/>
        <v/>
      </c>
      <c r="M801" t="str">
        <f t="shared" si="25"/>
        <v/>
      </c>
    </row>
    <row r="802" spans="9:13">
      <c r="I802" t="str">
        <f t="shared" si="24"/>
        <v/>
      </c>
      <c r="M802" t="str">
        <f t="shared" si="25"/>
        <v/>
      </c>
    </row>
    <row r="803" spans="9:13">
      <c r="I803" t="str">
        <f t="shared" si="24"/>
        <v/>
      </c>
      <c r="M803" t="str">
        <f t="shared" si="25"/>
        <v/>
      </c>
    </row>
    <row r="804" spans="9:13">
      <c r="I804" t="str">
        <f t="shared" si="24"/>
        <v/>
      </c>
      <c r="M804" t="str">
        <f t="shared" si="25"/>
        <v/>
      </c>
    </row>
    <row r="805" spans="9:13">
      <c r="I805" t="str">
        <f t="shared" si="24"/>
        <v/>
      </c>
      <c r="M805" t="str">
        <f t="shared" si="25"/>
        <v/>
      </c>
    </row>
    <row r="806" spans="9:13">
      <c r="I806" t="str">
        <f t="shared" si="24"/>
        <v/>
      </c>
      <c r="M806" t="str">
        <f t="shared" si="25"/>
        <v/>
      </c>
    </row>
    <row r="807" spans="9:13">
      <c r="I807" t="str">
        <f t="shared" si="24"/>
        <v/>
      </c>
      <c r="M807" t="str">
        <f t="shared" si="25"/>
        <v/>
      </c>
    </row>
    <row r="808" spans="9:13">
      <c r="I808" t="str">
        <f t="shared" si="24"/>
        <v/>
      </c>
      <c r="M808" t="str">
        <f t="shared" si="25"/>
        <v/>
      </c>
    </row>
    <row r="809" spans="9:13">
      <c r="I809" t="str">
        <f t="shared" si="24"/>
        <v/>
      </c>
      <c r="M809" t="str">
        <f t="shared" si="25"/>
        <v/>
      </c>
    </row>
    <row r="810" spans="9:13">
      <c r="I810" t="str">
        <f t="shared" si="24"/>
        <v/>
      </c>
      <c r="M810" t="str">
        <f t="shared" si="25"/>
        <v/>
      </c>
    </row>
    <row r="811" spans="9:13">
      <c r="I811" t="str">
        <f t="shared" si="24"/>
        <v/>
      </c>
      <c r="M811" t="str">
        <f t="shared" si="25"/>
        <v/>
      </c>
    </row>
    <row r="812" spans="9:13">
      <c r="I812" t="str">
        <f t="shared" si="24"/>
        <v/>
      </c>
      <c r="M812" t="str">
        <f t="shared" si="25"/>
        <v/>
      </c>
    </row>
    <row r="813" spans="9:13">
      <c r="I813" t="str">
        <f t="shared" si="24"/>
        <v/>
      </c>
      <c r="M813" t="str">
        <f t="shared" si="25"/>
        <v/>
      </c>
    </row>
    <row r="814" spans="9:13">
      <c r="I814" t="str">
        <f t="shared" si="24"/>
        <v/>
      </c>
      <c r="M814" t="str">
        <f t="shared" si="25"/>
        <v/>
      </c>
    </row>
    <row r="815" spans="9:13">
      <c r="I815" t="str">
        <f t="shared" si="24"/>
        <v/>
      </c>
      <c r="M815" t="str">
        <f t="shared" si="25"/>
        <v/>
      </c>
    </row>
    <row r="816" spans="9:13">
      <c r="I816" t="str">
        <f t="shared" si="24"/>
        <v/>
      </c>
      <c r="M816" t="str">
        <f t="shared" si="25"/>
        <v/>
      </c>
    </row>
    <row r="817" spans="9:13">
      <c r="I817" t="str">
        <f t="shared" si="24"/>
        <v/>
      </c>
      <c r="M817" t="str">
        <f t="shared" si="25"/>
        <v/>
      </c>
    </row>
    <row r="818" spans="9:13">
      <c r="I818" t="str">
        <f t="shared" si="24"/>
        <v/>
      </c>
      <c r="M818" t="str">
        <f t="shared" si="25"/>
        <v/>
      </c>
    </row>
    <row r="819" spans="9:13">
      <c r="I819" t="str">
        <f t="shared" si="24"/>
        <v/>
      </c>
      <c r="M819" t="str">
        <f t="shared" si="25"/>
        <v/>
      </c>
    </row>
    <row r="820" spans="9:13">
      <c r="I820" t="str">
        <f t="shared" si="24"/>
        <v/>
      </c>
      <c r="M820" t="str">
        <f t="shared" si="25"/>
        <v/>
      </c>
    </row>
    <row r="821" spans="9:13">
      <c r="I821" t="str">
        <f t="shared" si="24"/>
        <v/>
      </c>
      <c r="M821" t="str">
        <f t="shared" si="25"/>
        <v/>
      </c>
    </row>
    <row r="822" spans="9:13">
      <c r="I822" t="str">
        <f t="shared" si="24"/>
        <v/>
      </c>
      <c r="M822" t="str">
        <f t="shared" si="25"/>
        <v/>
      </c>
    </row>
    <row r="823" spans="9:13">
      <c r="I823" t="str">
        <f t="shared" si="24"/>
        <v/>
      </c>
      <c r="M823" t="str">
        <f t="shared" si="25"/>
        <v/>
      </c>
    </row>
    <row r="824" spans="9:13">
      <c r="I824" t="str">
        <f t="shared" si="24"/>
        <v/>
      </c>
      <c r="M824" t="str">
        <f t="shared" si="25"/>
        <v/>
      </c>
    </row>
    <row r="825" spans="9:13">
      <c r="I825" t="str">
        <f t="shared" si="24"/>
        <v/>
      </c>
      <c r="M825" t="str">
        <f t="shared" si="25"/>
        <v/>
      </c>
    </row>
    <row r="826" spans="9:13">
      <c r="I826" t="str">
        <f t="shared" si="24"/>
        <v/>
      </c>
      <c r="M826" t="str">
        <f t="shared" si="25"/>
        <v/>
      </c>
    </row>
    <row r="827" spans="9:13">
      <c r="I827" t="str">
        <f t="shared" si="24"/>
        <v/>
      </c>
      <c r="M827" t="str">
        <f t="shared" si="25"/>
        <v/>
      </c>
    </row>
    <row r="828" spans="9:13">
      <c r="I828" t="str">
        <f t="shared" si="24"/>
        <v/>
      </c>
      <c r="M828" t="str">
        <f t="shared" si="25"/>
        <v/>
      </c>
    </row>
    <row r="829" spans="9:13">
      <c r="I829" t="str">
        <f t="shared" si="24"/>
        <v/>
      </c>
      <c r="M829" t="str">
        <f t="shared" si="25"/>
        <v/>
      </c>
    </row>
    <row r="830" spans="9:13">
      <c r="I830" t="str">
        <f t="shared" si="24"/>
        <v/>
      </c>
      <c r="M830" t="str">
        <f t="shared" si="25"/>
        <v/>
      </c>
    </row>
    <row r="831" spans="9:13">
      <c r="I831" t="str">
        <f t="shared" si="24"/>
        <v/>
      </c>
      <c r="M831" t="str">
        <f t="shared" si="25"/>
        <v/>
      </c>
    </row>
    <row r="832" spans="9:13">
      <c r="I832" t="str">
        <f t="shared" si="24"/>
        <v/>
      </c>
      <c r="M832" t="str">
        <f t="shared" si="25"/>
        <v/>
      </c>
    </row>
    <row r="833" spans="9:13">
      <c r="I833" t="str">
        <f t="shared" si="24"/>
        <v/>
      </c>
      <c r="M833" t="str">
        <f t="shared" si="25"/>
        <v/>
      </c>
    </row>
    <row r="834" spans="9:13">
      <c r="I834" t="str">
        <f t="shared" ref="I834:I897" si="26">IF(AND(G834&lt;&gt;"", H834&lt;&gt;""), G834*H834, "")</f>
        <v/>
      </c>
      <c r="M834" t="str">
        <f t="shared" ref="M834:M897" si="27">IF(AND(K834&lt;&gt;"", L834&lt;&gt;""), K834*L834, "")</f>
        <v/>
      </c>
    </row>
    <row r="835" spans="9:13">
      <c r="I835" t="str">
        <f t="shared" si="26"/>
        <v/>
      </c>
      <c r="M835" t="str">
        <f t="shared" si="27"/>
        <v/>
      </c>
    </row>
    <row r="836" spans="9:13">
      <c r="I836" t="str">
        <f t="shared" si="26"/>
        <v/>
      </c>
      <c r="M836" t="str">
        <f t="shared" si="27"/>
        <v/>
      </c>
    </row>
    <row r="837" spans="9:13">
      <c r="I837" t="str">
        <f t="shared" si="26"/>
        <v/>
      </c>
      <c r="M837" t="str">
        <f t="shared" si="27"/>
        <v/>
      </c>
    </row>
    <row r="838" spans="9:13">
      <c r="I838" t="str">
        <f t="shared" si="26"/>
        <v/>
      </c>
      <c r="M838" t="str">
        <f t="shared" si="27"/>
        <v/>
      </c>
    </row>
    <row r="839" spans="9:13">
      <c r="I839" t="str">
        <f t="shared" si="26"/>
        <v/>
      </c>
      <c r="M839" t="str">
        <f t="shared" si="27"/>
        <v/>
      </c>
    </row>
    <row r="840" spans="9:13">
      <c r="I840" t="str">
        <f t="shared" si="26"/>
        <v/>
      </c>
      <c r="M840" t="str">
        <f t="shared" si="27"/>
        <v/>
      </c>
    </row>
    <row r="841" spans="9:13">
      <c r="I841" t="str">
        <f t="shared" si="26"/>
        <v/>
      </c>
      <c r="M841" t="str">
        <f t="shared" si="27"/>
        <v/>
      </c>
    </row>
    <row r="842" spans="9:13">
      <c r="I842" t="str">
        <f t="shared" si="26"/>
        <v/>
      </c>
      <c r="M842" t="str">
        <f t="shared" si="27"/>
        <v/>
      </c>
    </row>
    <row r="843" spans="9:13">
      <c r="I843" t="str">
        <f t="shared" si="26"/>
        <v/>
      </c>
      <c r="M843" t="str">
        <f t="shared" si="27"/>
        <v/>
      </c>
    </row>
    <row r="844" spans="9:13">
      <c r="I844" t="str">
        <f t="shared" si="26"/>
        <v/>
      </c>
      <c r="M844" t="str">
        <f t="shared" si="27"/>
        <v/>
      </c>
    </row>
    <row r="845" spans="9:13">
      <c r="I845" t="str">
        <f t="shared" si="26"/>
        <v/>
      </c>
      <c r="M845" t="str">
        <f t="shared" si="27"/>
        <v/>
      </c>
    </row>
    <row r="846" spans="9:13">
      <c r="I846" t="str">
        <f t="shared" si="26"/>
        <v/>
      </c>
      <c r="M846" t="str">
        <f t="shared" si="27"/>
        <v/>
      </c>
    </row>
    <row r="847" spans="9:13">
      <c r="I847" t="str">
        <f t="shared" si="26"/>
        <v/>
      </c>
      <c r="M847" t="str">
        <f t="shared" si="27"/>
        <v/>
      </c>
    </row>
    <row r="848" spans="9:13">
      <c r="I848" t="str">
        <f t="shared" si="26"/>
        <v/>
      </c>
      <c r="M848" t="str">
        <f t="shared" si="27"/>
        <v/>
      </c>
    </row>
    <row r="849" spans="9:13">
      <c r="I849" t="str">
        <f t="shared" si="26"/>
        <v/>
      </c>
      <c r="M849" t="str">
        <f t="shared" si="27"/>
        <v/>
      </c>
    </row>
    <row r="850" spans="9:13">
      <c r="I850" t="str">
        <f t="shared" si="26"/>
        <v/>
      </c>
      <c r="M850" t="str">
        <f t="shared" si="27"/>
        <v/>
      </c>
    </row>
    <row r="851" spans="9:13">
      <c r="I851" t="str">
        <f t="shared" si="26"/>
        <v/>
      </c>
      <c r="M851" t="str">
        <f t="shared" si="27"/>
        <v/>
      </c>
    </row>
    <row r="852" spans="9:13">
      <c r="I852" t="str">
        <f t="shared" si="26"/>
        <v/>
      </c>
      <c r="M852" t="str">
        <f t="shared" si="27"/>
        <v/>
      </c>
    </row>
    <row r="853" spans="9:13">
      <c r="I853" t="str">
        <f t="shared" si="26"/>
        <v/>
      </c>
      <c r="M853" t="str">
        <f t="shared" si="27"/>
        <v/>
      </c>
    </row>
    <row r="854" spans="9:13">
      <c r="I854" t="str">
        <f t="shared" si="26"/>
        <v/>
      </c>
      <c r="M854" t="str">
        <f t="shared" si="27"/>
        <v/>
      </c>
    </row>
    <row r="855" spans="9:13">
      <c r="I855" t="str">
        <f t="shared" si="26"/>
        <v/>
      </c>
      <c r="M855" t="str">
        <f t="shared" si="27"/>
        <v/>
      </c>
    </row>
    <row r="856" spans="9:13">
      <c r="I856" t="str">
        <f t="shared" si="26"/>
        <v/>
      </c>
      <c r="M856" t="str">
        <f t="shared" si="27"/>
        <v/>
      </c>
    </row>
    <row r="857" spans="9:13">
      <c r="I857" t="str">
        <f t="shared" si="26"/>
        <v/>
      </c>
      <c r="M857" t="str">
        <f t="shared" si="27"/>
        <v/>
      </c>
    </row>
    <row r="858" spans="9:13">
      <c r="I858" t="str">
        <f t="shared" si="26"/>
        <v/>
      </c>
      <c r="M858" t="str">
        <f t="shared" si="27"/>
        <v/>
      </c>
    </row>
    <row r="859" spans="9:13">
      <c r="I859" t="str">
        <f t="shared" si="26"/>
        <v/>
      </c>
      <c r="M859" t="str">
        <f t="shared" si="27"/>
        <v/>
      </c>
    </row>
    <row r="860" spans="9:13">
      <c r="I860" t="str">
        <f t="shared" si="26"/>
        <v/>
      </c>
      <c r="M860" t="str">
        <f t="shared" si="27"/>
        <v/>
      </c>
    </row>
    <row r="861" spans="9:13">
      <c r="I861" t="str">
        <f t="shared" si="26"/>
        <v/>
      </c>
      <c r="M861" t="str">
        <f t="shared" si="27"/>
        <v/>
      </c>
    </row>
    <row r="862" spans="9:13">
      <c r="I862" t="str">
        <f t="shared" si="26"/>
        <v/>
      </c>
      <c r="M862" t="str">
        <f t="shared" si="27"/>
        <v/>
      </c>
    </row>
    <row r="863" spans="9:13">
      <c r="I863" t="str">
        <f t="shared" si="26"/>
        <v/>
      </c>
      <c r="M863" t="str">
        <f t="shared" si="27"/>
        <v/>
      </c>
    </row>
    <row r="864" spans="9:13">
      <c r="I864" t="str">
        <f t="shared" si="26"/>
        <v/>
      </c>
      <c r="M864" t="str">
        <f t="shared" si="27"/>
        <v/>
      </c>
    </row>
    <row r="865" spans="9:13">
      <c r="I865" t="str">
        <f t="shared" si="26"/>
        <v/>
      </c>
      <c r="M865" t="str">
        <f t="shared" si="27"/>
        <v/>
      </c>
    </row>
    <row r="866" spans="9:13">
      <c r="I866" t="str">
        <f t="shared" si="26"/>
        <v/>
      </c>
      <c r="M866" t="str">
        <f t="shared" si="27"/>
        <v/>
      </c>
    </row>
    <row r="867" spans="9:13">
      <c r="I867" t="str">
        <f t="shared" si="26"/>
        <v/>
      </c>
      <c r="M867" t="str">
        <f t="shared" si="27"/>
        <v/>
      </c>
    </row>
    <row r="868" spans="9:13">
      <c r="I868" t="str">
        <f t="shared" si="26"/>
        <v/>
      </c>
      <c r="M868" t="str">
        <f t="shared" si="27"/>
        <v/>
      </c>
    </row>
    <row r="869" spans="9:13">
      <c r="I869" t="str">
        <f t="shared" si="26"/>
        <v/>
      </c>
      <c r="M869" t="str">
        <f t="shared" si="27"/>
        <v/>
      </c>
    </row>
    <row r="870" spans="9:13">
      <c r="I870" t="str">
        <f t="shared" si="26"/>
        <v/>
      </c>
      <c r="M870" t="str">
        <f t="shared" si="27"/>
        <v/>
      </c>
    </row>
    <row r="871" spans="9:13">
      <c r="I871" t="str">
        <f t="shared" si="26"/>
        <v/>
      </c>
      <c r="M871" t="str">
        <f t="shared" si="27"/>
        <v/>
      </c>
    </row>
    <row r="872" spans="9:13">
      <c r="I872" t="str">
        <f t="shared" si="26"/>
        <v/>
      </c>
      <c r="M872" t="str">
        <f t="shared" si="27"/>
        <v/>
      </c>
    </row>
    <row r="873" spans="9:13">
      <c r="I873" t="str">
        <f t="shared" si="26"/>
        <v/>
      </c>
      <c r="M873" t="str">
        <f t="shared" si="27"/>
        <v/>
      </c>
    </row>
    <row r="874" spans="9:13">
      <c r="I874" t="str">
        <f t="shared" si="26"/>
        <v/>
      </c>
      <c r="M874" t="str">
        <f t="shared" si="27"/>
        <v/>
      </c>
    </row>
    <row r="875" spans="9:13">
      <c r="I875" t="str">
        <f t="shared" si="26"/>
        <v/>
      </c>
      <c r="M875" t="str">
        <f t="shared" si="27"/>
        <v/>
      </c>
    </row>
    <row r="876" spans="9:13">
      <c r="I876" t="str">
        <f t="shared" si="26"/>
        <v/>
      </c>
      <c r="M876" t="str">
        <f t="shared" si="27"/>
        <v/>
      </c>
    </row>
    <row r="877" spans="9:13">
      <c r="I877" t="str">
        <f t="shared" si="26"/>
        <v/>
      </c>
      <c r="M877" t="str">
        <f t="shared" si="27"/>
        <v/>
      </c>
    </row>
    <row r="878" spans="9:13">
      <c r="I878" t="str">
        <f t="shared" si="26"/>
        <v/>
      </c>
      <c r="M878" t="str">
        <f t="shared" si="27"/>
        <v/>
      </c>
    </row>
    <row r="879" spans="9:13">
      <c r="I879" t="str">
        <f t="shared" si="26"/>
        <v/>
      </c>
      <c r="M879" t="str">
        <f t="shared" si="27"/>
        <v/>
      </c>
    </row>
    <row r="880" spans="9:13">
      <c r="I880" t="str">
        <f t="shared" si="26"/>
        <v/>
      </c>
      <c r="M880" t="str">
        <f t="shared" si="27"/>
        <v/>
      </c>
    </row>
    <row r="881" spans="9:13">
      <c r="I881" t="str">
        <f t="shared" si="26"/>
        <v/>
      </c>
      <c r="M881" t="str">
        <f t="shared" si="27"/>
        <v/>
      </c>
    </row>
    <row r="882" spans="9:13">
      <c r="I882" t="str">
        <f t="shared" si="26"/>
        <v/>
      </c>
      <c r="M882" t="str">
        <f t="shared" si="27"/>
        <v/>
      </c>
    </row>
    <row r="883" spans="9:13">
      <c r="I883" t="str">
        <f t="shared" si="26"/>
        <v/>
      </c>
      <c r="M883" t="str">
        <f t="shared" si="27"/>
        <v/>
      </c>
    </row>
    <row r="884" spans="9:13">
      <c r="I884" t="str">
        <f t="shared" si="26"/>
        <v/>
      </c>
      <c r="M884" t="str">
        <f t="shared" si="27"/>
        <v/>
      </c>
    </row>
    <row r="885" spans="9:13">
      <c r="I885" t="str">
        <f t="shared" si="26"/>
        <v/>
      </c>
      <c r="M885" t="str">
        <f t="shared" si="27"/>
        <v/>
      </c>
    </row>
    <row r="886" spans="9:13">
      <c r="I886" t="str">
        <f t="shared" si="26"/>
        <v/>
      </c>
      <c r="M886" t="str">
        <f t="shared" si="27"/>
        <v/>
      </c>
    </row>
    <row r="887" spans="9:13">
      <c r="I887" t="str">
        <f t="shared" si="26"/>
        <v/>
      </c>
      <c r="M887" t="str">
        <f t="shared" si="27"/>
        <v/>
      </c>
    </row>
    <row r="888" spans="9:13">
      <c r="I888" t="str">
        <f t="shared" si="26"/>
        <v/>
      </c>
      <c r="M888" t="str">
        <f t="shared" si="27"/>
        <v/>
      </c>
    </row>
    <row r="889" spans="9:13">
      <c r="I889" t="str">
        <f t="shared" si="26"/>
        <v/>
      </c>
      <c r="M889" t="str">
        <f t="shared" si="27"/>
        <v/>
      </c>
    </row>
    <row r="890" spans="9:13">
      <c r="I890" t="str">
        <f t="shared" si="26"/>
        <v/>
      </c>
      <c r="M890" t="str">
        <f t="shared" si="27"/>
        <v/>
      </c>
    </row>
    <row r="891" spans="9:13">
      <c r="I891" t="str">
        <f t="shared" si="26"/>
        <v/>
      </c>
      <c r="M891" t="str">
        <f t="shared" si="27"/>
        <v/>
      </c>
    </row>
    <row r="892" spans="9:13">
      <c r="I892" t="str">
        <f t="shared" si="26"/>
        <v/>
      </c>
      <c r="M892" t="str">
        <f t="shared" si="27"/>
        <v/>
      </c>
    </row>
    <row r="893" spans="9:13">
      <c r="I893" t="str">
        <f t="shared" si="26"/>
        <v/>
      </c>
      <c r="M893" t="str">
        <f t="shared" si="27"/>
        <v/>
      </c>
    </row>
    <row r="894" spans="9:13">
      <c r="I894" t="str">
        <f t="shared" si="26"/>
        <v/>
      </c>
      <c r="M894" t="str">
        <f t="shared" si="27"/>
        <v/>
      </c>
    </row>
    <row r="895" spans="9:13">
      <c r="I895" t="str">
        <f t="shared" si="26"/>
        <v/>
      </c>
      <c r="M895" t="str">
        <f t="shared" si="27"/>
        <v/>
      </c>
    </row>
    <row r="896" spans="9:13">
      <c r="I896" t="str">
        <f t="shared" si="26"/>
        <v/>
      </c>
      <c r="M896" t="str">
        <f t="shared" si="27"/>
        <v/>
      </c>
    </row>
    <row r="897" spans="9:13">
      <c r="I897" t="str">
        <f t="shared" si="26"/>
        <v/>
      </c>
      <c r="M897" t="str">
        <f t="shared" si="27"/>
        <v/>
      </c>
    </row>
    <row r="898" spans="9:13">
      <c r="I898" t="str">
        <f t="shared" ref="I898:I961" si="28">IF(AND(G898&lt;&gt;"", H898&lt;&gt;""), G898*H898, "")</f>
        <v/>
      </c>
      <c r="M898" t="str">
        <f t="shared" ref="M898:M961" si="29">IF(AND(K898&lt;&gt;"", L898&lt;&gt;""), K898*L898, "")</f>
        <v/>
      </c>
    </row>
    <row r="899" spans="9:13">
      <c r="I899" t="str">
        <f t="shared" si="28"/>
        <v/>
      </c>
      <c r="M899" t="str">
        <f t="shared" si="29"/>
        <v/>
      </c>
    </row>
    <row r="900" spans="9:13">
      <c r="I900" t="str">
        <f t="shared" si="28"/>
        <v/>
      </c>
      <c r="M900" t="str">
        <f t="shared" si="29"/>
        <v/>
      </c>
    </row>
    <row r="901" spans="9:13">
      <c r="I901" t="str">
        <f t="shared" si="28"/>
        <v/>
      </c>
      <c r="M901" t="str">
        <f t="shared" si="29"/>
        <v/>
      </c>
    </row>
    <row r="902" spans="9:13">
      <c r="I902" t="str">
        <f t="shared" si="28"/>
        <v/>
      </c>
      <c r="M902" t="str">
        <f t="shared" si="29"/>
        <v/>
      </c>
    </row>
    <row r="903" spans="9:13">
      <c r="I903" t="str">
        <f t="shared" si="28"/>
        <v/>
      </c>
      <c r="M903" t="str">
        <f t="shared" si="29"/>
        <v/>
      </c>
    </row>
    <row r="904" spans="9:13">
      <c r="I904" t="str">
        <f t="shared" si="28"/>
        <v/>
      </c>
      <c r="M904" t="str">
        <f t="shared" si="29"/>
        <v/>
      </c>
    </row>
    <row r="905" spans="9:13">
      <c r="I905" t="str">
        <f t="shared" si="28"/>
        <v/>
      </c>
      <c r="M905" t="str">
        <f t="shared" si="29"/>
        <v/>
      </c>
    </row>
    <row r="906" spans="9:13">
      <c r="I906" t="str">
        <f t="shared" si="28"/>
        <v/>
      </c>
      <c r="M906" t="str">
        <f t="shared" si="29"/>
        <v/>
      </c>
    </row>
    <row r="907" spans="9:13">
      <c r="I907" t="str">
        <f t="shared" si="28"/>
        <v/>
      </c>
      <c r="M907" t="str">
        <f t="shared" si="29"/>
        <v/>
      </c>
    </row>
    <row r="908" spans="9:13">
      <c r="I908" t="str">
        <f t="shared" si="28"/>
        <v/>
      </c>
      <c r="M908" t="str">
        <f t="shared" si="29"/>
        <v/>
      </c>
    </row>
    <row r="909" spans="9:13">
      <c r="I909" t="str">
        <f t="shared" si="28"/>
        <v/>
      </c>
      <c r="M909" t="str">
        <f t="shared" si="29"/>
        <v/>
      </c>
    </row>
    <row r="910" spans="9:13">
      <c r="I910" t="str">
        <f t="shared" si="28"/>
        <v/>
      </c>
      <c r="M910" t="str">
        <f t="shared" si="29"/>
        <v/>
      </c>
    </row>
    <row r="911" spans="9:13">
      <c r="I911" t="str">
        <f t="shared" si="28"/>
        <v/>
      </c>
      <c r="M911" t="str">
        <f t="shared" si="29"/>
        <v/>
      </c>
    </row>
    <row r="912" spans="9:13">
      <c r="I912" t="str">
        <f t="shared" si="28"/>
        <v/>
      </c>
      <c r="M912" t="str">
        <f t="shared" si="29"/>
        <v/>
      </c>
    </row>
    <row r="913" spans="9:13">
      <c r="I913" t="str">
        <f t="shared" si="28"/>
        <v/>
      </c>
      <c r="M913" t="str">
        <f t="shared" si="29"/>
        <v/>
      </c>
    </row>
    <row r="914" spans="9:13">
      <c r="I914" t="str">
        <f t="shared" si="28"/>
        <v/>
      </c>
      <c r="M914" t="str">
        <f t="shared" si="29"/>
        <v/>
      </c>
    </row>
    <row r="915" spans="9:13">
      <c r="I915" t="str">
        <f t="shared" si="28"/>
        <v/>
      </c>
      <c r="M915" t="str">
        <f t="shared" si="29"/>
        <v/>
      </c>
    </row>
    <row r="916" spans="9:13">
      <c r="I916" t="str">
        <f t="shared" si="28"/>
        <v/>
      </c>
      <c r="M916" t="str">
        <f t="shared" si="29"/>
        <v/>
      </c>
    </row>
    <row r="917" spans="9:13">
      <c r="I917" t="str">
        <f t="shared" si="28"/>
        <v/>
      </c>
      <c r="M917" t="str">
        <f t="shared" si="29"/>
        <v/>
      </c>
    </row>
    <row r="918" spans="9:13">
      <c r="I918" t="str">
        <f t="shared" si="28"/>
        <v/>
      </c>
      <c r="M918" t="str">
        <f t="shared" si="29"/>
        <v/>
      </c>
    </row>
    <row r="919" spans="9:13">
      <c r="I919" t="str">
        <f t="shared" si="28"/>
        <v/>
      </c>
      <c r="M919" t="str">
        <f t="shared" si="29"/>
        <v/>
      </c>
    </row>
    <row r="920" spans="9:13">
      <c r="I920" t="str">
        <f t="shared" si="28"/>
        <v/>
      </c>
      <c r="M920" t="str">
        <f t="shared" si="29"/>
        <v/>
      </c>
    </row>
    <row r="921" spans="9:13">
      <c r="I921" t="str">
        <f t="shared" si="28"/>
        <v/>
      </c>
      <c r="M921" t="str">
        <f t="shared" si="29"/>
        <v/>
      </c>
    </row>
    <row r="922" spans="9:13">
      <c r="I922" t="str">
        <f t="shared" si="28"/>
        <v/>
      </c>
      <c r="M922" t="str">
        <f t="shared" si="29"/>
        <v/>
      </c>
    </row>
    <row r="923" spans="9:13">
      <c r="I923" t="str">
        <f t="shared" si="28"/>
        <v/>
      </c>
      <c r="M923" t="str">
        <f t="shared" si="29"/>
        <v/>
      </c>
    </row>
    <row r="924" spans="9:13">
      <c r="I924" t="str">
        <f t="shared" si="28"/>
        <v/>
      </c>
      <c r="M924" t="str">
        <f t="shared" si="29"/>
        <v/>
      </c>
    </row>
    <row r="925" spans="9:13">
      <c r="I925" t="str">
        <f t="shared" si="28"/>
        <v/>
      </c>
      <c r="M925" t="str">
        <f t="shared" si="29"/>
        <v/>
      </c>
    </row>
    <row r="926" spans="9:13">
      <c r="I926" t="str">
        <f t="shared" si="28"/>
        <v/>
      </c>
      <c r="M926" t="str">
        <f t="shared" si="29"/>
        <v/>
      </c>
    </row>
    <row r="927" spans="9:13">
      <c r="I927" t="str">
        <f t="shared" si="28"/>
        <v/>
      </c>
      <c r="M927" t="str">
        <f t="shared" si="29"/>
        <v/>
      </c>
    </row>
    <row r="928" spans="9:13">
      <c r="I928" t="str">
        <f t="shared" si="28"/>
        <v/>
      </c>
      <c r="M928" t="str">
        <f t="shared" si="29"/>
        <v/>
      </c>
    </row>
    <row r="929" spans="9:13">
      <c r="I929" t="str">
        <f t="shared" si="28"/>
        <v/>
      </c>
      <c r="M929" t="str">
        <f t="shared" si="29"/>
        <v/>
      </c>
    </row>
    <row r="930" spans="9:13">
      <c r="I930" t="str">
        <f t="shared" si="28"/>
        <v/>
      </c>
      <c r="M930" t="str">
        <f t="shared" si="29"/>
        <v/>
      </c>
    </row>
    <row r="931" spans="9:13">
      <c r="I931" t="str">
        <f t="shared" si="28"/>
        <v/>
      </c>
      <c r="M931" t="str">
        <f t="shared" si="29"/>
        <v/>
      </c>
    </row>
    <row r="932" spans="9:13">
      <c r="I932" t="str">
        <f t="shared" si="28"/>
        <v/>
      </c>
      <c r="M932" t="str">
        <f t="shared" si="29"/>
        <v/>
      </c>
    </row>
    <row r="933" spans="9:13">
      <c r="I933" t="str">
        <f t="shared" si="28"/>
        <v/>
      </c>
      <c r="M933" t="str">
        <f t="shared" si="29"/>
        <v/>
      </c>
    </row>
    <row r="934" spans="9:13">
      <c r="I934" t="str">
        <f t="shared" si="28"/>
        <v/>
      </c>
      <c r="M934" t="str">
        <f t="shared" si="29"/>
        <v/>
      </c>
    </row>
    <row r="935" spans="9:13">
      <c r="I935" t="str">
        <f t="shared" si="28"/>
        <v/>
      </c>
      <c r="M935" t="str">
        <f t="shared" si="29"/>
        <v/>
      </c>
    </row>
    <row r="936" spans="9:13">
      <c r="I936" t="str">
        <f t="shared" si="28"/>
        <v/>
      </c>
      <c r="M936" t="str">
        <f t="shared" si="29"/>
        <v/>
      </c>
    </row>
    <row r="937" spans="9:13">
      <c r="I937" t="str">
        <f t="shared" si="28"/>
        <v/>
      </c>
      <c r="M937" t="str">
        <f t="shared" si="29"/>
        <v/>
      </c>
    </row>
    <row r="938" spans="9:13">
      <c r="I938" t="str">
        <f t="shared" si="28"/>
        <v/>
      </c>
      <c r="M938" t="str">
        <f t="shared" si="29"/>
        <v/>
      </c>
    </row>
    <row r="939" spans="9:13">
      <c r="I939" t="str">
        <f t="shared" si="28"/>
        <v/>
      </c>
      <c r="M939" t="str">
        <f t="shared" si="29"/>
        <v/>
      </c>
    </row>
    <row r="940" spans="9:13">
      <c r="I940" t="str">
        <f t="shared" si="28"/>
        <v/>
      </c>
      <c r="M940" t="str">
        <f t="shared" si="29"/>
        <v/>
      </c>
    </row>
    <row r="941" spans="9:13">
      <c r="I941" t="str">
        <f t="shared" si="28"/>
        <v/>
      </c>
      <c r="M941" t="str">
        <f t="shared" si="29"/>
        <v/>
      </c>
    </row>
    <row r="942" spans="9:13">
      <c r="I942" t="str">
        <f t="shared" si="28"/>
        <v/>
      </c>
      <c r="M942" t="str">
        <f t="shared" si="29"/>
        <v/>
      </c>
    </row>
    <row r="943" spans="9:13">
      <c r="I943" t="str">
        <f t="shared" si="28"/>
        <v/>
      </c>
      <c r="M943" t="str">
        <f t="shared" si="29"/>
        <v/>
      </c>
    </row>
    <row r="944" spans="9:13">
      <c r="I944" t="str">
        <f t="shared" si="28"/>
        <v/>
      </c>
      <c r="M944" t="str">
        <f t="shared" si="29"/>
        <v/>
      </c>
    </row>
    <row r="945" spans="9:13">
      <c r="I945" t="str">
        <f t="shared" si="28"/>
        <v/>
      </c>
      <c r="M945" t="str">
        <f t="shared" si="29"/>
        <v/>
      </c>
    </row>
    <row r="946" spans="9:13">
      <c r="I946" t="str">
        <f t="shared" si="28"/>
        <v/>
      </c>
      <c r="M946" t="str">
        <f t="shared" si="29"/>
        <v/>
      </c>
    </row>
    <row r="947" spans="9:13">
      <c r="I947" t="str">
        <f t="shared" si="28"/>
        <v/>
      </c>
      <c r="M947" t="str">
        <f t="shared" si="29"/>
        <v/>
      </c>
    </row>
    <row r="948" spans="9:13">
      <c r="I948" t="str">
        <f t="shared" si="28"/>
        <v/>
      </c>
      <c r="M948" t="str">
        <f t="shared" si="29"/>
        <v/>
      </c>
    </row>
    <row r="949" spans="9:13">
      <c r="I949" t="str">
        <f t="shared" si="28"/>
        <v/>
      </c>
      <c r="M949" t="str">
        <f t="shared" si="29"/>
        <v/>
      </c>
    </row>
    <row r="950" spans="9:13">
      <c r="I950" t="str">
        <f t="shared" si="28"/>
        <v/>
      </c>
      <c r="M950" t="str">
        <f t="shared" si="29"/>
        <v/>
      </c>
    </row>
    <row r="951" spans="9:13">
      <c r="I951" t="str">
        <f t="shared" si="28"/>
        <v/>
      </c>
      <c r="M951" t="str">
        <f t="shared" si="29"/>
        <v/>
      </c>
    </row>
    <row r="952" spans="9:13">
      <c r="I952" t="str">
        <f t="shared" si="28"/>
        <v/>
      </c>
      <c r="M952" t="str">
        <f t="shared" si="29"/>
        <v/>
      </c>
    </row>
    <row r="953" spans="9:13">
      <c r="I953" t="str">
        <f t="shared" si="28"/>
        <v/>
      </c>
      <c r="M953" t="str">
        <f t="shared" si="29"/>
        <v/>
      </c>
    </row>
    <row r="954" spans="9:13">
      <c r="I954" t="str">
        <f t="shared" si="28"/>
        <v/>
      </c>
      <c r="M954" t="str">
        <f t="shared" si="29"/>
        <v/>
      </c>
    </row>
    <row r="955" spans="9:13">
      <c r="I955" t="str">
        <f t="shared" si="28"/>
        <v/>
      </c>
      <c r="M955" t="str">
        <f t="shared" si="29"/>
        <v/>
      </c>
    </row>
    <row r="956" spans="9:13">
      <c r="I956" t="str">
        <f t="shared" si="28"/>
        <v/>
      </c>
      <c r="M956" t="str">
        <f t="shared" si="29"/>
        <v/>
      </c>
    </row>
    <row r="957" spans="9:13">
      <c r="I957" t="str">
        <f t="shared" si="28"/>
        <v/>
      </c>
      <c r="M957" t="str">
        <f t="shared" si="29"/>
        <v/>
      </c>
    </row>
    <row r="958" spans="9:13">
      <c r="I958" t="str">
        <f t="shared" si="28"/>
        <v/>
      </c>
      <c r="M958" t="str">
        <f t="shared" si="29"/>
        <v/>
      </c>
    </row>
    <row r="959" spans="9:13">
      <c r="I959" t="str">
        <f t="shared" si="28"/>
        <v/>
      </c>
      <c r="M959" t="str">
        <f t="shared" si="29"/>
        <v/>
      </c>
    </row>
    <row r="960" spans="9:13">
      <c r="I960" t="str">
        <f t="shared" si="28"/>
        <v/>
      </c>
      <c r="M960" t="str">
        <f t="shared" si="29"/>
        <v/>
      </c>
    </row>
    <row r="961" spans="9:13">
      <c r="I961" t="str">
        <f t="shared" si="28"/>
        <v/>
      </c>
      <c r="M961" t="str">
        <f t="shared" si="29"/>
        <v/>
      </c>
    </row>
    <row r="962" spans="9:13">
      <c r="I962" t="str">
        <f t="shared" ref="I962:I1000" si="30">IF(AND(G962&lt;&gt;"", H962&lt;&gt;""), G962*H962, "")</f>
        <v/>
      </c>
      <c r="M962" t="str">
        <f t="shared" ref="M962:M1000" si="31">IF(AND(K962&lt;&gt;"", L962&lt;&gt;""), K962*L962, "")</f>
        <v/>
      </c>
    </row>
    <row r="963" spans="9:13">
      <c r="I963" t="str">
        <f t="shared" si="30"/>
        <v/>
      </c>
      <c r="M963" t="str">
        <f t="shared" si="31"/>
        <v/>
      </c>
    </row>
    <row r="964" spans="9:13">
      <c r="I964" t="str">
        <f t="shared" si="30"/>
        <v/>
      </c>
      <c r="M964" t="str">
        <f t="shared" si="31"/>
        <v/>
      </c>
    </row>
    <row r="965" spans="9:13">
      <c r="I965" t="str">
        <f t="shared" si="30"/>
        <v/>
      </c>
      <c r="M965" t="str">
        <f t="shared" si="31"/>
        <v/>
      </c>
    </row>
    <row r="966" spans="9:13">
      <c r="I966" t="str">
        <f t="shared" si="30"/>
        <v/>
      </c>
      <c r="M966" t="str">
        <f t="shared" si="31"/>
        <v/>
      </c>
    </row>
    <row r="967" spans="9:13">
      <c r="I967" t="str">
        <f t="shared" si="30"/>
        <v/>
      </c>
      <c r="M967" t="str">
        <f t="shared" si="31"/>
        <v/>
      </c>
    </row>
    <row r="968" spans="9:13">
      <c r="I968" t="str">
        <f t="shared" si="30"/>
        <v/>
      </c>
      <c r="M968" t="str">
        <f t="shared" si="31"/>
        <v/>
      </c>
    </row>
    <row r="969" spans="9:13">
      <c r="I969" t="str">
        <f t="shared" si="30"/>
        <v/>
      </c>
      <c r="M969" t="str">
        <f t="shared" si="31"/>
        <v/>
      </c>
    </row>
    <row r="970" spans="9:13">
      <c r="I970" t="str">
        <f t="shared" si="30"/>
        <v/>
      </c>
      <c r="M970" t="str">
        <f t="shared" si="31"/>
        <v/>
      </c>
    </row>
    <row r="971" spans="9:13">
      <c r="I971" t="str">
        <f t="shared" si="30"/>
        <v/>
      </c>
      <c r="M971" t="str">
        <f t="shared" si="31"/>
        <v/>
      </c>
    </row>
    <row r="972" spans="9:13">
      <c r="I972" t="str">
        <f t="shared" si="30"/>
        <v/>
      </c>
      <c r="M972" t="str">
        <f t="shared" si="31"/>
        <v/>
      </c>
    </row>
    <row r="973" spans="9:13">
      <c r="I973" t="str">
        <f t="shared" si="30"/>
        <v/>
      </c>
      <c r="M973" t="str">
        <f t="shared" si="31"/>
        <v/>
      </c>
    </row>
    <row r="974" spans="9:13">
      <c r="I974" t="str">
        <f t="shared" si="30"/>
        <v/>
      </c>
      <c r="M974" t="str">
        <f t="shared" si="31"/>
        <v/>
      </c>
    </row>
    <row r="975" spans="9:13">
      <c r="I975" t="str">
        <f t="shared" si="30"/>
        <v/>
      </c>
      <c r="M975" t="str">
        <f t="shared" si="31"/>
        <v/>
      </c>
    </row>
    <row r="976" spans="9:13">
      <c r="I976" t="str">
        <f t="shared" si="30"/>
        <v/>
      </c>
      <c r="M976" t="str">
        <f t="shared" si="31"/>
        <v/>
      </c>
    </row>
    <row r="977" spans="9:13">
      <c r="I977" t="str">
        <f t="shared" si="30"/>
        <v/>
      </c>
      <c r="M977" t="str">
        <f t="shared" si="31"/>
        <v/>
      </c>
    </row>
    <row r="978" spans="9:13">
      <c r="I978" t="str">
        <f t="shared" si="30"/>
        <v/>
      </c>
      <c r="M978" t="str">
        <f t="shared" si="31"/>
        <v/>
      </c>
    </row>
    <row r="979" spans="9:13">
      <c r="I979" t="str">
        <f t="shared" si="30"/>
        <v/>
      </c>
      <c r="M979" t="str">
        <f t="shared" si="31"/>
        <v/>
      </c>
    </row>
    <row r="980" spans="9:13">
      <c r="I980" t="str">
        <f t="shared" si="30"/>
        <v/>
      </c>
      <c r="M980" t="str">
        <f t="shared" si="31"/>
        <v/>
      </c>
    </row>
    <row r="981" spans="9:13">
      <c r="I981" t="str">
        <f t="shared" si="30"/>
        <v/>
      </c>
      <c r="M981" t="str">
        <f t="shared" si="31"/>
        <v/>
      </c>
    </row>
    <row r="982" spans="9:13">
      <c r="I982" t="str">
        <f t="shared" si="30"/>
        <v/>
      </c>
      <c r="M982" t="str">
        <f t="shared" si="31"/>
        <v/>
      </c>
    </row>
    <row r="983" spans="9:13">
      <c r="I983" t="str">
        <f t="shared" si="30"/>
        <v/>
      </c>
      <c r="M983" t="str">
        <f t="shared" si="31"/>
        <v/>
      </c>
    </row>
    <row r="984" spans="9:13">
      <c r="I984" t="str">
        <f t="shared" si="30"/>
        <v/>
      </c>
      <c r="M984" t="str">
        <f t="shared" si="31"/>
        <v/>
      </c>
    </row>
    <row r="985" spans="9:13">
      <c r="I985" t="str">
        <f t="shared" si="30"/>
        <v/>
      </c>
      <c r="M985" t="str">
        <f t="shared" si="31"/>
        <v/>
      </c>
    </row>
    <row r="986" spans="9:13">
      <c r="I986" t="str">
        <f t="shared" si="30"/>
        <v/>
      </c>
      <c r="M986" t="str">
        <f t="shared" si="31"/>
        <v/>
      </c>
    </row>
    <row r="987" spans="9:13">
      <c r="I987" t="str">
        <f t="shared" si="30"/>
        <v/>
      </c>
      <c r="M987" t="str">
        <f t="shared" si="31"/>
        <v/>
      </c>
    </row>
    <row r="988" spans="9:13">
      <c r="I988" t="str">
        <f t="shared" si="30"/>
        <v/>
      </c>
      <c r="M988" t="str">
        <f t="shared" si="31"/>
        <v/>
      </c>
    </row>
    <row r="989" spans="9:13">
      <c r="I989" t="str">
        <f t="shared" si="30"/>
        <v/>
      </c>
      <c r="M989" t="str">
        <f t="shared" si="31"/>
        <v/>
      </c>
    </row>
    <row r="990" spans="9:13">
      <c r="I990" t="str">
        <f t="shared" si="30"/>
        <v/>
      </c>
      <c r="M990" t="str">
        <f t="shared" si="31"/>
        <v/>
      </c>
    </row>
    <row r="991" spans="9:13">
      <c r="I991" t="str">
        <f t="shared" si="30"/>
        <v/>
      </c>
      <c r="M991" t="str">
        <f t="shared" si="31"/>
        <v/>
      </c>
    </row>
    <row r="992" spans="9:13">
      <c r="I992" t="str">
        <f t="shared" si="30"/>
        <v/>
      </c>
      <c r="M992" t="str">
        <f t="shared" si="31"/>
        <v/>
      </c>
    </row>
    <row r="993" spans="9:13">
      <c r="I993" t="str">
        <f t="shared" si="30"/>
        <v/>
      </c>
      <c r="M993" t="str">
        <f t="shared" si="31"/>
        <v/>
      </c>
    </row>
    <row r="994" spans="9:13">
      <c r="I994" t="str">
        <f t="shared" si="30"/>
        <v/>
      </c>
      <c r="M994" t="str">
        <f t="shared" si="31"/>
        <v/>
      </c>
    </row>
    <row r="995" spans="9:13">
      <c r="I995" t="str">
        <f t="shared" si="30"/>
        <v/>
      </c>
      <c r="M995" t="str">
        <f t="shared" si="31"/>
        <v/>
      </c>
    </row>
    <row r="996" spans="9:13">
      <c r="I996" t="str">
        <f t="shared" si="30"/>
        <v/>
      </c>
      <c r="M996" t="str">
        <f t="shared" si="31"/>
        <v/>
      </c>
    </row>
    <row r="997" spans="9:13">
      <c r="I997" t="str">
        <f t="shared" si="30"/>
        <v/>
      </c>
      <c r="M997" t="str">
        <f t="shared" si="31"/>
        <v/>
      </c>
    </row>
    <row r="998" spans="9:13">
      <c r="I998" t="str">
        <f t="shared" si="30"/>
        <v/>
      </c>
      <c r="M998" t="str">
        <f t="shared" si="31"/>
        <v/>
      </c>
    </row>
    <row r="999" spans="9:13">
      <c r="I999" t="str">
        <f t="shared" si="30"/>
        <v/>
      </c>
      <c r="M999" t="str">
        <f t="shared" si="31"/>
        <v/>
      </c>
    </row>
    <row r="1000" spans="9:13">
      <c r="I1000" t="str">
        <f t="shared" si="30"/>
        <v/>
      </c>
      <c r="M1000" t="str">
        <f t="shared" si="31"/>
        <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9"/>
  <dimension ref="A1:N3"/>
  <sheetViews>
    <sheetView workbookViewId="0"/>
  </sheetViews>
  <sheetFormatPr baseColWidth="10" defaultColWidth="9.140625" defaultRowHeight="15"/>
  <cols>
    <col min="1" max="1" width="18" customWidth="1"/>
    <col min="3" max="3" width="30" customWidth="1"/>
    <col min="4" max="4" width="18" customWidth="1"/>
    <col min="5" max="5" width="40" customWidth="1"/>
    <col min="6" max="6" width="18" customWidth="1"/>
    <col min="14" max="14" width="40" customWidth="1"/>
  </cols>
  <sheetData>
    <row r="1" spans="1:14" ht="30">
      <c r="A1" s="48" t="s">
        <v>1850</v>
      </c>
      <c r="B1" s="48" t="s">
        <v>1829</v>
      </c>
      <c r="C1" s="48" t="s">
        <v>1851</v>
      </c>
      <c r="D1" s="48" t="s">
        <v>1852</v>
      </c>
      <c r="E1" s="48" t="s">
        <v>1853</v>
      </c>
      <c r="F1" s="48" t="s">
        <v>1854</v>
      </c>
      <c r="G1" s="48" t="s">
        <v>229</v>
      </c>
      <c r="H1" s="48" t="s">
        <v>1855</v>
      </c>
      <c r="I1" s="48" t="s">
        <v>1856</v>
      </c>
      <c r="J1" s="48" t="s">
        <v>89</v>
      </c>
      <c r="K1" s="48" t="s">
        <v>1857</v>
      </c>
      <c r="L1" s="48" t="s">
        <v>1858</v>
      </c>
      <c r="M1" s="48" t="s">
        <v>799</v>
      </c>
      <c r="N1" s="48" t="s">
        <v>1312</v>
      </c>
    </row>
    <row r="2" spans="1:14">
      <c r="A2" s="49" t="s">
        <v>1859</v>
      </c>
      <c r="B2" s="49" t="s">
        <v>1840</v>
      </c>
      <c r="C2" s="49" t="s">
        <v>1860</v>
      </c>
      <c r="D2" s="49" t="s">
        <v>1861</v>
      </c>
      <c r="E2" s="49" t="s">
        <v>1862</v>
      </c>
      <c r="F2" s="49" t="s">
        <v>1863</v>
      </c>
      <c r="G2" s="49" t="s">
        <v>765</v>
      </c>
      <c r="H2" s="49" t="s">
        <v>1203</v>
      </c>
      <c r="I2" s="49" t="s">
        <v>1864</v>
      </c>
      <c r="J2" s="49" t="s">
        <v>1865</v>
      </c>
      <c r="K2" s="49">
        <v>60</v>
      </c>
      <c r="L2" s="49" t="s">
        <v>692</v>
      </c>
      <c r="M2" s="50" t="s">
        <v>1332</v>
      </c>
      <c r="N2" s="49" t="s">
        <v>1866</v>
      </c>
    </row>
    <row r="3" spans="1:14">
      <c r="A3" s="49" t="s">
        <v>1867</v>
      </c>
      <c r="B3" s="49" t="s">
        <v>1845</v>
      </c>
      <c r="C3" s="49" t="s">
        <v>1868</v>
      </c>
      <c r="D3" s="49" t="s">
        <v>1861</v>
      </c>
      <c r="E3" s="49" t="s">
        <v>1869</v>
      </c>
      <c r="F3" s="49" t="s">
        <v>1863</v>
      </c>
      <c r="G3" s="49" t="s">
        <v>1870</v>
      </c>
      <c r="H3" s="49" t="s">
        <v>1214</v>
      </c>
      <c r="I3" s="49" t="s">
        <v>1871</v>
      </c>
      <c r="J3" s="49" t="s">
        <v>1872</v>
      </c>
      <c r="K3" s="49">
        <v>100</v>
      </c>
      <c r="L3" s="49" t="s">
        <v>696</v>
      </c>
      <c r="M3" s="65" t="s">
        <v>158</v>
      </c>
      <c r="N3" s="49" t="s">
        <v>1873</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30"/>
  <dimension ref="B2:H26"/>
  <sheetViews>
    <sheetView workbookViewId="0"/>
  </sheetViews>
  <sheetFormatPr baseColWidth="10" defaultColWidth="9.140625" defaultRowHeight="15"/>
  <cols>
    <col min="2" max="2" width="30" customWidth="1"/>
    <col min="3" max="3" width="20" customWidth="1"/>
    <col min="4" max="4" width="15" customWidth="1"/>
    <col min="6" max="6" width="15" customWidth="1"/>
    <col min="7" max="7" width="35" customWidth="1"/>
    <col min="8" max="8" width="12" customWidth="1"/>
  </cols>
  <sheetData>
    <row r="2" spans="2:8" ht="21" customHeight="1">
      <c r="B2" s="109" t="s">
        <v>1874</v>
      </c>
      <c r="C2" s="70"/>
      <c r="D2" s="70"/>
      <c r="E2" s="70"/>
      <c r="F2" s="70"/>
      <c r="G2" s="70"/>
    </row>
    <row r="4" spans="2:8" ht="15.75" customHeight="1">
      <c r="B4" s="111" t="s">
        <v>1875</v>
      </c>
      <c r="C4" s="70"/>
      <c r="D4" s="70"/>
      <c r="F4" s="111" t="s">
        <v>1876</v>
      </c>
      <c r="G4" s="70"/>
      <c r="H4" s="70"/>
    </row>
    <row r="5" spans="2:8">
      <c r="B5" t="s">
        <v>1877</v>
      </c>
      <c r="C5">
        <f>COUNTA(Activos!A:A)-1</f>
        <v>4</v>
      </c>
      <c r="F5" s="66" t="s">
        <v>82</v>
      </c>
      <c r="G5" s="66" t="s">
        <v>1830</v>
      </c>
      <c r="H5" s="66" t="s">
        <v>144</v>
      </c>
    </row>
    <row r="6" spans="2:8">
      <c r="B6" t="s">
        <v>1878</v>
      </c>
      <c r="C6">
        <f>COUNTIF(Activos!M:M,"Crítico")</f>
        <v>0</v>
      </c>
    </row>
    <row r="7" spans="2:8">
      <c r="B7" t="s">
        <v>1879</v>
      </c>
      <c r="C7">
        <f>COUNTIF(Activos!M:M,"Alto")</f>
        <v>0</v>
      </c>
    </row>
    <row r="9" spans="2:8" ht="15.75" customHeight="1">
      <c r="B9" s="111" t="s">
        <v>1880</v>
      </c>
      <c r="C9" s="70"/>
      <c r="D9" s="70"/>
    </row>
    <row r="10" spans="2:8">
      <c r="B10" t="s">
        <v>1881</v>
      </c>
      <c r="C10">
        <f>COUNTA(Analisis_Riesgos!A:A)-1</f>
        <v>2</v>
      </c>
    </row>
    <row r="11" spans="2:8">
      <c r="B11" t="s">
        <v>1882</v>
      </c>
      <c r="C11">
        <f>COUNTIF(Analisis_Riesgos!I:I,"&gt;=15")</f>
        <v>2</v>
      </c>
    </row>
    <row r="12" spans="2:8">
      <c r="B12" t="s">
        <v>1883</v>
      </c>
      <c r="C12">
        <f>COUNTIFS(Analisis_Riesgos!I:I,"&gt;=10",Analisis_Riesgos!I:I,"&lt;15")</f>
        <v>0</v>
      </c>
    </row>
    <row r="13" spans="2:8">
      <c r="B13" t="s">
        <v>1884</v>
      </c>
      <c r="C13">
        <f>COUNTIFS(Analisis_Riesgos!I:I,"&gt;=6",Analisis_Riesgos!I:I,"&lt;10")</f>
        <v>0</v>
      </c>
    </row>
    <row r="15" spans="2:8" ht="15.75" customHeight="1">
      <c r="B15" s="111" t="s">
        <v>1885</v>
      </c>
      <c r="C15" s="70"/>
      <c r="D15" s="70"/>
    </row>
    <row r="16" spans="2:8">
      <c r="B16" t="s">
        <v>1886</v>
      </c>
      <c r="C16">
        <f>COUNTA(Plan_Tratamiento!A:A)-1</f>
        <v>2</v>
      </c>
    </row>
    <row r="17" spans="2:4">
      <c r="B17" t="s">
        <v>1887</v>
      </c>
      <c r="C17">
        <f>COUNTIF(Plan_Tratamiento!J:J,"Completado")</f>
        <v>1</v>
      </c>
    </row>
    <row r="18" spans="2:4">
      <c r="B18" t="s">
        <v>1888</v>
      </c>
      <c r="C18">
        <f>COUNTIF(Plan_Tratamiento!J:J,"En Progreso")</f>
        <v>1</v>
      </c>
    </row>
    <row r="19" spans="2:4">
      <c r="B19" t="s">
        <v>1889</v>
      </c>
      <c r="C19">
        <f>COUNTIF(Plan_Tratamiento!J:J,"Pendiente")</f>
        <v>0</v>
      </c>
    </row>
    <row r="21" spans="2:4" ht="15.75" customHeight="1">
      <c r="B21" s="111" t="s">
        <v>1890</v>
      </c>
      <c r="C21" s="70"/>
      <c r="D21" s="70"/>
    </row>
    <row r="22" spans="2:4">
      <c r="B22" s="66" t="s">
        <v>1891</v>
      </c>
      <c r="C22" s="66" t="s">
        <v>145</v>
      </c>
      <c r="D22" s="66" t="s">
        <v>1892</v>
      </c>
    </row>
    <row r="23" spans="2:4">
      <c r="B23" t="s">
        <v>1893</v>
      </c>
      <c r="C23">
        <f>IF(C10&gt;0,C17/C10*100,0)</f>
        <v>50</v>
      </c>
      <c r="D23" t="s">
        <v>1894</v>
      </c>
    </row>
    <row r="24" spans="2:4">
      <c r="B24" t="s">
        <v>1895</v>
      </c>
      <c r="C24" t="s">
        <v>1896</v>
      </c>
      <c r="D24" t="s">
        <v>1897</v>
      </c>
    </row>
    <row r="25" spans="2:4">
      <c r="B25" t="s">
        <v>1898</v>
      </c>
      <c r="C25">
        <f>IF(C5&gt;0,C10/C5*100,0)</f>
        <v>50</v>
      </c>
      <c r="D25" t="s">
        <v>1899</v>
      </c>
    </row>
    <row r="26" spans="2:4">
      <c r="B26" t="s">
        <v>1900</v>
      </c>
      <c r="C26" t="s">
        <v>1896</v>
      </c>
      <c r="D26" t="s">
        <v>1901</v>
      </c>
    </row>
  </sheetData>
  <mergeCells count="6">
    <mergeCell ref="B2:G2"/>
    <mergeCell ref="B4:D4"/>
    <mergeCell ref="B9:D9"/>
    <mergeCell ref="F4:H4"/>
    <mergeCell ref="B21:D21"/>
    <mergeCell ref="B15:D15"/>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31"/>
  <dimension ref="B2:G31"/>
  <sheetViews>
    <sheetView workbookViewId="0"/>
  </sheetViews>
  <sheetFormatPr baseColWidth="10" defaultColWidth="9.140625" defaultRowHeight="15"/>
  <cols>
    <col min="2" max="2" width="18" customWidth="1"/>
    <col min="3" max="3" width="25" customWidth="1"/>
    <col min="5" max="5" width="18" customWidth="1"/>
    <col min="6" max="6" width="20" customWidth="1"/>
    <col min="7" max="7" width="30" customWidth="1"/>
  </cols>
  <sheetData>
    <row r="2" spans="2:7" ht="18.75" customHeight="1">
      <c r="B2" s="110" t="s">
        <v>1902</v>
      </c>
      <c r="C2" s="70"/>
      <c r="D2" s="70"/>
      <c r="E2" s="70"/>
    </row>
    <row r="3" spans="2:7">
      <c r="B3" s="114" t="s">
        <v>1903</v>
      </c>
      <c r="C3" s="70"/>
      <c r="D3" s="70"/>
      <c r="E3" s="70"/>
    </row>
    <row r="5" spans="2:7">
      <c r="B5" s="113" t="s">
        <v>1904</v>
      </c>
      <c r="C5" s="70"/>
      <c r="E5" s="113" t="s">
        <v>1905</v>
      </c>
      <c r="F5" s="70"/>
      <c r="G5" s="70"/>
    </row>
    <row r="6" spans="2:7">
      <c r="B6" s="67" t="s">
        <v>1906</v>
      </c>
      <c r="C6" s="67" t="s">
        <v>1907</v>
      </c>
      <c r="E6" s="67" t="s">
        <v>1908</v>
      </c>
      <c r="F6" s="67" t="s">
        <v>1909</v>
      </c>
      <c r="G6" s="67" t="s">
        <v>1910</v>
      </c>
    </row>
    <row r="7" spans="2:7">
      <c r="B7" s="49" t="s">
        <v>1911</v>
      </c>
      <c r="C7" s="49" t="s">
        <v>1315</v>
      </c>
      <c r="E7" s="49" t="s">
        <v>1912</v>
      </c>
      <c r="F7" s="49" t="s">
        <v>1315</v>
      </c>
      <c r="G7" s="49" t="s">
        <v>1316</v>
      </c>
    </row>
    <row r="8" spans="2:7">
      <c r="B8" s="49" t="s">
        <v>1913</v>
      </c>
      <c r="C8" s="49" t="s">
        <v>1326</v>
      </c>
      <c r="E8" s="49" t="s">
        <v>1914</v>
      </c>
      <c r="F8" s="49" t="s">
        <v>1315</v>
      </c>
      <c r="G8" s="49" t="s">
        <v>1915</v>
      </c>
    </row>
    <row r="9" spans="2:7">
      <c r="B9" s="49" t="s">
        <v>1916</v>
      </c>
      <c r="C9" s="49" t="s">
        <v>1917</v>
      </c>
      <c r="E9" s="49" t="s">
        <v>1918</v>
      </c>
      <c r="F9" s="49" t="s">
        <v>1315</v>
      </c>
      <c r="G9" s="49" t="s">
        <v>969</v>
      </c>
    </row>
    <row r="10" spans="2:7">
      <c r="B10" s="49" t="s">
        <v>1919</v>
      </c>
      <c r="C10" s="49" t="s">
        <v>1920</v>
      </c>
      <c r="E10" s="49" t="s">
        <v>1921</v>
      </c>
      <c r="F10" s="49" t="s">
        <v>1315</v>
      </c>
      <c r="G10" s="49" t="s">
        <v>791</v>
      </c>
    </row>
    <row r="11" spans="2:7">
      <c r="B11" s="49" t="s">
        <v>1922</v>
      </c>
      <c r="C11" s="49" t="s">
        <v>1923</v>
      </c>
      <c r="E11" s="49" t="s">
        <v>1924</v>
      </c>
      <c r="F11" s="49" t="s">
        <v>1326</v>
      </c>
      <c r="G11" s="49" t="s">
        <v>1327</v>
      </c>
    </row>
    <row r="12" spans="2:7">
      <c r="B12" s="49" t="s">
        <v>1925</v>
      </c>
      <c r="C12" s="49" t="s">
        <v>1926</v>
      </c>
      <c r="E12" s="49" t="s">
        <v>1927</v>
      </c>
      <c r="F12" s="49" t="s">
        <v>1326</v>
      </c>
      <c r="G12" s="49" t="s">
        <v>1928</v>
      </c>
    </row>
    <row r="13" spans="2:7">
      <c r="B13" s="49" t="s">
        <v>1929</v>
      </c>
      <c r="C13" s="49" t="s">
        <v>1930</v>
      </c>
      <c r="E13" s="49" t="s">
        <v>1931</v>
      </c>
      <c r="F13" s="49" t="s">
        <v>1326</v>
      </c>
      <c r="G13" s="49" t="s">
        <v>1932</v>
      </c>
    </row>
    <row r="14" spans="2:7">
      <c r="B14" s="49" t="s">
        <v>1933</v>
      </c>
      <c r="C14" s="49" t="s">
        <v>1934</v>
      </c>
      <c r="E14" s="49" t="s">
        <v>1935</v>
      </c>
      <c r="F14" s="49" t="s">
        <v>1917</v>
      </c>
      <c r="G14" s="49" t="s">
        <v>1936</v>
      </c>
    </row>
    <row r="15" spans="2:7">
      <c r="B15" s="49" t="s">
        <v>1937</v>
      </c>
      <c r="C15" s="49" t="s">
        <v>1938</v>
      </c>
      <c r="E15" s="49" t="s">
        <v>1939</v>
      </c>
      <c r="F15" s="49" t="s">
        <v>1917</v>
      </c>
      <c r="G15" s="49" t="s">
        <v>1940</v>
      </c>
    </row>
    <row r="16" spans="2:7">
      <c r="B16" s="49" t="s">
        <v>1941</v>
      </c>
      <c r="C16" s="49" t="s">
        <v>1942</v>
      </c>
      <c r="E16" s="49" t="s">
        <v>1943</v>
      </c>
      <c r="F16" s="49" t="s">
        <v>1917</v>
      </c>
      <c r="G16" s="49" t="s">
        <v>1944</v>
      </c>
    </row>
    <row r="17" spans="5:7">
      <c r="E17" s="49" t="s">
        <v>1945</v>
      </c>
      <c r="F17" s="49" t="s">
        <v>1920</v>
      </c>
      <c r="G17" s="49" t="s">
        <v>1946</v>
      </c>
    </row>
    <row r="18" spans="5:7">
      <c r="E18" s="49" t="s">
        <v>1947</v>
      </c>
      <c r="F18" s="49" t="s">
        <v>1920</v>
      </c>
      <c r="G18" s="49" t="s">
        <v>1948</v>
      </c>
    </row>
    <row r="19" spans="5:7">
      <c r="E19" s="49" t="s">
        <v>1949</v>
      </c>
      <c r="F19" s="49" t="s">
        <v>1920</v>
      </c>
      <c r="G19" s="49" t="s">
        <v>1950</v>
      </c>
    </row>
    <row r="20" spans="5:7">
      <c r="E20" s="49" t="s">
        <v>1951</v>
      </c>
      <c r="F20" s="49" t="s">
        <v>1923</v>
      </c>
      <c r="G20" s="49" t="s">
        <v>1952</v>
      </c>
    </row>
    <row r="21" spans="5:7">
      <c r="E21" s="49" t="s">
        <v>1953</v>
      </c>
      <c r="F21" s="49" t="s">
        <v>1923</v>
      </c>
      <c r="G21" s="49" t="s">
        <v>1954</v>
      </c>
    </row>
    <row r="22" spans="5:7">
      <c r="E22" s="49" t="s">
        <v>1955</v>
      </c>
      <c r="F22" s="49" t="s">
        <v>1926</v>
      </c>
      <c r="G22" s="49" t="s">
        <v>1956</v>
      </c>
    </row>
    <row r="23" spans="5:7">
      <c r="E23" s="49" t="s">
        <v>1957</v>
      </c>
      <c r="F23" s="49" t="s">
        <v>1926</v>
      </c>
      <c r="G23" s="49" t="s">
        <v>1958</v>
      </c>
    </row>
    <row r="24" spans="5:7">
      <c r="E24" s="49" t="s">
        <v>1959</v>
      </c>
      <c r="F24" s="49" t="s">
        <v>1930</v>
      </c>
      <c r="G24" s="49" t="s">
        <v>1960</v>
      </c>
    </row>
    <row r="25" spans="5:7">
      <c r="E25" s="49" t="s">
        <v>1961</v>
      </c>
      <c r="F25" s="49" t="s">
        <v>1930</v>
      </c>
      <c r="G25" s="49" t="s">
        <v>1962</v>
      </c>
    </row>
    <row r="26" spans="5:7">
      <c r="E26" s="49" t="s">
        <v>1963</v>
      </c>
      <c r="F26" s="49" t="s">
        <v>1934</v>
      </c>
      <c r="G26" s="49" t="s">
        <v>1964</v>
      </c>
    </row>
    <row r="27" spans="5:7">
      <c r="E27" s="49" t="s">
        <v>1965</v>
      </c>
      <c r="F27" s="49" t="s">
        <v>1934</v>
      </c>
      <c r="G27" s="49" t="s">
        <v>1966</v>
      </c>
    </row>
    <row r="28" spans="5:7">
      <c r="E28" s="49" t="s">
        <v>1967</v>
      </c>
      <c r="F28" s="49" t="s">
        <v>1938</v>
      </c>
      <c r="G28" s="49" t="s">
        <v>1968</v>
      </c>
    </row>
    <row r="29" spans="5:7">
      <c r="E29" s="49" t="s">
        <v>1969</v>
      </c>
      <c r="F29" s="49" t="s">
        <v>1938</v>
      </c>
      <c r="G29" s="49" t="s">
        <v>1970</v>
      </c>
    </row>
    <row r="30" spans="5:7">
      <c r="E30" s="49" t="s">
        <v>1971</v>
      </c>
      <c r="F30" s="49" t="s">
        <v>1942</v>
      </c>
      <c r="G30" s="49" t="s">
        <v>1972</v>
      </c>
    </row>
    <row r="31" spans="5:7">
      <c r="E31" s="49" t="s">
        <v>1973</v>
      </c>
      <c r="F31" s="49" t="s">
        <v>1942</v>
      </c>
      <c r="G31" s="49" t="s">
        <v>1974</v>
      </c>
    </row>
  </sheetData>
  <mergeCells count="4">
    <mergeCell ref="E5:G5"/>
    <mergeCell ref="B5:C5"/>
    <mergeCell ref="B3:E3"/>
    <mergeCell ref="B2:E2"/>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32"/>
  <dimension ref="B2:H16"/>
  <sheetViews>
    <sheetView workbookViewId="0"/>
  </sheetViews>
  <sheetFormatPr baseColWidth="10" defaultColWidth="9.140625" defaultRowHeight="15"/>
  <cols>
    <col min="2" max="2" width="15" customWidth="1"/>
    <col min="3" max="3" width="30" customWidth="1"/>
    <col min="4" max="4" width="25" customWidth="1"/>
    <col min="6" max="6" width="15" customWidth="1"/>
    <col min="7" max="7" width="30" customWidth="1"/>
  </cols>
  <sheetData>
    <row r="2" spans="2:8" ht="18.75" customHeight="1">
      <c r="B2" s="110" t="s">
        <v>1975</v>
      </c>
      <c r="C2" s="70"/>
      <c r="D2" s="70"/>
      <c r="E2" s="70"/>
    </row>
    <row r="3" spans="2:8">
      <c r="B3" s="114" t="s">
        <v>1976</v>
      </c>
      <c r="C3" s="70"/>
      <c r="D3" s="70"/>
      <c r="E3" s="70"/>
    </row>
    <row r="5" spans="2:8">
      <c r="B5" s="113" t="s">
        <v>1977</v>
      </c>
      <c r="C5" s="70"/>
      <c r="D5" s="70"/>
      <c r="F5" s="113" t="s">
        <v>1978</v>
      </c>
      <c r="G5" s="70"/>
      <c r="H5" s="70"/>
    </row>
    <row r="6" spans="2:8">
      <c r="B6" s="67" t="s">
        <v>1979</v>
      </c>
      <c r="C6" s="67" t="s">
        <v>1980</v>
      </c>
      <c r="D6" s="67" t="s">
        <v>229</v>
      </c>
      <c r="F6" s="67" t="s">
        <v>1981</v>
      </c>
      <c r="G6" s="67" t="s">
        <v>1982</v>
      </c>
      <c r="H6" s="67" t="s">
        <v>1983</v>
      </c>
    </row>
    <row r="7" spans="2:8">
      <c r="B7" s="49" t="s">
        <v>1984</v>
      </c>
      <c r="C7" s="49" t="s">
        <v>1319</v>
      </c>
      <c r="D7" s="49"/>
      <c r="F7" s="49" t="s">
        <v>1985</v>
      </c>
      <c r="G7" s="49" t="s">
        <v>948</v>
      </c>
      <c r="H7" s="49"/>
    </row>
    <row r="8" spans="2:8">
      <c r="B8" s="49" t="s">
        <v>1986</v>
      </c>
      <c r="C8" s="49" t="s">
        <v>1338</v>
      </c>
      <c r="D8" s="49"/>
      <c r="F8" s="49" t="s">
        <v>1987</v>
      </c>
      <c r="G8" s="49" t="s">
        <v>1988</v>
      </c>
      <c r="H8" s="49"/>
    </row>
    <row r="9" spans="2:8">
      <c r="B9" s="49" t="s">
        <v>1989</v>
      </c>
      <c r="C9" s="49" t="s">
        <v>1990</v>
      </c>
      <c r="D9" s="49"/>
      <c r="F9" s="49" t="s">
        <v>1991</v>
      </c>
      <c r="G9" s="49" t="s">
        <v>1992</v>
      </c>
      <c r="H9" s="49"/>
    </row>
    <row r="10" spans="2:8">
      <c r="B10" s="49" t="s">
        <v>1993</v>
      </c>
      <c r="C10" s="49" t="s">
        <v>1994</v>
      </c>
      <c r="D10" s="49"/>
      <c r="F10" s="49" t="s">
        <v>1995</v>
      </c>
      <c r="G10" s="49" t="s">
        <v>1996</v>
      </c>
      <c r="H10" s="49"/>
    </row>
    <row r="11" spans="2:8">
      <c r="B11" s="49" t="s">
        <v>1997</v>
      </c>
      <c r="C11" s="49" t="s">
        <v>1315</v>
      </c>
      <c r="D11" s="49"/>
      <c r="F11" s="49" t="s">
        <v>1998</v>
      </c>
      <c r="G11" s="49" t="s">
        <v>1999</v>
      </c>
      <c r="H11" s="49"/>
    </row>
    <row r="12" spans="2:8">
      <c r="B12" s="49" t="s">
        <v>2000</v>
      </c>
      <c r="C12" s="49" t="s">
        <v>2001</v>
      </c>
      <c r="D12" s="49"/>
      <c r="F12" s="49" t="s">
        <v>2002</v>
      </c>
      <c r="G12" s="49" t="s">
        <v>2003</v>
      </c>
      <c r="H12" s="49" t="s">
        <v>990</v>
      </c>
    </row>
    <row r="13" spans="2:8">
      <c r="B13" s="49" t="s">
        <v>2004</v>
      </c>
      <c r="C13" s="49" t="s">
        <v>866</v>
      </c>
      <c r="D13" s="49"/>
      <c r="F13" s="49" t="s">
        <v>2005</v>
      </c>
      <c r="G13" s="49" t="s">
        <v>2006</v>
      </c>
      <c r="H13" s="49" t="s">
        <v>990</v>
      </c>
    </row>
    <row r="14" spans="2:8">
      <c r="B14" s="49" t="s">
        <v>2007</v>
      </c>
      <c r="C14" s="49" t="s">
        <v>2008</v>
      </c>
      <c r="D14" s="49"/>
      <c r="F14" s="49" t="s">
        <v>2009</v>
      </c>
      <c r="G14" s="49" t="s">
        <v>2010</v>
      </c>
      <c r="H14" s="49"/>
    </row>
    <row r="15" spans="2:8">
      <c r="B15" s="49" t="s">
        <v>2011</v>
      </c>
      <c r="C15" s="49" t="s">
        <v>496</v>
      </c>
      <c r="D15" s="49"/>
      <c r="F15" s="49" t="s">
        <v>2012</v>
      </c>
      <c r="G15" s="49" t="s">
        <v>1339</v>
      </c>
      <c r="H15" s="49" t="s">
        <v>2013</v>
      </c>
    </row>
    <row r="16" spans="2:8">
      <c r="B16" s="49" t="s">
        <v>2014</v>
      </c>
      <c r="C16" s="49" t="s">
        <v>2015</v>
      </c>
      <c r="D16" s="49"/>
      <c r="F16" s="49" t="s">
        <v>2016</v>
      </c>
      <c r="G16" s="49" t="s">
        <v>2017</v>
      </c>
      <c r="H16" s="49" t="s">
        <v>2018</v>
      </c>
    </row>
  </sheetData>
  <mergeCells count="4">
    <mergeCell ref="B5:D5"/>
    <mergeCell ref="B3:E3"/>
    <mergeCell ref="B2:E2"/>
    <mergeCell ref="F5:H5"/>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33"/>
  <dimension ref="B2:G22"/>
  <sheetViews>
    <sheetView workbookViewId="0"/>
  </sheetViews>
  <sheetFormatPr baseColWidth="10" defaultColWidth="9.140625" defaultRowHeight="15"/>
  <cols>
    <col min="2" max="2" width="15" customWidth="1"/>
    <col min="3" max="3" width="30" customWidth="1"/>
    <col min="5" max="5" width="15" customWidth="1"/>
    <col min="6" max="6" width="25" customWidth="1"/>
    <col min="7" max="7" width="30" customWidth="1"/>
  </cols>
  <sheetData>
    <row r="2" spans="2:7" ht="18.75" customHeight="1">
      <c r="B2" s="110" t="s">
        <v>2019</v>
      </c>
      <c r="C2" s="70"/>
      <c r="D2" s="70"/>
      <c r="E2" s="70"/>
      <c r="F2" s="70"/>
    </row>
    <row r="3" spans="2:7">
      <c r="B3" s="114" t="s">
        <v>2020</v>
      </c>
      <c r="C3" s="70"/>
      <c r="D3" s="70"/>
      <c r="E3" s="70"/>
      <c r="F3" s="70"/>
    </row>
    <row r="5" spans="2:7">
      <c r="B5" s="113" t="s">
        <v>2021</v>
      </c>
      <c r="C5" s="70"/>
      <c r="E5" s="113" t="s">
        <v>2022</v>
      </c>
      <c r="F5" s="70"/>
      <c r="G5" s="70"/>
    </row>
    <row r="6" spans="2:7">
      <c r="B6" s="67" t="s">
        <v>2023</v>
      </c>
      <c r="C6" s="67" t="s">
        <v>2024</v>
      </c>
      <c r="E6" s="67" t="s">
        <v>2025</v>
      </c>
      <c r="F6" s="67" t="s">
        <v>2026</v>
      </c>
      <c r="G6" s="67" t="s">
        <v>2027</v>
      </c>
    </row>
    <row r="7" spans="2:7">
      <c r="B7" s="49" t="s">
        <v>2028</v>
      </c>
      <c r="C7" s="49" t="s">
        <v>1328</v>
      </c>
      <c r="E7" s="49" t="s">
        <v>2029</v>
      </c>
      <c r="F7" s="49" t="s">
        <v>1328</v>
      </c>
      <c r="G7" s="49" t="s">
        <v>2030</v>
      </c>
    </row>
    <row r="8" spans="2:7">
      <c r="B8" s="49" t="s">
        <v>2031</v>
      </c>
      <c r="C8" s="49" t="s">
        <v>2032</v>
      </c>
      <c r="E8" s="49" t="s">
        <v>2033</v>
      </c>
      <c r="F8" s="49" t="s">
        <v>1328</v>
      </c>
      <c r="G8" s="49" t="s">
        <v>1329</v>
      </c>
    </row>
    <row r="9" spans="2:7">
      <c r="B9" s="49" t="s">
        <v>2034</v>
      </c>
      <c r="C9" s="49" t="s">
        <v>2035</v>
      </c>
      <c r="E9" s="49" t="s">
        <v>2036</v>
      </c>
      <c r="F9" s="49" t="s">
        <v>2032</v>
      </c>
      <c r="G9" s="49" t="s">
        <v>2037</v>
      </c>
    </row>
    <row r="10" spans="2:7">
      <c r="B10" s="49" t="s">
        <v>2038</v>
      </c>
      <c r="C10" s="49" t="s">
        <v>1317</v>
      </c>
      <c r="E10" s="49" t="s">
        <v>2039</v>
      </c>
      <c r="F10" s="49" t="s">
        <v>2032</v>
      </c>
      <c r="G10" s="49" t="s">
        <v>2040</v>
      </c>
    </row>
    <row r="11" spans="2:7">
      <c r="B11" s="49" t="s">
        <v>2041</v>
      </c>
      <c r="C11" s="49" t="s">
        <v>1336</v>
      </c>
      <c r="E11" s="49" t="s">
        <v>2042</v>
      </c>
      <c r="F11" s="49" t="s">
        <v>2035</v>
      </c>
      <c r="G11" s="49" t="s">
        <v>2043</v>
      </c>
    </row>
    <row r="12" spans="2:7">
      <c r="B12" s="49" t="s">
        <v>2044</v>
      </c>
      <c r="C12" s="49" t="s">
        <v>2045</v>
      </c>
      <c r="E12" s="49" t="s">
        <v>2046</v>
      </c>
      <c r="F12" s="49" t="s">
        <v>2035</v>
      </c>
      <c r="G12" s="49" t="s">
        <v>2047</v>
      </c>
    </row>
    <row r="13" spans="2:7">
      <c r="B13" s="49" t="s">
        <v>2048</v>
      </c>
      <c r="C13" s="49" t="s">
        <v>2049</v>
      </c>
      <c r="E13" s="49" t="s">
        <v>2050</v>
      </c>
      <c r="F13" s="49" t="s">
        <v>1317</v>
      </c>
      <c r="G13" s="49" t="s">
        <v>2051</v>
      </c>
    </row>
    <row r="14" spans="2:7">
      <c r="B14" s="49" t="s">
        <v>2052</v>
      </c>
      <c r="C14" s="49" t="s">
        <v>2053</v>
      </c>
      <c r="E14" s="49" t="s">
        <v>2054</v>
      </c>
      <c r="F14" s="49" t="s">
        <v>1317</v>
      </c>
      <c r="G14" s="49" t="s">
        <v>1318</v>
      </c>
    </row>
    <row r="15" spans="2:7">
      <c r="B15" s="49" t="s">
        <v>2055</v>
      </c>
      <c r="C15" s="49" t="s">
        <v>2056</v>
      </c>
      <c r="E15" s="49" t="s">
        <v>2057</v>
      </c>
      <c r="F15" s="49" t="s">
        <v>1336</v>
      </c>
      <c r="G15" s="49" t="s">
        <v>2058</v>
      </c>
    </row>
    <row r="16" spans="2:7">
      <c r="B16" s="49" t="s">
        <v>2059</v>
      </c>
      <c r="C16" s="49" t="s">
        <v>2060</v>
      </c>
      <c r="E16" s="49" t="s">
        <v>2061</v>
      </c>
      <c r="F16" s="49" t="s">
        <v>1336</v>
      </c>
      <c r="G16" s="49" t="s">
        <v>1337</v>
      </c>
    </row>
    <row r="17" spans="5:7">
      <c r="E17" s="49" t="s">
        <v>2062</v>
      </c>
      <c r="F17" s="49" t="s">
        <v>2045</v>
      </c>
      <c r="G17" s="49" t="s">
        <v>2063</v>
      </c>
    </row>
    <row r="18" spans="5:7">
      <c r="E18" s="49" t="s">
        <v>2064</v>
      </c>
      <c r="F18" s="49" t="s">
        <v>2045</v>
      </c>
      <c r="G18" s="49" t="s">
        <v>2065</v>
      </c>
    </row>
    <row r="19" spans="5:7">
      <c r="E19" s="49" t="s">
        <v>2066</v>
      </c>
      <c r="F19" s="49" t="s">
        <v>2049</v>
      </c>
      <c r="G19" s="49" t="s">
        <v>2067</v>
      </c>
    </row>
    <row r="20" spans="5:7">
      <c r="E20" s="49" t="s">
        <v>2068</v>
      </c>
      <c r="F20" s="49" t="s">
        <v>2049</v>
      </c>
      <c r="G20" s="49" t="s">
        <v>2069</v>
      </c>
    </row>
    <row r="21" spans="5:7">
      <c r="E21" s="49" t="s">
        <v>2070</v>
      </c>
      <c r="F21" s="49" t="s">
        <v>2053</v>
      </c>
      <c r="G21" s="49" t="s">
        <v>2071</v>
      </c>
    </row>
    <row r="22" spans="5:7">
      <c r="E22" s="49" t="s">
        <v>2072</v>
      </c>
      <c r="F22" s="49" t="s">
        <v>2053</v>
      </c>
      <c r="G22" s="49" t="s">
        <v>2073</v>
      </c>
    </row>
  </sheetData>
  <mergeCells count="4">
    <mergeCell ref="B2:F2"/>
    <mergeCell ref="E5:G5"/>
    <mergeCell ref="B5:C5"/>
    <mergeCell ref="B3:F3"/>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34"/>
  <dimension ref="A1:D2"/>
  <sheetViews>
    <sheetView workbookViewId="0"/>
  </sheetViews>
  <sheetFormatPr baseColWidth="10" defaultColWidth="9.140625" defaultRowHeight="15"/>
  <cols>
    <col min="1" max="2" width="20" customWidth="1"/>
    <col min="3" max="3" width="40" customWidth="1"/>
    <col min="4" max="4" width="50" customWidth="1"/>
  </cols>
  <sheetData>
    <row r="1" spans="1:4" ht="18">
      <c r="A1" s="115" t="s">
        <v>2074</v>
      </c>
      <c r="B1" s="70"/>
      <c r="C1" s="70"/>
      <c r="D1" s="70"/>
    </row>
    <row r="2" spans="1:4">
      <c r="A2" s="68" t="s">
        <v>564</v>
      </c>
      <c r="B2" s="68" t="s">
        <v>2075</v>
      </c>
      <c r="C2" s="68" t="s">
        <v>193</v>
      </c>
      <c r="D2" s="68" t="s">
        <v>2076</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34</vt:i4>
      </vt:variant>
    </vt:vector>
  </HeadingPairs>
  <TitlesOfParts>
    <vt:vector size="34" baseType="lpstr">
      <vt:lpstr>Panel_Control</vt:lpstr>
      <vt:lpstr>Control_Documentos</vt:lpstr>
      <vt:lpstr>Politicas_Seguridad</vt:lpstr>
      <vt:lpstr>Metodologia_Riesgos</vt:lpstr>
      <vt:lpstr>SoA</vt:lpstr>
      <vt:lpstr>Plan_Auditoria</vt:lpstr>
      <vt:lpstr>Revision_Direccion</vt:lpstr>
      <vt:lpstr>Plan_Proyecto_SGSI</vt:lpstr>
      <vt:lpstr>Gestion_Incidentes</vt:lpstr>
      <vt:lpstr>Plan_Continuidad</vt:lpstr>
      <vt:lpstr>BIA</vt:lpstr>
      <vt:lpstr>Plan_Formacion</vt:lpstr>
      <vt:lpstr>NDA_Proveedores</vt:lpstr>
      <vt:lpstr>NDA_Empleados</vt:lpstr>
      <vt:lpstr>Comite_Seguridad</vt:lpstr>
      <vt:lpstr>CMDB</vt:lpstr>
      <vt:lpstr>Procedimiento_Hardening</vt:lpstr>
      <vt:lpstr>Plan_Director_Ciber</vt:lpstr>
      <vt:lpstr>DRP_Pruebas</vt:lpstr>
      <vt:lpstr>DRP_Informes</vt:lpstr>
      <vt:lpstr>DRP_Mantenimiento</vt:lpstr>
      <vt:lpstr>Portada</vt:lpstr>
      <vt:lpstr>Datos_Organizacion</vt:lpstr>
      <vt:lpstr>Instrucciones</vt:lpstr>
      <vt:lpstr>Activos</vt:lpstr>
      <vt:lpstr>Matriz_Riesgos</vt:lpstr>
      <vt:lpstr>MITRE_Ataques</vt:lpstr>
      <vt:lpstr>Analisis_Riesgos</vt:lpstr>
      <vt:lpstr>Plan_Tratamiento</vt:lpstr>
      <vt:lpstr>Dashboard</vt:lpstr>
      <vt:lpstr>Config_Categorias</vt:lpstr>
      <vt:lpstr>Config_Areas</vt:lpstr>
      <vt:lpstr>Config_Clases</vt:lpstr>
      <vt:lpstr>Log_Acciones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ñanculeo</cp:lastModifiedBy>
  <dcterms:created xsi:type="dcterms:W3CDTF">2025-11-04T20:16:59Z</dcterms:created>
  <dcterms:modified xsi:type="dcterms:W3CDTF">2025-11-06T18:16:51Z</dcterms:modified>
</cp:coreProperties>
</file>