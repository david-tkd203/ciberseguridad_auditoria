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1.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https://d.docs.live.net/ee6a4c2e81ec943c/Escritorio/sgsi ciberseguridad/"/>
    </mc:Choice>
  </mc:AlternateContent>
  <xr:revisionPtr revIDLastSave="0" documentId="8_{228BB663-8295-4822-B68B-ECB099D5428F}" xr6:coauthVersionLast="47" xr6:coauthVersionMax="47" xr10:uidLastSave="{00000000-0000-0000-0000-000000000000}"/>
  <bookViews>
    <workbookView xWindow="-120" yWindow="-120" windowWidth="29040" windowHeight="15720" firstSheet="24" activeTab="30" xr2:uid="{00000000-000D-0000-FFFF-FFFF00000000}"/>
  </bookViews>
  <sheets>
    <sheet name="Panel_Control" sheetId="1" r:id="rId1"/>
    <sheet name="MITRE_Ataques" sheetId="2" r:id="rId2"/>
    <sheet name="MITRE_Mitigaciones" sheetId="3" r:id="rId3"/>
    <sheet name="MITRE_Assets_ICS" sheetId="4" r:id="rId4"/>
    <sheet name="MITRE_Ejemplos_Mapeo" sheetId="5" r:id="rId5"/>
    <sheet name="MITRE_Reglas_Auto" sheetId="6" r:id="rId6"/>
    <sheet name="MITRE_Como_Usar_Auto" sheetId="7" r:id="rId7"/>
    <sheet name="MITRE_Mapeo_Inteligente" sheetId="8" r:id="rId8"/>
    <sheet name="Control_Documentos" sheetId="9" r:id="rId9"/>
    <sheet name="Portada" sheetId="10" r:id="rId10"/>
    <sheet name="Metodologia_Riesgos" sheetId="11" r:id="rId11"/>
    <sheet name="SoA" sheetId="12" r:id="rId12"/>
    <sheet name="Plan_Auditoria" sheetId="13" r:id="rId13"/>
    <sheet name="Revision_Direccion" sheetId="14" r:id="rId14"/>
    <sheet name="Plan_Proyecto_SGSI" sheetId="15" r:id="rId15"/>
    <sheet name="Datos_Organizacion" sheetId="16" r:id="rId16"/>
    <sheet name="Activos" sheetId="17" r:id="rId17"/>
    <sheet name="Plan_Continuidad" sheetId="18" r:id="rId18"/>
    <sheet name="BIA" sheetId="19" r:id="rId19"/>
    <sheet name="Plan_Formacion" sheetId="20" r:id="rId20"/>
    <sheet name="NDA_Proveedores" sheetId="21" r:id="rId21"/>
    <sheet name="NDA_Empleados" sheetId="22" r:id="rId22"/>
    <sheet name="Comite_Seguridad" sheetId="23" r:id="rId23"/>
    <sheet name="CMDB" sheetId="24" r:id="rId24"/>
    <sheet name="Procedimiento_Hardening" sheetId="25" r:id="rId25"/>
    <sheet name="Plan_Director_Ciber" sheetId="26" r:id="rId26"/>
    <sheet name="DRP_Pruebas" sheetId="27" r:id="rId27"/>
    <sheet name="DRP_Informes" sheetId="28" r:id="rId28"/>
    <sheet name="DRP_Mantenimiento" sheetId="29" r:id="rId29"/>
    <sheet name="Dashboard" sheetId="30" r:id="rId30"/>
    <sheet name="Matriz_Riesgos" sheetId="31" r:id="rId31"/>
    <sheet name="Analisis_Riesgos" sheetId="32" r:id="rId32"/>
    <sheet name="Plan_Tratamiento" sheetId="33" r:id="rId33"/>
    <sheet name="Config_Categorias" sheetId="34" r:id="rId34"/>
    <sheet name="Config_Areas" sheetId="35" r:id="rId35"/>
    <sheet name="Config_Clases" sheetId="36" r:id="rId36"/>
    <sheet name="Controles_ISO27001" sheetId="37" r:id="rId37"/>
    <sheet name="Declaracion_Aplicabilidad" sheetId="38" r:id="rId38"/>
    <sheet name="Inventario_Amenazas" sheetId="39" r:id="rId39"/>
    <sheet name="Inventario_Vulnerabilidades" sheetId="40" r:id="rId40"/>
    <sheet name="Gestion_Incidentes" sheetId="41" r:id="rId41"/>
    <sheet name="Politicas_Seguridad" sheetId="42" r:id="rId42"/>
    <sheet name="Procedimientos" sheetId="43" r:id="rId43"/>
    <sheet name="Auditorias" sheetId="44" r:id="rId44"/>
    <sheet name="Registro_Formacion" sheetId="45" r:id="rId45"/>
    <sheet name="Clasificacion_Incidentes" sheetId="46" r:id="rId46"/>
    <sheet name="Registro_Eventos" sheetId="47" r:id="rId47"/>
    <sheet name="Instrucciones" sheetId="48" r:id="rId48"/>
    <sheet name="Plan_Contingencia" sheetId="49" r:id="rId49"/>
    <sheet name="Metricas_KPI" sheetId="50" r:id="rId50"/>
    <sheet name="Log_Acciones" sheetId="51" r:id="rId51"/>
  </sheets>
  <functionGroups builtInGroupCount="19"/>
  <definedNames>
    <definedName name="_xlnm.Print_Titles" localSheetId="16">Activos!$1:$1</definedName>
    <definedName name="_xlnm.Print_Titles" localSheetId="31">Analisis_Riesgos!$1:$1</definedName>
    <definedName name="_xlnm.Print_Titles" localSheetId="29">Dashboard!$1:$1</definedName>
    <definedName name="_xlnm.Print_Titles" localSheetId="15">Datos_Organizacion!$1:$1</definedName>
    <definedName name="_xlnm.Print_Titles" localSheetId="30">Matriz_Riesgos!$1:$1</definedName>
    <definedName name="_xlnm.Print_Titles" localSheetId="0">Panel_Control!$1:$1</definedName>
    <definedName name="_xlnm.Print_Titles" localSheetId="32">Plan_Tratamiento!$1:$1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5" i="31" l="1"/>
  <c r="AA6" i="31"/>
  <c r="AA4" i="31"/>
  <c r="AA3" i="31"/>
  <c r="AA2" i="31"/>
  <c r="V7" i="17"/>
  <c r="V6" i="17"/>
  <c r="P14" i="1"/>
  <c r="P13" i="1"/>
  <c r="L12" i="1"/>
  <c r="M12" i="1" s="1"/>
  <c r="M11" i="1"/>
  <c r="L11" i="1"/>
  <c r="L10" i="1"/>
  <c r="M10" i="1" s="1"/>
  <c r="L9" i="1"/>
  <c r="M9" i="1" s="1"/>
  <c r="L8" i="1"/>
  <c r="M8" i="1" s="1"/>
  <c r="L7" i="1"/>
  <c r="Q13"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SGSI</author>
  </authors>
  <commentList>
    <comment ref="Y3" authorId="0" shapeId="0" xr:uid="{00000000-0006-0000-1E00-000001000000}">
      <text>
        <r>
          <rPr>
            <sz val="11"/>
            <color theme="1"/>
            <rFont val="Calibri"/>
            <family val="2"/>
            <scheme val="minor"/>
          </rPr>
          <t>Ingrese el código MITRE relacionado (ej: T0800)
Consulte la hoja MITRE_Ataques para ver todas las técnicas</t>
        </r>
      </text>
    </comment>
  </commentList>
</comments>
</file>

<file path=xl/sharedStrings.xml><?xml version="1.0" encoding="utf-8"?>
<sst xmlns="http://schemas.openxmlformats.org/spreadsheetml/2006/main" count="2941" uniqueCount="1806">
  <si>
    <t>🎛️ PANEL DE CONTROL - SGSI v4.0</t>
  </si>
  <si>
    <t>Sistema de Gestión de Seguridad de la Información ISO 27001:2022</t>
  </si>
  <si>
    <t>🧭 NAVEGACIÓN RÁPIDA - 23 HOJAS PRINCIPALES</t>
  </si>
  <si>
    <t>📦 Inventario de Activos</t>
  </si>
  <si>
    <t>🏷️ Clasificación de Activos</t>
  </si>
  <si>
    <t>💰 Valoración de Activos</t>
  </si>
  <si>
    <t>⚠️ Identificación de Riesgos</t>
  </si>
  <si>
    <t>📊 ESTADÍSTICAS DE ACTIVOS</t>
  </si>
  <si>
    <t>🛡️ MITRE ATT&amp;CK ICS DASHBOARD</t>
  </si>
  <si>
    <t>📊 Análisis de Riesgos</t>
  </si>
  <si>
    <t>🎯 Evaluación de Riesgos</t>
  </si>
  <si>
    <t>🛡️ Plan de Tratamiento</t>
  </si>
  <si>
    <t>📈 Seguimiento Tratamiento</t>
  </si>
  <si>
    <t>INDICADOR</t>
  </si>
  <si>
    <t>CANTIDAD</t>
  </si>
  <si>
    <t>%</t>
  </si>
  <si>
    <t>Framework de Ciberseguridad Industrial v17.1</t>
  </si>
  <si>
    <t>✅ Controles Implementados</t>
  </si>
  <si>
    <t>📋 Declaración Aplicabilidad</t>
  </si>
  <si>
    <t>📜 Políticas de Seguridad</t>
  </si>
  <si>
    <t>⚙️ Procedimientos Operativos</t>
  </si>
  <si>
    <t>Total Activos</t>
  </si>
  <si>
    <t>100%</t>
  </si>
  <si>
    <t>👥 Roles y Responsabilidades</t>
  </si>
  <si>
    <t>📊 Indicadores KPI</t>
  </si>
  <si>
    <t>🔍 Auditoría Interna</t>
  </si>
  <si>
    <t>👔 Revisión Dirección</t>
  </si>
  <si>
    <t>Activos Críticos</t>
  </si>
  <si>
    <t>⚔️ TÉCNICAS</t>
  </si>
  <si>
    <t>técnicas</t>
  </si>
  <si>
    <t>🚨 Incidentes de Seguridad</t>
  </si>
  <si>
    <t>🔄 Gestión de Cambios</t>
  </si>
  <si>
    <t>🎓 Capacitación</t>
  </si>
  <si>
    <t>⚖️ Cumplimiento Legal</t>
  </si>
  <si>
    <t>Activos IT</t>
  </si>
  <si>
    <t>🛡️ MITIGACIONES</t>
  </si>
  <si>
    <t>controles</t>
  </si>
  <si>
    <t>♻️ Mejora Continua</t>
  </si>
  <si>
    <t>📊 Dashboard Ejecutivo</t>
  </si>
  <si>
    <t>📖 Instrucciones</t>
  </si>
  <si>
    <t>Activos OT</t>
  </si>
  <si>
    <t>🏭 ASSETS ICS</t>
  </si>
  <si>
    <t>tipos</t>
  </si>
  <si>
    <t>0'</t>
  </si>
  <si>
    <t>Con MITRE</t>
  </si>
  <si>
    <t>📦 MÓDULO DE GESTIÓN DE ACTIVOS</t>
  </si>
  <si>
    <t>Sin MITRE</t>
  </si>
  <si>
    <t>📊 COBERTURA</t>
  </si>
  <si>
    <t>▶ Ingresar Activo</t>
  </si>
  <si>
    <t>Formulario para agregar nuevo activo con validación automática de campos</t>
  </si>
  <si>
    <t>Activos mapeados:</t>
  </si>
  <si>
    <t>▶ Generar Reporte</t>
  </si>
  <si>
    <t>Genera reporte filtrado de activos por categoría y criticidad</t>
  </si>
  <si>
    <t>🕒 Actualizado automáticamente</t>
  </si>
  <si>
    <t>Riesgos con técnicas:</t>
  </si>
  <si>
    <t>mapeados</t>
  </si>
  <si>
    <t>▶ Exportar CSV</t>
  </si>
  <si>
    <t>Exporta inventario completo a formato CSV para integración</t>
  </si>
  <si>
    <t>▶ Actualizar Propietarios</t>
  </si>
  <si>
    <t>Actualiza responsable/propietario de múltiples activos</t>
  </si>
  <si>
    <t>🔗 Ver Hojas MITRE</t>
  </si>
  <si>
    <t>▶ Calcular Valor</t>
  </si>
  <si>
    <t>Calcula valor del activo según clasificación C+I+D y criticidad</t>
  </si>
  <si>
    <t>▶ Validar Duplicados</t>
  </si>
  <si>
    <t>Busca y resalta activos duplicados para limpieza preventiva</t>
  </si>
  <si>
    <t>▶ Eliminar Activo</t>
  </si>
  <si>
    <t>Elimina activo seleccionado con confirmación (al día con backups)</t>
  </si>
  <si>
    <t>⚠️ MÓDULO DE GESTIÓN DE RIESGOS</t>
  </si>
  <si>
    <t>▶ Ingresar Riesgo</t>
  </si>
  <si>
    <t>Formulario para registrar nuevo riesgo con evaluación P×I</t>
  </si>
  <si>
    <t>▶ Calcular Inherente</t>
  </si>
  <si>
    <t>Calcula riesgo inherente (Probabilidad × Impacto) automático</t>
  </si>
  <si>
    <t>▶ Mapa de Calor</t>
  </si>
  <si>
    <t>Crea matriz visual 5×5 con distribución de riesgos por nivel</t>
  </si>
  <si>
    <t>▶ Actualizar Residual</t>
  </si>
  <si>
    <t>Recalcula riesgo residual tras implementar controles</t>
  </si>
  <si>
    <t>▶ Colorear Riesgos</t>
  </si>
  <si>
    <t>Aplica formato visual automático: Verde (1-5), Amarillo (6-12), Rojo (15-25)</t>
  </si>
  <si>
    <t>🛡️ MÓDULO DE TRATAMIENTO DE RIESGOS</t>
  </si>
  <si>
    <t>▶ Ingresar Tratamiento</t>
  </si>
  <si>
    <t>Genera plan de tratamiento para riesgos seleccionados con responsables</t>
  </si>
  <si>
    <t>▶ Actualizar Estado</t>
  </si>
  <si>
    <t>Actualiza progreso de implementación (%) y estado actual</t>
  </si>
  <si>
    <t>▶ Generar Informe</t>
  </si>
  <si>
    <t>Reporte ejecutivo de tratamientos por estado para dirección</t>
  </si>
  <si>
    <t>Instrucciones!A1</t>
  </si>
  <si>
    <t>Control_Documentos!A1</t>
  </si>
  <si>
    <t>NDA_Proveedores!A1</t>
  </si>
  <si>
    <t>📊 MÓDULO DE REPORTES Y ANÁLISIS</t>
  </si>
  <si>
    <t>▶ Actualizar Dashboard</t>
  </si>
  <si>
    <t>Actualiza gráficos y métricas del Dashboard antes de reuniones</t>
  </si>
  <si>
    <t xml:space="preserve"> </t>
  </si>
  <si>
    <t>▶ Reporte Completo</t>
  </si>
  <si>
    <t>PDF ejecutivo con resumen completo del SGSI (7 hojas principales)</t>
  </si>
  <si>
    <t>▶ Exportar Activos PDF</t>
  </si>
  <si>
    <t>Exporta solo inventario de activos a PDF con diseño profesional</t>
  </si>
  <si>
    <t>▶ Validar ISO 27001</t>
  </si>
  <si>
    <t>Checklist de cumplimiento ISO 27001:2022 - Verifica controles A.5-A.8</t>
  </si>
  <si>
    <t>🔧 UTILIDADES DEL SISTEMA</t>
  </si>
  <si>
    <t>▶ Info Sistema</t>
  </si>
  <si>
    <t>▶ Validar Estructura Excel</t>
  </si>
  <si>
    <t>💡 Instrucciones: Haz clic en los hipervínculos azules para navegar | Ejecuta CrearBotonesAutomaticos_Simple() en VBA para crear botones</t>
  </si>
  <si>
    <t>📅 Última actualización: 12/11/2025 05:11</t>
  </si>
  <si>
    <t>🔧 SGSI v4.0 + MITRE ATT&amp;CK ICS v17.1</t>
  </si>
  <si>
    <t>✅ Panel actualizado con integración MITRE completa</t>
  </si>
  <si>
    <t>ID MITRE</t>
  </si>
  <si>
    <t>Nombre Técnica</t>
  </si>
  <si>
    <t>Tácticas</t>
  </si>
  <si>
    <t>Descripción</t>
  </si>
  <si>
    <t>Plataformas</t>
  </si>
  <si>
    <t>Detección</t>
  </si>
  <si>
    <t>URL MITRE</t>
  </si>
  <si>
    <t>Activos Relacionados</t>
  </si>
  <si>
    <t>Riesgos Vinculados</t>
  </si>
  <si>
    <t>Controles ISO 27001</t>
  </si>
  <si>
    <t>Última Modificación</t>
  </si>
  <si>
    <t>Versión</t>
  </si>
  <si>
    <t>T0800</t>
  </si>
  <si>
    <t>Activate Firmware Update Mode</t>
  </si>
  <si>
    <t>Inhibit Response Function</t>
  </si>
  <si>
    <t>Adversaries may activate firmware update mode on devices to prevent expected response functions from engaging in reaction to an emergency or process malfunction. For example, devices such as protection relays may have an operation mode designed for firmware installation. This mode may halt process monitoring and related functions to allow new firmware to be loaded. A device left in update mode may be placed in an inactive holding state if no firmware is provided to it. By entering and leaving a device in this mode, the adversary may deny its usual functionalities.</t>
  </si>
  <si>
    <t>None</t>
  </si>
  <si>
    <t>https://attack.mitre.org/techniques/T0800</t>
  </si>
  <si>
    <t>25 April 2025</t>
  </si>
  <si>
    <t>1.0</t>
  </si>
  <si>
    <t>T0830</t>
  </si>
  <si>
    <t>Adversary-in-the-Middle</t>
  </si>
  <si>
    <t>Collection</t>
  </si>
  <si>
    <t>Adversaries with privileged network access may seek to modify network traffic in real time using adversary-in-the-middle (AiTM) attacks. (Citation: Gabriel Sanchez October 2017) This type of attack allows the adversary to intercept traffic to and/or from a particular device on the network. If a AiTM attack is established, then the adversary has the ability to block, log, modify, or inject traffic into the communication stream. There are several ways to accomplish this attack, but some of the most-common are Address Resolution Protocol (ARP) poisoning and the use of a proxy. (Citation: Bonnie Zhu, Anthony Joseph, Shankar Sastry 2011)  
An AiTM attack may allow an adversary to perform the following attacks:  
[Block Reporting Message](https://attack.mitre.org/techniques/T0804), [Spoof Reporting Message](https://attack.mitre.org/techniques/T0856), [Modify Parameter](https://attack.mitre.org/techniques/T0836), [Unauthorized Command Message](https://attack.mitre.org/techniques/T0855)</t>
  </si>
  <si>
    <t>https://attack.mitre.org/techniques/T0830</t>
  </si>
  <si>
    <t>16 April 2025</t>
  </si>
  <si>
    <t>2.0</t>
  </si>
  <si>
    <t>T0878</t>
  </si>
  <si>
    <t>Alarm Suppression</t>
  </si>
  <si>
    <t>Adversaries may target protection function alarms to prevent them from notifying operators of critical conditions. Alarm messages may be a part of an overall reporting system and of particular interest for adversaries. Disruption of the alarm system does not imply the disruption of the reporting system as a whole.
A Secura presentation on targeting OT notes a dual fold goal for adversaries attempting alarm suppression: prevent outgoing alarms from being raised and prevent incoming alarms from being responded to. (Citation: Jos Wetzels, Marina Krotofil 2019) The method of suppression may greatly depend on the type of alarm in question:  
* An alarm raised by a protocol message 
* An alarm signaled with I/O 
* An alarm bit set in a flag (and read) 
In ICS environments, the adversary may have to suppress or contend with multiple alarms and/or alarm propagation to achieve a specific goal to evade detection or prevent intended responses from occurring. (Citation: Jos Wetzels, Marina Krotofil 2019)  Methods of suppression may involve tampering or altering device displays and logs, modifying in memory code to fixed values, or even tampering with assembly level instruction code.</t>
  </si>
  <si>
    <t>https://attack.mitre.org/techniques/T0878</t>
  </si>
  <si>
    <t>1.2</t>
  </si>
  <si>
    <t>T0802</t>
  </si>
  <si>
    <t>Automated Collection</t>
  </si>
  <si>
    <t>Adversaries may automate collection of industrial environment information using tools or scripts. This automated collection may leverage native control protocols and tools available in the control systems environment. For example, the OPC protocol may be used to enumerate and gather information. Access to a system or interface with these native protocols may allow collection and enumeration of other attached, communicating servers and devices.</t>
  </si>
  <si>
    <t>https://attack.mitre.org/techniques/T0802</t>
  </si>
  <si>
    <t>15 April 2025</t>
  </si>
  <si>
    <t>1.1</t>
  </si>
  <si>
    <t>T0895</t>
  </si>
  <si>
    <t>Autorun Image</t>
  </si>
  <si>
    <t>Execution</t>
  </si>
  <si>
    <t xml:space="preserve">Adversaries may leverage AutoRun functionality or scripts to execute malicious code. Devices configured to enable AutoRun functionality or legacy operating systems may be susceptible to abuse of these features to run malicious code stored on various forms of removeable media (i.e., USB, Disk Images [.ISO]). Commonly, AutoRun or AutoPlay are disabled in many operating systems configurations to mitigate against this technique. If a device is configured to enable AutoRun or AutoPlay, adversaries may execute code on the device by mounting the removable media to the device, either through physical or virtual means. This may be especially relevant for virtual machine environments where disk images may be dynamically mapped to a guest system on a hypervisor.  
An example could include an adversary gaining access to a hypervisor through the management interface to modify a virtual machine’s hardware configuration. They could then deploy an iso image with a malicious AutoRun script to cause the virtual machine to automatically execute the code contained on the disk image. This would enable the execution of malicious code within a virtual machine without needing any prior remote access to that system.
</t>
  </si>
  <si>
    <t>https://attack.mitre.org/techniques/T0895</t>
  </si>
  <si>
    <t>T0803</t>
  </si>
  <si>
    <t>Block Command Message</t>
  </si>
  <si>
    <t>Adversaries may block a command message from reaching its intended target to prevent command execution. In OT networks, command messages are sent to provide instructions to control system devices. A blocked command message can inhibit response functions from correcting a disruption or unsafe condition. (Citation: Bonnie Zhu, Anthony Joseph, Shankar Sastry 2011)  (Citation: Electricity Information Sharing and Analysis Center; SANS Industrial Control Systems March 2016)</t>
  </si>
  <si>
    <t>https://attack.mitre.org/techniques/T0803</t>
  </si>
  <si>
    <t>T0804</t>
  </si>
  <si>
    <t>Block Reporting Message</t>
  </si>
  <si>
    <t>Adversaries may block or prevent a reporting message from reaching its intended target. In control systems, reporting messages contain telemetry data (e.g., I/O values) pertaining to the current state of equipment and the industrial process. By blocking these reporting messages, an adversary can potentially hide their actions from an operator.
Blocking reporting messages in control systems that manage physical processes may contribute to system impact, causing inhibition of a response function. A control system may not be able to respond in a proper or timely manner to an event, such as a dangerous fault, if its corresponding reporting message is blocked. (Citation: Bonnie Zhu, Anthony Joseph, Shankar Sastry 2011)  (Citation: Electricity Information Sharing and Analysis Center; SANS Industrial Control Systems March 2016)</t>
  </si>
  <si>
    <t>https://attack.mitre.org/techniques/T0804</t>
  </si>
  <si>
    <t>T0805</t>
  </si>
  <si>
    <t>Block Serial COM</t>
  </si>
  <si>
    <t>Adversaries may block access to serial COM to prevent instructions or configurations from reaching target devices. Serial Communication ports (COM) allow communication with control system devices. Devices can receive command and configuration messages over such serial COM. Devices also use serial COM to send command and reporting messages. Blocking device serial COM may also block command messages and block reporting messages. 
A serial to Ethernet converter is often connected to a serial COM to facilitate communication between serial and Ethernet devices. One approach to blocking a serial COM would be to create and hold open a TCP session with the Ethernet side of the converter. A serial to Ethernet converter may have a few ports open to facilitate multiple communications. For example, if there are three serial COM available -- 1, 2 and 3 --, the converter might be listening on the corresponding ports 20001, 20002, and 20003. If a TCP/IP connection is opened with one of these ports and held open, then the port will be unavailable for use by another party. One way the adversary could achieve this would be to initiate a TCP session with the serial to Ethernet converter at 10.0.0.1 via Telnet on serial port 1 with the following command: telnet 10.0.0.1 20001.</t>
  </si>
  <si>
    <t>https://attack.mitre.org/techniques/T0805</t>
  </si>
  <si>
    <t>T0806</t>
  </si>
  <si>
    <t>Brute Force I/O</t>
  </si>
  <si>
    <t>Impair Process Control</t>
  </si>
  <si>
    <t>Adversaries may repetitively or successively change I/O point values to perform an action. Brute Force I/O may be achieved by changing either a range of I/O point values or a single point value repeatedly to manipulate a process function. The adversary's goal and the information they have about the target environment will influence which of the options they choose. In the case of brute forcing a range of point values, the adversary may be able to achieve an impact without targeting a specific point. In the case where a single point is targeted, the adversary may be able to generate instability on the process function associated with that particular point. 
Adversaries may use Brute Force I/O to cause failures within various industrial processes. These failures could be the result of wear on equipment or damage to downstream equipment.</t>
  </si>
  <si>
    <t>https://attack.mitre.org/techniques/T0806</t>
  </si>
  <si>
    <t>T0892</t>
  </si>
  <si>
    <t>Change Credential</t>
  </si>
  <si>
    <t xml:space="preserve">Adversaries may modify software and device credentials to prevent operator and responder access. Depending on the device, the modification or addition of this password could prevent any device configuration actions from being accomplished and may require a factory reset or replacement of hardware. These credentials are often built-in features provided by the device vendors as a means to restrict access to management interfaces.
An adversary with access to valid or hardcoded credentials could change the credential to prevent future authorized device access. Change Credential may be especially damaging when paired with other techniques such as Modify Program, Data Destruction, or Modify Controller Tasking. In these cases, a device’s configuration may be destroyed or include malicious actions for the process environment, which cannot not be removed through normal device configuration actions. 
Additionally, recovery of the device and original configuration may be difficult depending on the features provided by the device. In some cases, these passwords cannot be removed onsite and may require that the device be sent back to the vendor for additional recovery steps.
A chain of incidents occurred in Germany, where adversaries locked operators out of their building automation system (BAS) controllers by enabling a previously unset BCU key. (Citation: German BAS Lockout Dec 2021) 
</t>
  </si>
  <si>
    <t>https://attack.mitre.org/techniques/T0892</t>
  </si>
  <si>
    <t>T0858</t>
  </si>
  <si>
    <t>Change Operating Mode</t>
  </si>
  <si>
    <t>Evasion, Execution</t>
  </si>
  <si>
    <t>Adversaries may change the operating mode of a controller to gain additional access to engineering functions such as Program Download.   Programmable controllers typically have several modes of operation that control the state of the user program and control access to the controllers API. Operating modes can be physically selected using a key switch on the face of the controller but may also be selected with calls to the controllers API. Operating modes and the mechanisms by which they are selected often vary by vendor and product line. Some commonly implemented operating modes are described below:  
* Program - This mode must be enabled before changes can be made to a devices program. This allows program uploads and downloads between the device and an engineering workstation. Often the PLCs logic Is halted, and all outputs may be forced off. (Citation: N.A. October 2017)  
* Run - Execution of the devices program occurs in this mode. Input and output (values, points, tags, elements, etc.) are monitored and used according to the programs logic. [Program Upload](https://attack.mitre.org/techniques/T0845) and [Program Download](https://attack.mitre.org/techniques/T0843) are disabled while in this mode. (Citation: Omron) (Citation: Machine Information Systems 2007)  (Citation: N.A. October 2017) (Citation: PLCgurus 2021)   
* Remote - Allows for remote changes to a PLCs operation mode. (Citation: PLCgurus 2021)    
* Stop - The PLC and program is stopped, while in this mode, outputs are forced off. (Citation: Machine Information Systems 2007)   
* Reset - Conditions on the PLC are reset to their original states. Warm resets may retain some memory while cold resets will reset all I/O and data registers. (Citation: Machine Information Systems 2007)   
* Test / Monitor mode - Similar to run mode, I/O is processed, although this mode allows for monitoring, force set, resets, and more generally tuning or debugging of the system. Often monitor mode may be used as a trial for initialization. (Citation: Omron)</t>
  </si>
  <si>
    <t>https://attack.mitre.org/techniques/T0858</t>
  </si>
  <si>
    <t>T0807</t>
  </si>
  <si>
    <t>Command-Line Interface</t>
  </si>
  <si>
    <t>Adversaries may utilize command-line interfaces (CLIs) to interact with systems and execute commands. CLIs provide a means of interacting with computer systems and are a common feature across many types of platforms and devices within control systems environments. (Citation: Enterprise ATT&amp;CK January 2018) Adversaries may also use CLIs to install and run new software, including malicious tools that may be installed over the course of an operation.
CLIs are typically accessed locally, but can also be exposed via services, such as SSH, Telnet, and RDP.  Commands that are executed in the CLI execute with the current permissions level of the process running the terminal emulator, unless the command specifies a change in permissions context. Many controllers have CLI interfaces for management purposes.</t>
  </si>
  <si>
    <t>https://attack.mitre.org/techniques/T0807</t>
  </si>
  <si>
    <t>T0885</t>
  </si>
  <si>
    <t>Commonly Used Port</t>
  </si>
  <si>
    <t>Command and Control</t>
  </si>
  <si>
    <t>Adversaries may communicate over a commonly used port to bypass firewalls or network detection systems and to blend in with normal network activity, to avoid more detailed inspection. They may use the protocol associated with the port, or a completely different protocol. They may use commonly open ports, such as the examples provided below. 
 * TCP:80 (HTTP) 
 * TCP:443 (HTTPS) 
 * TCP/UDP:53 (DNS) 
 * TCP:1024-4999 (OPC on XP/Win2k3) 
 * TCP:49152-65535 (OPC on Vista and later) 
 * TCP:23 (TELNET) 
 * UDP:161 (SNMP) 
 * TCP:502 (MODBUS) 
 * TCP:102 (S7comm/ISO-TSAP) 
 * TCP:20000 (DNP3) 
 * TCP:44818 (Ethernet/IP)</t>
  </si>
  <si>
    <t>https://attack.mitre.org/techniques/T0885</t>
  </si>
  <si>
    <t>T0884</t>
  </si>
  <si>
    <t>Connection Proxy</t>
  </si>
  <si>
    <t>Adversaries may use a connection proxy to direct network traffic between systems or act as an intermediary for network communications.
The definition of a proxy can also be expanded to encompass trust relationships between networks in peer-to-peer, mesh, or trusted connections between networks consisting of hosts or systems that regularly communicate with each other.
The network may be within a single organization or across multiple organizations with trust relationships. Adversaries could use these types of relationships to manage command and control communications, to reduce the number of simultaneous outbound network connections, to provide resiliency in the face of connection loss, or to ride over existing trusted communications paths between victims to avoid suspicion. (Citation: Enterprise ATT&amp;CK January 2018)</t>
  </si>
  <si>
    <t>https://attack.mitre.org/techniques/T0884</t>
  </si>
  <si>
    <t>T0879</t>
  </si>
  <si>
    <t>Damage to Property</t>
  </si>
  <si>
    <t>Impact</t>
  </si>
  <si>
    <t>Adversaries may cause damage and destruction of property to infrastructure, equipment, and the surrounding environment when attacking control systems. This technique may result in device and operational equipment breakdown, or represent tangential damage from other techniques used in an attack. Depending on the severity of physical damage and disruption caused to control processes and systems, this technique may result in [Loss of Safety](https://attack.mitre.org/techniques/T0880). Operations that result in [Loss of Control](https://attack.mitre.org/techniques/T0827) may also cause damage to property, which may be directly or indirectly motivated by an adversary seeking to cause impact in the form of [Loss of Productivity and Revenue](https://attack.mitre.org/techniques/T0828). 
The German Federal Office for Information Security (BSI) reported a targeted attack on a steel mill under an incidents affecting business section of its 2014 IT Security Report. (Citation: BSI State of IT Security 2014)  These targeted attacks affected industrial operations and resulted in breakdowns of control system components and even entire installations. As a result of these breakdowns, massive impact and damage resulted from the uncontrolled shutdown of a blast furnace. 
A Polish student used a remote controller device to interface with the Lodz city tram system in Poland. (Citation: John Bill May 2017) (Citation: Shelley Smith February 2008) (Citation: Bruce Schneier January 2008) Using this remote, the student was able to capture and replay legitimate tram signals. This resulted in damage to impacted trams, people, and the surrounding property. Reportedly, four trams were derailed and were forced to make emergency stops. (Citation: Shelley Smith February 2008) Commands issued by the student may have also resulted in tram collisions, causing harm to those on board and the environment outside. (Citation: Bruce Schneier January 2008)</t>
  </si>
  <si>
    <t>https://attack.mitre.org/techniques/T0879</t>
  </si>
  <si>
    <t>T0809</t>
  </si>
  <si>
    <t>Data Destruction</t>
  </si>
  <si>
    <t>Adversaries may perform data destruction over the course of an operation. The adversary may drop or create malware, tools, or other non-native files on a target system to accomplish this, potentially leaving behind traces of malicious activities. Such non-native files and other data may be removed over the course of an intrusion to maintain a small footprint or as a standard part of the post-intrusion cleanup process. (Citation: Enterprise ATT&amp;CK January 2018)
Data destruction may also be used to render operator interfaces unable to respond and to disrupt response functions from occurring as expected. An adversary may also destroy data backups that are vital to recovery after an incident.
Standard file deletion commands are available on most operating system and device interfaces to perform cleanup, but adversaries may use other tools as well. Two examples are Windows Sysinternals SDelete and Active@ Killdisk.</t>
  </si>
  <si>
    <t>https://attack.mitre.org/techniques/T0809</t>
  </si>
  <si>
    <t>T0811</t>
  </si>
  <si>
    <t>Data from Information Repositories</t>
  </si>
  <si>
    <t>Adversaries may target and collect data from information repositories. This can include sensitive data such as specifications, schematics, or diagrams of control system layouts, devices, and processes. Examples of information repositories include reference databases in the process environment, as well as databases in the corporate network that might contain information about the ICS.(Citation: Cybersecurity &amp; Infrastructure Security Agency March 2018)
Information collected from these systems may provide the adversary with a better understanding of the operational environment, vendors used, processes, or procedures of the ICS.
In a campaign between 2011 and 2013 against ONG organizations, Chinese state-sponsored actors searched document repositories for specific information such as, system manuals, remote terminal unit (RTU) sites, personnel lists, documents that included the string SCAD*, user credentials, and remote dial-up access information. (Citation: CISA AA21-201A Pipeline Intrusion July 2021)</t>
  </si>
  <si>
    <t>https://attack.mitre.org/techniques/T0811</t>
  </si>
  <si>
    <t>T0893</t>
  </si>
  <si>
    <t>Data from Local System</t>
  </si>
  <si>
    <t xml:space="preserve">Adversaries may target and collect data from local system sources, such as file systems, configuration files, or local databases. This can include sensitive data such as specifications, schematics, or diagrams of control system layouts, devices, and processes.
Adversaries may do this using [Command-Line Interface](https://attack.mitre.org/techniques/T0807) or [Scripting](https://attack.mitre.org/techniques/T0853) techniques to interact with the file system to gather information. Adversaries may also use [Automated Collection](https://attack.mitre.org/techniques/T0802) on the local system. </t>
  </si>
  <si>
    <t>https://attack.mitre.org/techniques/T0893</t>
  </si>
  <si>
    <t>T0812</t>
  </si>
  <si>
    <t>Default Credentials</t>
  </si>
  <si>
    <t>Lateral Movement</t>
  </si>
  <si>
    <t>Adversaries may leverage manufacturer or supplier set default credentials on control system devices. These default credentials may have administrative permissions and may be necessary for initial configuration of the device. It is general best practice to change the passwords for these accounts as soon as possible, but some manufacturers may have devices that have passwords or usernames that cannot be changed. (Citation: Keith Stouffer May 2015)
Default credentials are normally documented in an instruction manual that is either packaged with the device, published online through official means, or published online through unofficial means. Adversaries may leverage default credentials that have not been properly modified or disabled.</t>
  </si>
  <si>
    <t>https://attack.mitre.org/techniques/T0812</t>
  </si>
  <si>
    <t>T0813</t>
  </si>
  <si>
    <t>Denial of Control</t>
  </si>
  <si>
    <t>Adversaries may cause a denial of control to temporarily prevent operators and engineers from interacting with process controls. An adversary may attempt to deny process control access to cause a temporary loss of communication with the control device or to prevent operator adjustment of process controls. An affected process may still be operating during the period of control loss, but not necessarily in a desired state. (Citation: Corero) (Citation: Michael J. Assante and Robert M. Lee) (Citation: Tyson Macaulay)
In the 2017 Dallas Siren incident operators were unable to disable the false alarms from the Office of Emergency Management headquarters. (Citation: Mark Loveless April 2017)</t>
  </si>
  <si>
    <t>https://attack.mitre.org/techniques/T0813</t>
  </si>
  <si>
    <t>T0814</t>
  </si>
  <si>
    <t>Denial of Service</t>
  </si>
  <si>
    <t xml:space="preserve">Adversaries may perform Denial-of-Service (DoS) attacks to disrupt expected device functionality. Examples of DoS attacks include overwhelming the target device with a high volume of requests in a short time period and sending the target device a request it does not know how to handle. Disrupting device state may temporarily render it unresponsive, possibly lasting until a reboot can occur. When placed in this state, devices may be unable to send and receive requests, and may not perform expected response functions in reaction to other events in the environment. 
Some ICS devices are particularly sensitive to DoS events, and may become unresponsive in reaction to even a simple ping sweep. Adversaries may also attempt to execute a Permanent Denial-of-Service (PDoS) against certain devices, such as in the case of the BrickerBot malware. (Citation: ICS-CERT April 2017) 
Adversaries may exploit a software vulnerability to cause a denial of service by taking advantage of a programming error in a program, service, or within the operating system software or kernel itself to execute adversary-controlled code. Vulnerabilities may exist in software that can be used to cause a denial of service condition. 
Adversaries may have prior knowledge about industrial protocols or control devices used in the environment through [Remote System Information Discovery](https://attack.mitre.org/techniques/T0888). There are examples of adversaries remotely causing a [Device Restart/Shutdown](https://attack.mitre.org/techniques/T0816) by exploiting a vulnerability that induces uncontrolled resource consumption. (Citation: ICS-CERT August 2018) (Citation: Common Weakness Enumeration January 2019) (Citation: MITRE March 2018) </t>
  </si>
  <si>
    <t>https://attack.mitre.org/techniques/T0814</t>
  </si>
  <si>
    <t>T0815</t>
  </si>
  <si>
    <t>Denial of View</t>
  </si>
  <si>
    <t xml:space="preserve">Adversaries may cause a denial of view in attempt to disrupt and prevent operator oversight on the status of an ICS environment. This may manifest itself as a temporary communication failure between a device and its control source, where the interface recovers and becomes available once the interference ceases. (Citation: Corero) (Citation: Michael J. Assante and Robert M. Lee) (Citation: Tyson Macaulay) 
An adversary may attempt to deny operator visibility by preventing them from receiving status and reporting messages. Denying this view may temporarily block and prevent operators from noticing a change in state or anomalous behavior. The environment's data and processes may still be operational, but functioning in an unintended or adversarial manner. </t>
  </si>
  <si>
    <t>https://attack.mitre.org/techniques/T0815</t>
  </si>
  <si>
    <t>T0868</t>
  </si>
  <si>
    <t>Detect Operating Mode</t>
  </si>
  <si>
    <t>Adversaries may gather information about a PLCs or controllers current operating mode. Operating modes dictate what change or maintenance functions can be manipulated and are often controlled by a key switch on the PLC (e.g.,  run, prog [program], and remote). Knowledge of these states may be valuable to an adversary to determine if they are able to reprogram the PLC. Operating modes and the mechanisms by which they are selected often vary by vendor and product line. Some commonly implemented operating modes are described below:  
* Program - This mode must be enabled before changes can be made to a devices program. This allows program uploads and downloads between the device and an engineering workstation. Often the PLCs logic Is halted, and all outputs may be forced off. (Citation: N.A. October 2017)  
* Run - Execution of the devices program occurs in this mode. Input and output (values, points, tags, elements, etc.) are monitored and used according to the programs logic.[Program Upload](https://attack.mitre.org/techniques/T0845) and [Program Download](https://attack.mitre.org/techniques/T0843) are disabled while in this mode. (Citation: Omron) (Citation: Machine Information Systems 2007)  (Citation: N.A. October 2017) (Citation: PLCgurus 2021)   
* Remote - Allows for remote changes to a PLCs operation mode. (Citation: PLCgurus 2021)    
* Stop - The PLC and program is stopped, while in this mode, outputs are forced off. (Citation: Machine Information Systems 2007)   
* Reset - Conditions on the PLC are reset to their original states. Warm resets may retain some memory while cold resets will reset all I/O and data registers. (Citation: Machine Information Systems 2007)   
* Test / Monitor mode - Similar to run mode, I/O is processed, although this mode allows for monitoring, force set, resets, and more generally tuning or debugging of the system. Often monitor mode may be used as a trial for initialization. (Citation: Omron)</t>
  </si>
  <si>
    <t>https://attack.mitre.org/techniques/T0868</t>
  </si>
  <si>
    <t>T0816</t>
  </si>
  <si>
    <t>Device Restart/Shutdown</t>
  </si>
  <si>
    <t>Adversaries may forcibly restart or shutdown a device in an ICS environment to disrupt and potentially negatively impact physical processes. Methods of device restart and shutdown exist in some devices as built-in, standard functionalities. These functionalities can be executed using interactive device web interfaces, CLIs, and network protocol commands.
Unexpected restart or shutdown of control system devices may prevent expected response functions happening during critical states.
A device restart can also be a sign of malicious device modifications, as many updates require a shutdown in order to take effect.</t>
  </si>
  <si>
    <t>https://attack.mitre.org/techniques/T0816</t>
  </si>
  <si>
    <t>T0817</t>
  </si>
  <si>
    <t>Drive-by Compromise</t>
  </si>
  <si>
    <t>Initial Access</t>
  </si>
  <si>
    <t>Adversaries may gain access to a system during a drive-by compromise, when a user visits a website as part of a regular browsing session. With this technique, the user's web browser is targeted and exploited simply by visiting the compromised website. 
The adversary may target a specific community, such as trusted third party suppliers or other industry specific groups, which often visit the target website. This kind of targeted attack relies on a common interest, and is known as a strategic web compromise or watering hole attack. 
The National Cyber Awareness System (NCAS) has issued a Technical Alert (TA) regarding Russian government cyber activity targeting critical infrastructure sectors. (Citation: Cybersecurity &amp; Infrastructure Security Agency March 2018) Analysis by DHS and FBI has noted two distinct categories of victims in the Dragonfly campaign on the Western energy sector: staging and intended targets. The adversary targeted the less secure networks of staging targets, including trusted third-party suppliers and related peripheral organizations. Initial access to the intended targets used watering hole attacks to target process control, ICS, and critical infrastructure related trade publications and informational websites.</t>
  </si>
  <si>
    <t>https://attack.mitre.org/techniques/T0817</t>
  </si>
  <si>
    <t>T0871</t>
  </si>
  <si>
    <t>Execution through API</t>
  </si>
  <si>
    <t>Adversaries may attempt to leverage Application Program Interfaces (APIs) used for communication between control software and the hardware. Specific functionality is often coded into APIs which can be called by software to engage specific functions on a device or other software.</t>
  </si>
  <si>
    <t>https://attack.mitre.org/techniques/T0871</t>
  </si>
  <si>
    <t>T0819</t>
  </si>
  <si>
    <t>Exploit Public-Facing Application</t>
  </si>
  <si>
    <t>Adversaries may leverage weaknesses to exploit internet-facing software for initial access into an industrial network. Internet-facing software may be user applications, underlying networking implementations, an assets operating system, weak defenses, etc. Targets of this technique may be intentionally exposed for the purpose of remote management and visibility.
An adversary may seek to target public-facing applications as they may provide direct access into an ICS environment or the ability to move into the ICS network. Publicly exposed applications may be found through online tools that scan the internet for open ports and services. Version numbers for the exposed application may provide adversaries an ability to target specific known vulnerabilities. Exposed control protocol or remote access ports found in Commonly Used Port may be of interest by adversaries.</t>
  </si>
  <si>
    <t>https://attack.mitre.org/techniques/T0819</t>
  </si>
  <si>
    <t>T0820</t>
  </si>
  <si>
    <t>Exploitation for Evasion</t>
  </si>
  <si>
    <t>Evasion</t>
  </si>
  <si>
    <t>Adversaries may exploit a software vulnerability to take advantage of a programming error in a program, service, or within the operating system software or kernel itself to evade detection. Vulnerabilities may exist in software that can be used to disable or circumvent security features.  
Adversaries may have prior knowledge through [Remote System Information Discovery](https://attack.mitre.org/techniques/T0888) about security features implemented on control devices. These device security features will likely be targeted directly for exploitation. There are examples of firmware RAM/ROM consistency checks on control devices being targeted by adversaries to enable the installation of malicious [System Firmware](https://attack.mitre.org/techniques/T0857).</t>
  </si>
  <si>
    <t>https://attack.mitre.org/techniques/T0820</t>
  </si>
  <si>
    <t>T0890</t>
  </si>
  <si>
    <t>Exploitation for Privilege Escalation</t>
  </si>
  <si>
    <t>Privilege Escalation</t>
  </si>
  <si>
    <t>Adversaries may exploit software vulnerabilities in an attempt to elevate privileges. Exploitation of a software vulnerability occurs when an adversary takes advantage of a programming error in a program, service, or within the operating system software or kernel itself to execute adversary-controlled code. Security constructs such as permission levels will often hinder access to information and use of certain techniques, so adversaries will likely need to perform privilege escalation to include use of software exploitation to circumvent those restrictions. (Citation: The MITRE Corporation) 
When initially gaining access to a system, an adversary may be operating within a lower privileged process which will prevent them from accessing certain resources on the system. Vulnerabilities may exist, usually in operating system components and software commonly running at higher permissions, that can be exploited to gain higher levels of access on the system. This could enable someone to move from unprivileged or user level permissions to SYSTEM or root permissions depending on the component that is vulnerable. This may be a necessary step for an adversary compromising an endpoint system that has been properly configured and limits other privilege escalation methods. (Citation: The MITRE Corporation)</t>
  </si>
  <si>
    <t>https://attack.mitre.org/techniques/T0890</t>
  </si>
  <si>
    <t>T0866</t>
  </si>
  <si>
    <t>Exploitation of Remote Services</t>
  </si>
  <si>
    <t>Initial Access, Lateral Movement</t>
  </si>
  <si>
    <t>Adversaries may exploit a software vulnerability to take advantage of a programming error in a program, service, or within the operating system software or kernel itself to enable remote service abuse. A common goal for post-compromise exploitation of remote services is for initial access into and lateral movement throughout the ICS environment to enable access to targeted systems. (Citation: Enterprise ATT&amp;CK)
ICS asset owners and operators have been affected by ransomware (or disruptive malware masquerading as ransomware) migrating from enterprise IT to ICS environments: WannaCry, NotPetya, and BadRabbit. In each of these cases, self-propagating (wormable) malware initially infected IT networks, but through exploit (particularly the SMBv1-targeting MS17-010 vulnerability) spread to industrial networks, producing significant impacts. (Citation: Joe Slowik April 2019)</t>
  </si>
  <si>
    <t>https://attack.mitre.org/techniques/T0866</t>
  </si>
  <si>
    <t>T0822</t>
  </si>
  <si>
    <t>External Remote Services</t>
  </si>
  <si>
    <t xml:space="preserve">Adversaries may leverage external remote services as a point of initial access into your network. These services allow users to connect to internal network resources from external locations. Examples are VPNs, Citrix, and other access mechanisms. Remote service gateways often manage connections and credential authentication for these services. (Citation: Daniel Oakley, Travis Smith, Tripwire)
External remote services allow administration of a control system from outside the system. Often, vendors and internal engineering groups have access to external remote services to control system networks via the corporate network. In some cases, this access is enabled directly from the internet. While remote access enables ease of maintenance when a control system is in a remote area, compromise of remote access solutions is a liability. The adversary may use these services to gain access to and execute attacks against a control system network. Access to valid accounts is often a requirement. 
As they look for an entry point into the control system network, adversaries may begin searching for existing point-to-point VPN implementations at trusted third party networks or through remote support employee connections where split tunneling is enabled. (Citation: Electricity Information Sharing and Analysis Center; SANS Industrial Control Systems March 2016)
</t>
  </si>
  <si>
    <t>https://attack.mitre.org/techniques/T0822</t>
  </si>
  <si>
    <t>T0823</t>
  </si>
  <si>
    <t>Graphical User Interface</t>
  </si>
  <si>
    <t>Adversaries may attempt to gain access to a machine via a Graphical User Interface (GUI) to enhance execution capabilities. Access to a GUI allows a user to interact with a computer in a more visual manner than a CLI. A GUI allows users to move a cursor and click on interface objects, with a mouse and keyboard as the main input devices, as opposed to just using the keyboard.
If physical access is not an option, then access might be possible via protocols such as VNC on Linux-based and Unix-based operating systems, and RDP on Windows operating systems. An adversary can use this access to execute programs and applications on the target machine.</t>
  </si>
  <si>
    <t>https://attack.mitre.org/techniques/T0823</t>
  </si>
  <si>
    <t>T0891</t>
  </si>
  <si>
    <t>Hardcoded Credentials</t>
  </si>
  <si>
    <t>Lateral Movement, Persistence</t>
  </si>
  <si>
    <t xml:space="preserve">Adversaries may leverage credentials that are hardcoded in software or firmware to gain an unauthorized interactive user session to an asset. Examples credentials that may be hardcoded in an asset include:
* Username/Passwords
* Cryptographic keys/Certificates
* API tokens
Unlike [Default Credentials](https://attack.mitre.org/techniques/T0812), these credentials are built into the system in a way that they either cannot be changed by the asset owner, or may be infeasible to change because of the impact it would cause to the control system operation. These credentials may be reused across whole product lines or device models and are often not published or known to the owner and operators of the asset. 
Adversaries may utilize these hardcoded credentials to move throughout the control system environment or provide reliable access for their tools to interact with industrial assets. 
</t>
  </si>
  <si>
    <t>https://attack.mitre.org/techniques/T0891</t>
  </si>
  <si>
    <t>T0874</t>
  </si>
  <si>
    <t>Hooking</t>
  </si>
  <si>
    <t>Execution, Privilege Escalation</t>
  </si>
  <si>
    <t>Adversaries may hook into application programming interface (API) functions used by processes to redirect calls for execution and privilege escalation means. Windows processes often leverage these API functions to perform tasks that require reusable system resources. Windows API functions are typically stored in dynamic-link libraries (DLLs) as exported functions. (Citation: Enterprise ATT&amp;CK)
One type of hooking seen in ICS involves redirecting calls to these functions via import address table (IAT) hooking. IAT hooking uses modifications to a process IAT, where pointers to imported API functions are stored. (Citation: Nicolas Falliere, Liam O Murchu, Eric Chien February 2011)</t>
  </si>
  <si>
    <t>https://attack.mitre.org/techniques/T0874</t>
  </si>
  <si>
    <t>T0877</t>
  </si>
  <si>
    <t>I/O Image</t>
  </si>
  <si>
    <t>Adversaries may seek to capture process values related to the inputs and outputs of a PLC. During the scan cycle, a PLC reads the status of all inputs and stores them in an image table. (Citation: Nanjundaiah, Vaidyanath) The image table is the PLCs internal storage location where values of inputs/outputs for one scan are stored while it executes the user program. After the PLC has solved the entire logic program, it updates the output image table. The contents of this output image table are written to the corresponding output points in I/O Modules.
The Input and Output Image tables described above make up the I/O Image on a PLC. This image is used by the user program instead of directly interacting with physical I/O. (Citation: Spenneberg, Ralf 2016) 
Adversaries may collect the I/O Image state of a PLC by utilizing a devices [Native API](https://attack.mitre.org/techniques/T0834) to access the memory regions directly. The collection of the PLCs I/O state could be used to replace values or inform future stages of an attack.</t>
  </si>
  <si>
    <t>https://attack.mitre.org/techniques/T0877</t>
  </si>
  <si>
    <t>T0872</t>
  </si>
  <si>
    <t>Indicator Removal on Host</t>
  </si>
  <si>
    <t>Adversaries may attempt to remove indicators of their presence on a system in an effort to cover their tracks. In cases where an adversary may feel detection is imminent, they may try to overwrite, delete, or cover up changes they have made to the device.</t>
  </si>
  <si>
    <t>https://attack.mitre.org/techniques/T0872</t>
  </si>
  <si>
    <t>T0883</t>
  </si>
  <si>
    <t>Internet Accessible Device</t>
  </si>
  <si>
    <t>Adversaries may gain access into industrial environments through systems exposed directly to the internet for remote access rather than through [External Remote Services](https://attack.mitre.org/techniques/T0822). Internet Accessible Devices are exposed to the internet unintentionally or intentionally without adequate protections. This may allow for adversaries to move directly into the control system network. Access onto these devices is accomplished without the use of exploits, these would be represented within the [Exploit Public-Facing Application](https://attack.mitre.org/techniques/T0819) technique.
Adversaries may leverage built in functions for remote access which may not be protected or utilize minimal legacy protections that may be targeted. (Citation: NCCIC January 2014) These services may be discoverable through the use of online scanning tools. 
In the case of the Bowman dam incident, adversaries leveraged access to the dam control network through a cellular modem. Access to the device was protected by password authentication, although the application was vulnerable to brute forcing. (Citation: NCCIC January 2014) (Citation: Danny Yadron December 2015) (Citation: Mark Thompson March 2016)
In Trend Micros manufacturing deception operations adversaries were detected leveraging direct internet access to an ICS environment through the exposure of operational protocols such as Siemens S7, Omron FINS, and EtherNet/IP, in addition to misconfigured VNC access. (Citation: Stephen Hilt, Federico Maggi, Charles Perine, Lord Remorin, Martin Rsler, and Rainer Vosseler)</t>
  </si>
  <si>
    <t>https://attack.mitre.org/techniques/T0883</t>
  </si>
  <si>
    <t>T0867</t>
  </si>
  <si>
    <t>Lateral Tool Transfer</t>
  </si>
  <si>
    <t>Adversaries may transfer tools or other files from one system to another to stage adversary tools or other files over the course of an operation. (Citation: Enterprise ATT&amp;CK) Copying of files may also be performed laterally between internal victim systems to support Lateral Movement with remote Execution using inherent file sharing protocols such as file sharing over SMB to connected network shares. (Citation: Enterprise ATT&amp;CK)
In control systems environments, malware may use SMB and other file sharing protocols to move laterally through industrial networks.</t>
  </si>
  <si>
    <t>https://attack.mitre.org/techniques/T0867</t>
  </si>
  <si>
    <t>T0826</t>
  </si>
  <si>
    <t>Loss of Availability</t>
  </si>
  <si>
    <t>Adversaries may attempt to disrupt essential components or systems to prevent owner and operator from delivering products or services. (Citation: Corero) (Citation: Michael J. Assante and Robert M. Lee) (Citation: Tyson Macaulay) 
Adversaries may leverage malware to delete or encrypt critical data on HMIs, workstations, or databases.
In the 2021 Colonial Pipeline ransomware incident, pipeline operations were temporally halted on May 7th and were not fully restarted until May 12th. (Citation: Colonial Pipeline Company May 2021)</t>
  </si>
  <si>
    <t>https://attack.mitre.org/techniques/T0826</t>
  </si>
  <si>
    <t>T0827</t>
  </si>
  <si>
    <t>Loss of Control</t>
  </si>
  <si>
    <t>Adversaries may seek to achieve a sustained loss of control or a runaway condition in which operators cannot issue any commands even if the malicious interference has subsided. (Citation: Corero) (Citation: Michael J. Assante and Robert M. Lee) (Citation: Tyson Macaulay)
The German Federal Office for Information Security (BSI) reported a targeted attack on a steel mill in its 2014 IT Security Report.(Citation: BSI State of IT Security 2014) These targeted attacks affected industrial operations and resulted in breakdowns of control system components and even entire installations. As a result of these breakdowns, massive impact resulted in damage and unsafe conditions from the uncontrolled shutdown of a blast furnace.</t>
  </si>
  <si>
    <t>https://attack.mitre.org/techniques/T0827</t>
  </si>
  <si>
    <t>T0828</t>
  </si>
  <si>
    <t>Loss of Productivity and Revenue</t>
  </si>
  <si>
    <t>Adversaries may cause loss of productivity and revenue through disruption and even damage to the availability and integrity of control system operations, devices, and related processes. This technique may manifest as a direct effect of an ICS-targeting attack or tangentially, due to an IT-targeting attack against non-segregated environments. 
In cases where these operations or services are brought to a halt, the loss of productivity may eventually present an impact for the end-users or consumers of products and services. The disrupted supply-chain may result in supply shortages and increased prices, among other consequences. 
A ransomware attack on an Australian beverage company resulted in the shutdown of some manufacturing sites, including precautionary halts to protect key systems. (Citation: Paganini, Pierluigi June 2020) The company announced the potential for temporary shortages of their products following the attack. (Citation: Paganini, Pierluigi June 2020) (Citation: Lion Corporation June 2020) 
In the 2021 Colonial Pipeline ransomware incident, the pipeline was unable to transport approximately 2.5 million barrels of fuel per day to the East Coast.  (Citation: Colonial Pipeline Company May 2021)</t>
  </si>
  <si>
    <t>https://attack.mitre.org/techniques/T0828</t>
  </si>
  <si>
    <t>T0837</t>
  </si>
  <si>
    <t>Loss of Protection</t>
  </si>
  <si>
    <t>Adversaries may compromise protective system functions designed to prevent the effects of faults and abnormal conditions. This can result in equipment damage, prolonged process disruptions and hazards to personnel. 
Many faults and abnormal conditions in process control happen too quickly for a human operator to react to. Speed is critical in correcting these conditions to limit serious impacts such as Loss of Control and Property Damage. 
Adversaries may target and disable protective system functions as a prerequisite to subsequent attack execution or to allow for future faults and abnormal conditions to go unchecked. Detection of a Loss of Protection by operators can result in the shutdown of a process due to strict policies regarding protection systems. This can cause a Loss of Productivity and Revenue and may meet the technical goals of adversaries seeking to cause process disruptions.</t>
  </si>
  <si>
    <t>https://attack.mitre.org/techniques/T0837</t>
  </si>
  <si>
    <t>T0880</t>
  </si>
  <si>
    <t>Loss of Safety</t>
  </si>
  <si>
    <t>Adversaries may compromise safety system functions designed to maintain safe operation of a process when unacceptable or dangerous conditions occur. Safety systems are often composed of the same elements as control systems but have the sole purpose of ensuring the process fails in a predetermined safe manner. 
Many unsafe conditions in process control happen too quickly for a human operator to react to. Speed is critical in correcting these conditions to limit serious impacts such as Loss of Control and Property Damage. 
Adversaries may target and disable safety system functions as a prerequisite to subsequent attack execution or to allow for future unsafe conditionals to go unchecked. Detection of a Loss of Safety by operators can result in the shutdown of a process due to strict policies regarding safety systems. This can cause a Loss of Productivity and Revenue and may meet the technical goals of adversaries seeking to cause process disruptions.</t>
  </si>
  <si>
    <t>https://attack.mitre.org/techniques/T0880</t>
  </si>
  <si>
    <t>T0829</t>
  </si>
  <si>
    <t>Loss of View</t>
  </si>
  <si>
    <t>Adversaries may cause a sustained or permanent loss of view where the ICS equipment will require local, hands-on operator intervention; for instance, a restart or manual operation. By causing a sustained reporting or visibility loss, the adversary can effectively hide the present state of operations. This loss of view can occur without affecting the physical processes themselves. (Citation: Corero) (Citation: Michael J. Assante and Robert M. Lee) (Citation: Tyson Macaulay)</t>
  </si>
  <si>
    <t>https://attack.mitre.org/techniques/T0829</t>
  </si>
  <si>
    <t>T0835</t>
  </si>
  <si>
    <t>Manipulate I/O Image</t>
  </si>
  <si>
    <t>Adversaries may manipulate the I/O image of PLCs through various means to prevent them from functioning as expected. Methods of I/O image manipulation may include overriding the I/O table via direct memory manipulation or using the override function used for testing PLC programs. (Citation: Dr. Kelvin T. Erickson December 2010) During the scan cycle, a PLC reads the status of all inputs and stores them in an image table. (Citation: Nanjundaiah, Vaidyanath) The image table is the PLCs internal storage location where values of inputs/outputs for one scan are stored while it executes the user program. After the PLC has solved the entire logic program, it updates the output image table. The contents of this output image table are written to the corresponding output points in I/O Modules. 
One of the unique characteristics of PLCs is their ability to override the status of a physical discrete input or to override the logic driving a physical output coil and force the output to a desired status.</t>
  </si>
  <si>
    <t>https://attack.mitre.org/techniques/T0835</t>
  </si>
  <si>
    <t>T0831</t>
  </si>
  <si>
    <t>Manipulation of Control</t>
  </si>
  <si>
    <t>Adversaries may manipulate physical process control within the industrial environment. Methods of manipulating control can include changes to set point values, tags, or other parameters. Adversaries may manipulate control systems devices or possibly leverage their own, to communicate with and command physical control processes. The duration of manipulation may be temporary or longer sustained, depending on operator detection.   
Methods of Manipulation of Control include: 
* Man-in-the-middle  
* Spoof command message 
* Changing setpoints  
A Polish student used a remote controller device to interface with the Lodz city tram system in Poland. (Citation: John Bill May 2017) (Citation: Shelley Smith February 2008) (Citation: Bruce Schneier January 2008) Using this remote, the student was able to capture and replay legitimate tram signals. As a consequence, four trams were derailed and twelve people injured due to resulting emergency stops. (Citation: Shelley Smith February 2008) The track controlling commands issued may have also resulted in tram collisions, a further risk to those on board and nearby the areas of impact. (Citation: Bruce Schneier January 2008)</t>
  </si>
  <si>
    <t>https://attack.mitre.org/techniques/T0831</t>
  </si>
  <si>
    <t>T0832</t>
  </si>
  <si>
    <t>Manipulation of View</t>
  </si>
  <si>
    <t>Adversaries may attempt to manipulate the information reported back to operators or controllers. This manipulation may be short term or sustained. During this time the process itself could be in a much different state than what is reported. (Citation: Corero) (Citation: Michael J. Assante and Robert M. Lee) (Citation: Tyson Macaulay) 
Operators may be fooled into doing something that is harmful to the system in a loss of view situation. With a manipulated view into the systems, operators may issue inappropriate control sequences that introduce faults or catastrophic failures into the system. Business analysis systems can also be provided with inaccurate data leading to bad management decisions.</t>
  </si>
  <si>
    <t>https://attack.mitre.org/techniques/T0832</t>
  </si>
  <si>
    <t>T0849</t>
  </si>
  <si>
    <t>Masquerading</t>
  </si>
  <si>
    <t>Adversaries may use masquerading to disguise a malicious application or executable as another file, to avoid operator and engineer suspicion. Possible disguises of these masquerading files can include commonly found programs, expected vendor executables and configuration files, and other commonplace application and naming conventions. By impersonating expected and vendor-relevant files and applications, operators and engineers may not notice the presence of the underlying malicious content and possibly end up running those masquerading as legitimate functions. 
Applications and other files commonly found on Windows systems or in engineering workstations have been impersonated before. This can be as simple as renaming a file to effectively disguise it in the ICS environment.</t>
  </si>
  <si>
    <t>https://attack.mitre.org/techniques/T0849</t>
  </si>
  <si>
    <t>T0838</t>
  </si>
  <si>
    <t>Modify Alarm Settings</t>
  </si>
  <si>
    <t xml:space="preserve">Adversaries may modify alarm settings to prevent alerts that may inform operators of their presence or to prevent responses to dangerous and unintended scenarios. Reporting messages are a standard part of data acquisition in control systems. Reporting messages are used as a way to transmit system state information and acknowledgements that specific actions have occurred. These messages provide vital information for the management of a physical process, and keep operators, engineers, and administrators aware of the state of system devices and physical processes. 
If an adversary is able to change the reporting settings, certain events could be prevented from being reported. This type of modification can also prevent operators or devices from performing actions to keep the system in a safe state. If critical reporting messages cannot trigger these actions then a [Impact](https://attack.mitre.org/tactics/TA0105) could occur. 
In ICS environments, the adversary may have to use [Alarm Suppression](https://attack.mitre.org/techniques/T0878) or contend with multiple alarms and/or alarm propagation to achieve a specific goal to evade detection or prevent intended responses from occurring. (Citation: Jos Wetzels, Marina Krotofil 2019)  Methods of suppression often rely on modification of alarm settings, such as modifying in memory code to fixed values or tampering with assembly level instruction code. </t>
  </si>
  <si>
    <t>https://attack.mitre.org/techniques/T0838</t>
  </si>
  <si>
    <t>T0821</t>
  </si>
  <si>
    <t>Modify Controller Tasking</t>
  </si>
  <si>
    <t>Adversaries may modify the tasking of a controller to allow for the execution of their own programs. This can allow an adversary to manipulate the execution flow and behavior of a controller. 
According to 61131-3, the association of a Task with a Program Organization Unit (POU) defines a task association. (Citation: IEC February 2013) An adversary may modify these associations or create new ones to manipulate the execution flow of a controller. Modification of controller tasking can be accomplished using a Program Download in addition to other types of program modification such as online edit and program append.
Tasks have properties, such as interval, frequency and priority to meet the requirements of program execution. Some controller vendors implement tasks with implicit, pre-defined properties whereas others allow for these properties to be formulated explicitly. An adversary may associate their program with tasks that have a higher priority or execute associated programs more frequently. For instance, to ensure cyclic execution of their program on a Siemens controller, an adversary may add their program to the task, Organization Block 1 (OB1).</t>
  </si>
  <si>
    <t>https://attack.mitre.org/techniques/T0821</t>
  </si>
  <si>
    <t>T0836</t>
  </si>
  <si>
    <t>Modify Parameter</t>
  </si>
  <si>
    <t>Adversaries may modify parameters used to instruct industrial control system devices. These devices operate via programs that dictate how and when to perform actions based on such parameters. Such parameters can determine the extent to which an action is performed and may specify additional options. For example, a program on a control system device dictating motor processes may take a parameter defining the total number of seconds to run that motor.      
An adversary can potentially modify these parameters to produce an outcome outside of what was intended by the operators. By modifying system and process critical parameters, the adversary may cause [Impact](https://attack.mitre.org/tactics/TA0105) to equipment and/or control processes. Modified parameters may be turned into dangerous, out-of-bounds, or unexpected values from typical operations. For example, specifying that a process run for more or less time than it should, or dictating an unusually high, low, or invalid value as a parameter.</t>
  </si>
  <si>
    <t>https://attack.mitre.org/techniques/T0836</t>
  </si>
  <si>
    <t>1.3</t>
  </si>
  <si>
    <t>T0889</t>
  </si>
  <si>
    <t>Modify Program</t>
  </si>
  <si>
    <t>Persistence</t>
  </si>
  <si>
    <t>Adversaries may modify or add a program on a controller to affect how it interacts with the physical process, peripheral devices and other hosts on the network. Modification to controller programs can be accomplished using a Program Download in addition to other types of program modification such as online edit and program append. 
Program modification encompasses the addition and modification of instructions and logic contained in Program Organization Units (POU)  (Citation: IEC February 2013) and similar programming elements found on controllers. This can include, for example, adding new functions to a controller, modifying the logic in existing functions and making new calls from one function to another. 
Some programs may allow an adversary to interact directly with the native API of the controller to take advantage of obscure features or vulnerabilities.</t>
  </si>
  <si>
    <t>https://attack.mitre.org/techniques/T0889</t>
  </si>
  <si>
    <t>T0839</t>
  </si>
  <si>
    <t>Module Firmware</t>
  </si>
  <si>
    <t>Impair Process Control, Persistence</t>
  </si>
  <si>
    <t>Adversaries may install malicious or vulnerable firmware onto modular hardware devices. Control system devices often contain modular hardware devices. These devices may have their own set of firmware that is separate from the firmware of the main control system equipment.   
This technique is similar to [System Firmware](https://attack.mitre.org/techniques/T0857), but is conducted on other system components that may not have the same capabilities or level of integrity checking. Although it results in a device re-image, malicious device firmware may provide persistent access to remaining devices. (Citation: Daniel Peck,  Dale Peterson January 2009)  
An easy point of access for an adversary is the Ethernet card, which may have its own CPU, RAM, and operating system. The adversary may attack and likely exploit the computer on an Ethernet card. Exploitation of the Ethernet card computer may enable the adversary to accomplish additional attacks, such as the following: (Citation: Daniel Peck,  Dale Peterson January 2009)  
* Delayed Attack - The adversary may stage an attack in advance and choose when to launch it, such as at a particularly damaging time.  
* Brick the Ethernet Card - Malicious firmware may be programmed to result in an Ethernet card failure, requiring a factory return.  
* Random Attack or Failure - The adversary may load malicious firmware onto multiple field devices. Execution of an attack and the time it occurs is generated by a pseudo-random number generator.   
* A Field Device Worm - The adversary may choose to identify all field devices of the same model, with the end goal of performing a device-wide compromise.  
* Attack Other Cards on the Field Device - Although it is not the most important module in a field device, the Ethernet card is most accessible to the adversary and malware. Compromise of the Ethernet card may provide a more direct route to compromising other modules, such as the CPU module.</t>
  </si>
  <si>
    <t>https://attack.mitre.org/techniques/T0839</t>
  </si>
  <si>
    <t>T0801</t>
  </si>
  <si>
    <t>Monitor Process State</t>
  </si>
  <si>
    <t>Adversaries may gather information about the physical process state. This information may be used to gain more information about the process itself or used as a trigger for malicious actions. The sources of process state information may vary such as, OPC tags, historian data, specific PLC block information, or network traffic.</t>
  </si>
  <si>
    <t>https://attack.mitre.org/techniques/T0801</t>
  </si>
  <si>
    <t>T0834</t>
  </si>
  <si>
    <t>Native API</t>
  </si>
  <si>
    <t>Adversaries may directly interact with the native OS application programming interface (API) to access system functions. Native APIs provide a controlled means of calling low-level OS services within the kernel, such as those involving hardware/devices, memory, and processes. (Citation: The MITRE Corporation May 2017) These native APIs are leveraged by the OS during system boot (when other system components are not yet initialized) as well as carrying out tasks and requests during routine operations. 
Functionality provided by native APIs are often also exposed to user-mode applications via interfaces and libraries. For example, functions such as memcpy and direct operations on memory registers can be used to modify user and system memory space.</t>
  </si>
  <si>
    <t>https://attack.mitre.org/techniques/T0834</t>
  </si>
  <si>
    <t>T0840</t>
  </si>
  <si>
    <t>Network Connection Enumeration</t>
  </si>
  <si>
    <t>Discovery</t>
  </si>
  <si>
    <t>Adversaries may perform network connection enumeration to discover information about device communication patterns. If an adversary can inspect the state of a network connection with tools, such as Netstat(Citation: Netstat), in conjunction with [System Firmware](https://attack.mitre.org/techniques/T0857), then they can determine the role of certain devices on the network  (Citation: MITRE). The adversary can also use [Network Sniffing](https://attack.mitre.org/techniques/T0842) to watch network traffic for details about the source, destination, protocol, and content.</t>
  </si>
  <si>
    <t>https://attack.mitre.org/techniques/T0840</t>
  </si>
  <si>
    <t>T0842</t>
  </si>
  <si>
    <t>Network Sniffing</t>
  </si>
  <si>
    <t>Network sniffing is the practice of using a network interface on a computer system to monitor or capture information (Citation: Enterprise ATT&amp;CK January 2018) regardless of whether it is the specified destination for the information. 
An adversary may attempt to sniff the traffic to gain information about the target. This information can vary in the level of importance. Relatively unimportant information is general communications to and from machines.  Relatively important information would be login information. User credentials may be sent over an unencrypted protocol, such as Telnet, that can be captured and obtained through network packet analysis. 
In addition, ARP and Domain Name Service (DNS) poisoning can be used to capture credentials to websites, proxies, and internal systems by redirecting traffic to an adversary.</t>
  </si>
  <si>
    <t>https://attack.mitre.org/techniques/T0842</t>
  </si>
  <si>
    <t>T0861</t>
  </si>
  <si>
    <t>Point &amp; Tag Identification</t>
  </si>
  <si>
    <t>Adversaries may collect point and tag values to gain a more comprehensive understanding of the process environment. Points may be values such as inputs, memory locations, outputs or other process specific variables. (Citation: Dennis L. Sloatman September 2016) Tags are the identifiers given to points for operator convenience. 
Collecting such tags provides valuable context to environmental points and enables an adversary to map inputs, outputs, and other values to their control processes. Understanding the points being collected may inform an adversary on which processes and values to keep track of over the course of an operation.</t>
  </si>
  <si>
    <t>https://attack.mitre.org/techniques/T0861</t>
  </si>
  <si>
    <t>T0843</t>
  </si>
  <si>
    <t>Program Download</t>
  </si>
  <si>
    <t>Adversaries may perform a program download to transfer a user program to a controller. 
Variations of program download, such as online edit and program append, allow a controller to continue running during the transfer and reconfiguration process without interruption to process control. However, before starting a full program download (i.e., download all) a controller may need to go into a stop state. This can have negative consequences on the physical process, especially if the controller is not able to fulfill a time-sensitive action. Adversaries may choose to avoid a download all in favor of an online edit or program append to avoid disrupting the physical process. An adversary may need to use the technique Detect Operating Mode or Change Operating Mode to make sure the controller is in the proper mode to accept a program download.
The granularity of control to transfer a user program in whole or parts is dictated by the management protocol (e.g., S7CommPlus, TriStation) and underlying controller API. Thus, program download is a high-level term for the suite of vendor-specific API calls used to configure a controllers user program memory space.  
[Modify Controller Tasking](https://attack.mitre.org/techniques/T0821) and [Modify Program](https://attack.mitre.org/techniques/T0889) represent the configuration changes that are transferred to a controller via a program download.</t>
  </si>
  <si>
    <t>https://attack.mitre.org/techniques/T0843</t>
  </si>
  <si>
    <t>T0845</t>
  </si>
  <si>
    <t>Program Upload</t>
  </si>
  <si>
    <t>Adversaries may attempt to upload a program from a PLC to gather information about an industrial process. Uploading a program may allow them to acquire and study the underlying logic. Methods of program upload include vendor software, which enables the user to upload and read a program running on a PLC. This software can be used to upload the target program to a workstation, jump box, or an interfacing device.</t>
  </si>
  <si>
    <t>https://attack.mitre.org/techniques/T0845</t>
  </si>
  <si>
    <t>T0873</t>
  </si>
  <si>
    <t>Project File Infection</t>
  </si>
  <si>
    <t>Adversaries may attempt to infect project files with malicious code. These project files may consist of objects, program organization units, variables such as tags, documentation, and other configurations needed for PLC programs to function. (Citation: Beckhoff) Using built in functions of the engineering software, adversaries may be able to download an infected program to a PLC in the operating environment enabling further [Execution](https://attack.mitre.org/tactics/TA0104) and [Persistence](https://attack.mitre.org/tactics/TA0110) techniques. (Citation: PLCdev) 
Adversaries may export their own code into project files with conditions to execute at specific intervals. (Citation: Nicolas Falliere, Liam O Murchu, Eric Chien February 2011) Malicious programs allow adversaries control of all aspects of the process enabled by the PLC. Once the project file is downloaded to a PLC the workstation device may be disconnected with the infected project file still executing. (Citation: PLCdev)</t>
  </si>
  <si>
    <t>https://attack.mitre.org/techniques/T0873</t>
  </si>
  <si>
    <t>T0886</t>
  </si>
  <si>
    <t>Remote Services</t>
  </si>
  <si>
    <t>Adversaries may leverage remote services to move between assets and network segments. These services are often used to allow operators to interact with systems remotely within the network, some examples are RDP, SMB, SSH, and other similar mechanisms. (Citation: Blake Johnson, Dan Caban, Marina Krotofil, Dan Scali, Nathan Brubaker, Christopher Glyer December 2017) (Citation: Dragos December 2017) (Citation: Joe Slowik April 2019) 
Remote services could be used to support remote access, data transmission, authentication, name resolution, and other remote functions. Further, remote services may be necessary to allow operators and administrators to configure systems within the network from their engineering or management workstations. An adversary may use this technique to access devices which may be dual-homed (Citation: Blake Johnson, Dan Caban, Marina Krotofil, Dan Scali, Nathan Brubaker, Christopher Glyer December 2017) to multiple network segments, and can be used for [Program Download](https://attack.mitre.org/techniques/T0843) or to execute attacks on control devices directly through [Valid Accounts](https://attack.mitre.org/techniques/T0859).
Specific remote services (RDP &amp; VNC) may be a precursor to enable [Graphical User Interface](https://attack.mitre.org/techniques/T0823) execution on devices such as HMIs or engineering workstation software.
Based on incident data, CISA and FBI assessed that Chinese state-sponsored actors also compromised various authorized remote access channels, including systems designed to transfer data and/or allow access between corporate and ICS networks.  (Citation: CISA AA21-201A Pipeline Intrusion July 2021)</t>
  </si>
  <si>
    <t>https://attack.mitre.org/techniques/T0886</t>
  </si>
  <si>
    <t>T0846</t>
  </si>
  <si>
    <t>Remote System Discovery</t>
  </si>
  <si>
    <t>Adversaries may attempt to get a listing of other systems by IP address, hostname, or other logical identifier on a network that may be used for subsequent Lateral Movement or Discovery techniques. Functionality could exist within adversary tools to enable this, but utilities available on the operating system or vendor software could also be used. (Citation: Enterprise ATT&amp;CK January 2018)</t>
  </si>
  <si>
    <t>https://attack.mitre.org/techniques/T0846</t>
  </si>
  <si>
    <t>T0888</t>
  </si>
  <si>
    <t>Remote System Information Discovery</t>
  </si>
  <si>
    <t>An adversary may attempt to get detailed information about remote systems and their peripherals, such as make/model, role, and configuration. Adversaries may use information from Remote System Information Discovery to aid in targeting and shaping follow-on behaviors. For example, the system's operational role and model information can dictate whether it is a relevant target for the adversary's operational objectives. In addition, the system's configuration may be used to scope subsequent technique usage. 
Requests for system information are typically implemented using automation and management protocols and are often automatically requested by vendor software during normal operation. This information may be used to tailor management actions, such as program download and system or module firmware. An adversary may leverage this same information by issuing calls directly to the system's API.</t>
  </si>
  <si>
    <t>https://attack.mitre.org/techniques/T0888</t>
  </si>
  <si>
    <t>T0847</t>
  </si>
  <si>
    <t>Replication Through Removable Media</t>
  </si>
  <si>
    <t>Adversaries may move onto systems, such as those separated from the enterprise network, by copying malware to removable media which is inserted into the control systems environment. The adversary may rely on unknowing trusted third parties, such as suppliers or contractors with access privileges, to introduce the removable media. This technique enables initial access to target devices that never connect to untrusted networks, but are physically accessible.     
Operators of the German nuclear power plant, Gundremmingen, discovered malware on a facility computer not connected to the internet. (Citation: Kernkraftwerk Gundremmingen April 2016) (Citation: Trend Micro April 2016) The malware included Conficker and W32.Ramnit, which were also found on eighteen removable disk drives in the facility. (Citation: Christoph Steitz, Eric Auchard April 2016) (Citation: Catalin Cimpanu April 2016) (Citation: Peter Dockrill April 2016) (Citation: Lee Mathews April 2016) (Citation: Sean Gallagher April 2016) (Citation: Dark Reading Staff April 2016) The plant has since checked for infection and cleaned up more than 1,000 computers. (Citation: BBC April 2016) An ESET researcher commented that internet disconnection does not guarantee system safety from infection or payload execution. (Citation: ESET April 2016)</t>
  </si>
  <si>
    <t>https://attack.mitre.org/techniques/T0847</t>
  </si>
  <si>
    <t>T0848</t>
  </si>
  <si>
    <t>Rogue Master</t>
  </si>
  <si>
    <t>Adversaries may setup a rogue master to leverage control server functions to communicate with outstations. A rogue master can be used to send legitimate control messages to other control system devices, affecting processes in unintended ways. It may also be used to disrupt network communications by capturing and receiving the network traffic meant for the actual master. Impersonating a master may also allow an adversary to avoid detection. 
In the case of the 2017 Dallas Siren incident, adversaries used a rogue master to send command messages to the 156 distributed sirens across the city, either through a single rogue transmitter with a strong signal, or using many distributed repeaters. (Citation: Bastille April 2017) (Citation: Zack Whittaker April 2017)</t>
  </si>
  <si>
    <t>https://attack.mitre.org/techniques/T0848</t>
  </si>
  <si>
    <t>T0851</t>
  </si>
  <si>
    <t>Rootkit</t>
  </si>
  <si>
    <t>Evasion, Inhibit Response Function</t>
  </si>
  <si>
    <t>Adversaries may deploy rootkits to hide the presence of programs, files, network connections, services, drivers, and other system components. Rootkits are programs that hide the existence of malware by intercepting and modifying operating-system API calls that supply system information. Rootkits or rootkit-enabling functionality may reside at the user or kernel level in the operating system, or lower. (Citation: Enterprise ATT&amp;CK January 2018)   
Firmware rootkits that affect the operating system yield nearly full control of the system. While firmware rootkits are normally developed for the main processing board, they can also be developed for the I/O that is attached to an asset. Compromise of this firmware allows the modification of all of the process variables and functions the module engages in. This may result in commands being disregarded and false information being fed to the main device. By tampering with device processes, an adversary may inhibit its expected response functions and possibly enable [Impact](https://attack.mitre.org/tactics/TA0105).</t>
  </si>
  <si>
    <t>https://attack.mitre.org/techniques/T0851</t>
  </si>
  <si>
    <t>T0852</t>
  </si>
  <si>
    <t>Screen Capture</t>
  </si>
  <si>
    <t>Adversaries may attempt to perform screen capture of devices in the control system environment. Screenshots may be taken of workstations, HMIs, or other devices that display environment-relevant process, device, reporting, alarm, or related data. These device displays may reveal information regarding the ICS process, layout, control, and related schematics. In particular, an HMI can provide a lot of important industrial process information. (Citation: ICS-CERT October 2017) Analysis of screen captures may provide the adversary with an understanding of intended operations and interactions between critical devices.</t>
  </si>
  <si>
    <t>https://attack.mitre.org/techniques/T0852</t>
  </si>
  <si>
    <t>T0853</t>
  </si>
  <si>
    <t>Scripting</t>
  </si>
  <si>
    <t>Adversaries may use scripting languages to execute arbitrary code in the form of a pre-written script or in the form of user-supplied code to an interpreter. Scripting languages are programming languages that differ from compiled languages, in that scripting languages use an interpreter, instead of a compiler. These interpreters read and compile part of the source code just before it is executed, as opposed to compilers, which compile each and every line of code to an executable file. Scripting allows software developers to run their code on any system where the interpreter exists. This way, they can distribute one package, instead of precompiling executables for many different systems. Scripting languages, such as Python, have their interpreters shipped as a default with many Linux distributions. 
In addition to being a useful tool for developers and administrators, scripting language interpreters may be abused by the adversary to execute code in the target environment. Due to the nature of scripting languages, this allows for weaponized code to be deployed to a target easily, and leaves open the possibility of on-the-fly scripting to perform a task.</t>
  </si>
  <si>
    <t>https://attack.mitre.org/techniques/T0853</t>
  </si>
  <si>
    <t>T0881</t>
  </si>
  <si>
    <t>Service Stop</t>
  </si>
  <si>
    <t>Adversaries may stop or disable services on a system to render those services unavailable to legitimate users. Stopping critical services can inhibit or stop response to an incident or aid in the adversary's overall objectives to cause damage to the environment. (Citation: Enterprise ATT&amp;CK)  Services may not allow for modification of their data stores while running. Adversaries may stop services in order to conduct Data Destruction. (Citation: Enterprise ATT&amp;CK)</t>
  </si>
  <si>
    <t>https://attack.mitre.org/techniques/T0881</t>
  </si>
  <si>
    <t>T0865</t>
  </si>
  <si>
    <t>Spearphishing Attachment</t>
  </si>
  <si>
    <t>Adversaries may use a spearphishing attachment, a variant of spearphishing, as a form of a social engineering attack against specific targets. Spearphishing attachments are different from other forms of spearphishing in that they employ malware attached to an email. All forms of spearphishing are electronically delivered and target a specific individual, company, or industry. In this scenario, adversaries attach a file to the spearphishing email and usually rely upon [User Execution](https://attack.mitre.org/techniques/T0863) to gain execution and access. (Citation: Enterprise ATT&amp;CK October 2019) 
A Chinese spearphishing campaign running from December 9, 2011 through February 29, 2012, targeted ONG organizations and their employees. The emails were constructed with a high level of sophistication to convince employees to open the malicious file attachments. (Citation: CISA AA21-201A Pipeline Intrusion July 2021)</t>
  </si>
  <si>
    <t>https://attack.mitre.org/techniques/T0865</t>
  </si>
  <si>
    <t>T0856</t>
  </si>
  <si>
    <t>Spoof Reporting Message</t>
  </si>
  <si>
    <t>Evasion, Impair Process Control</t>
  </si>
  <si>
    <t xml:space="preserve">Adversaries may spoof reporting messages in control system environments for evasion and to impair process control. In control systems, reporting messages contain telemetry data (e.g., I/O values) pertaining to the current state of equipment and the industrial process. Reporting messages are important for monitoring the normal operation of a system or identifying important events such as deviations from expected values. 
If an adversary has the ability to Spoof Reporting Messages, they can impact the control system in many ways. The adversary can Spoof Reporting Messages that state that the process is operating normally, as a form of evasion. The adversary could also Spoof Reporting Messages to make the defenders and operators think that other errors are occurring in order to distract them from the actual source of a problem. (Citation: Bonnie Zhu, Anthony Joseph, Shankar Sastry 2011) </t>
  </si>
  <si>
    <t>https://attack.mitre.org/techniques/T0856</t>
  </si>
  <si>
    <t>T0869</t>
  </si>
  <si>
    <t>Standard Application Layer Protocol</t>
  </si>
  <si>
    <t>Adversaries may establish command and control capabilities over commonly used application layer protocols such as HTTP(S), OPC, RDP, telnet, DNP3, and modbus. These protocols may be used to disguise adversary actions as benign network traffic. Standard protocols may be seen on their associated port or in some cases over a non-standard port.  Adversaries may use these protocols to reach out of the network for command and control, or in some cases to other infected devices within the network.</t>
  </si>
  <si>
    <t>https://attack.mitre.org/techniques/T0869</t>
  </si>
  <si>
    <t>T0862</t>
  </si>
  <si>
    <t>Supply Chain Compromise</t>
  </si>
  <si>
    <t>Adversaries may perform supply chain compromise to gain control systems environment access by means of infected products, software, and workflows. Supply chain compromise is the manipulation of products, such as devices or software, or their delivery mechanisms before receipt by the end consumer. Adversary compromise of these products and mechanisms is done for the goal of data or system compromise, once infected products are introduced to the target environment. 
Supply chain compromise can occur at all stages of the supply chain, from manipulation of development tools and environments to manipulation of developed products and tools distribution mechanisms. This may involve the compromise and replacement of legitimate software and patches, such as on third party or vendor websites. Targeting of supply chain compromise can be done in attempts to infiltrate the environments of a specific audience. In control systems environments with assets in both the IT and OT networks, it is possible a supply chain compromise affecting the IT environment could enable further access to the OT environment.   
Counterfeit devices may be introduced to the global supply chain posing safety and cyber risks to asset owners and operators. These devices may not meet the safety, engineering and manufacturing requirements of regulatory bodies but may feature tagging indicating conformance with industry standards. Due to the lack of adherence to standards and overall lesser quality, the counterfeit products may pose a serious safety and operational risk. (Citation: Control Global May 2019) 
Yokogawa identified instances in which their customers received counterfeit differential pressure transmitters using the Yokogawa logo. The counterfeit transmitters were nearly indistinguishable with a semblance of functionality and interface that mimics the genuine product. (Citation: Control Global May 2019) 
F-Secure Labs analyzed the approach the adversary used to compromise victim systems with Havex. (Citation: Daavid Hentunen, Antti Tikkanen June 2014) The adversary planted trojanized software installers available on legitimate ICS/SCADA vendor websites. After being downloaded, this software infected the host computer with a Remote Access Trojan (RAT).</t>
  </si>
  <si>
    <t>https://attack.mitre.org/techniques/T0862</t>
  </si>
  <si>
    <t>T0894</t>
  </si>
  <si>
    <t>System Binary Proxy Execution</t>
  </si>
  <si>
    <t xml:space="preserve">Adversaries may bypass process and/or signature-based defenses by proxying execution of malicious content with signed, or otherwise trusted, binaries. Binaries used in this technique are often Microsoft-signed files, indicating that they have been either downloaded from Microsoft or are already native in the operating system. (Citation: LOLBAS Project) Binaries signed with trusted digital certificates can typically execute on Windows systems protected by digital signature validation. Several Microsoft signed binaries that are default on Windows installations can be used to proxy execution of other files or commands. Similarly, on Linux systems adversaries may abuse trusted binaries such as split to proxy execution of malicious commands. (Citation: split man page)(Citation: GTFO split)
Adversaries may abuse application binaries installed on a system for proxy execution of malicious code or domain-specific commands. These commands could be used to target local resources on the device or networked devices within the environment through defined APIs ([Execution through API](https://attack.mitre.org/techniques/T0871)) or application-specific programming languages (e.g., MicroSCADA SCIL). Application binaries may be signed by the developer or generally trusted by the operators, analysts, and monitoring tools accustomed to the environment. These applications may be developed and/or directly provided by the device vendor to enable configuration, management, and operation of their devices without many alternatives. 
Adversaries may seek to target these trusted application binaries to execute or send commands without the development of custom malware. For example, adversaries may target a SCADA server binary which has the existing ability to send commands to substation devices, such as through IEC 104 command messages. Proxy execution may still require the development of custom tools to hook into the application binary’s execution.
</t>
  </si>
  <si>
    <t>https://attack.mitre.org/techniques/T0894</t>
  </si>
  <si>
    <t>T0857</t>
  </si>
  <si>
    <t>System Firmware</t>
  </si>
  <si>
    <t>Inhibit Response Function, Persistence</t>
  </si>
  <si>
    <t>System firmware on modern assets is often designed with an update feature. Older device firmware may be factory installed and require special reprograming equipment. When available, the firmware update feature enables vendors to remotely patch bugs and perform upgrades. Device firmware updates are often delegated to the user and may be done using a software update package. It may also be possible to perform this task over the network. 
An adversary may exploit the firmware update feature on accessible devices to upload malicious or out-of-date firmware. Malicious modification of device firmware may provide an adversary with root access to a device, given firmware is one of the lowest programming abstraction layers. (Citation: Basnight, Zachry, et al.)</t>
  </si>
  <si>
    <t>https://attack.mitre.org/techniques/T0857</t>
  </si>
  <si>
    <t>T0882</t>
  </si>
  <si>
    <t>Theft of Operational Information</t>
  </si>
  <si>
    <t>Adversaries may steal operational information on a production environment as a direct mission outcome for personal gain or to inform future operations. This information may include design documents, schedules, rotational data, or similar artifacts that provide insight on operations.    In the Bowman Dam incident, adversaries probed systems for operational data. (Citation: Mark Thompson March 2016) (Citation: Danny Yadron December 2015)</t>
  </si>
  <si>
    <t>https://attack.mitre.org/techniques/T0882</t>
  </si>
  <si>
    <t>T0864</t>
  </si>
  <si>
    <t>Transient Cyber Asset</t>
  </si>
  <si>
    <t xml:space="preserve">Adversaries may target devices that are transient across ICS networks and external networks. Normally, transient assets are brought into an environment by authorized personnel and do not remain in that environment on a permanent basis. (Citation: North American Electric Reliability Corporation June 2021) Transient assets are commonly needed to support management functions and may be more common in systems where a remotely managed asset is not feasible, external connections for remote access do not exist, or 3rd party contractor/vendor access is required. 
Adversaries may take advantage of transient assets in different ways. For instance, adversaries may target a transient asset when it is connected to an external network and then leverage its trusted access in another environment to launch an attack. They may also take advantage of installed applications and libraries that are used by legitimate end-users to interact with control system devices. 
Transient assets, in some cases, may not be deployed with a secure configuration leading to weaknesses that could allow an adversary to propagate malicious executable code, e.g., the transient asset may be infected by malware and when connected to an ICS environment the malware propagates onto other systems. </t>
  </si>
  <si>
    <t>https://attack.mitre.org/techniques/T0864</t>
  </si>
  <si>
    <t>T0855</t>
  </si>
  <si>
    <t>Unauthorized Command Message</t>
  </si>
  <si>
    <t>Adversaries may send unauthorized command messages to instruct control system assets to perform actions outside of their intended functionality, or without the logical preconditions to trigger their expected function. Command messages are used in ICS networks to give direct instructions to control systems devices. If an adversary can send an unauthorized command message to a control system, then it can instruct the control systems device to perform an action outside the normal bounds of the device's actions. An adversary could potentially instruct a control systems device to perform an action that will cause an [Impact](https://attack.mitre.org/tactics/TA0105). (Citation: Bonnie Zhu, Anthony Joseph, Shankar Sastry 2011)
In the Dallas Siren incident, adversaries were able to send command messages to activate tornado alarm systems across the city without an impending tornado or other disaster. (Citation: Zack Whittaker April 2017) (Citation: Benjamin Freed March 2019)</t>
  </si>
  <si>
    <t>https://attack.mitre.org/techniques/T0855</t>
  </si>
  <si>
    <t>T0863</t>
  </si>
  <si>
    <t>User Execution</t>
  </si>
  <si>
    <t>Adversaries may rely on a targeted organizations user interaction for the execution of malicious code. User interaction may consist of installing applications, opening email attachments, or granting higher permissions to documents. 
Adversaries may embed malicious code or visual basic code into files such as Microsoft Word and Excel documents or software installers. (Citation: Booz Allen Hamilton) Execution of this code requires that the user enable scripting or write access within the document. Embedded code may not always be noticeable to the user especially in cases of trojanized software. (Citation: Daavid Hentunen, Antti Tikkanen June 2014) 
A Chinese spearphishing campaign running from December 9, 2011 through February 29, 2012 delivered malware through spearphishing attachments which required user action to achieve execution. (Citation: CISA AA21-201A Pipeline Intrusion July 2021)</t>
  </si>
  <si>
    <t>https://attack.mitre.org/techniques/T0863</t>
  </si>
  <si>
    <t>T0859</t>
  </si>
  <si>
    <t>Valid Accounts</t>
  </si>
  <si>
    <t>Adversaries may steal the credentials of a specific user or service account using credential access techniques. In some cases, default credentials for control system devices may be publicly available. Compromised credentials may be used to bypass access controls placed on various resources on hosts and within the network, and may even be used for persistent access to remote systems. Compromised and default credentials may also grant an adversary increased privilege to specific systems and devices or access to restricted areas of the network. Adversaries may choose not to use malware or tools, in conjunction with the legitimate access those credentials provide, to make it harder to detect their presence or to control devices and send legitimate commands in an unintended way. 
Adversaries may also create accounts, sometimes using predefined account names and passwords, to provide a means of backup access for persistence. (Citation: Booz Allen Hamilton) 
The overlap of credentials and permissions across a network of systems is of concern because the adversary may be able to pivot across accounts and systems to reach a high level of access (i.e., domain or enterprise administrator)  and possibly between the enterprise and operational technology environments. Adversaries may be able to leverage valid credentials from one system to gain access to another system.</t>
  </si>
  <si>
    <t>https://attack.mitre.org/techniques/T0859</t>
  </si>
  <si>
    <t>T0860</t>
  </si>
  <si>
    <t>Wireless Compromise</t>
  </si>
  <si>
    <t>Adversaries may perform wireless compromise as a method of gaining communications and unauthorized access to a wireless network. Access to a wireless network may be gained through the compromise of a wireless device. (Citation: Alexander Bolshev, Gleb Cherbov July 2014) (Citation: Alexander Bolshev March 2014) Adversaries may also utilize radios and other wireless communication devices on the same frequency as the wireless network. Wireless compromise can be done as an initial access vector from a remote distance. 
A Polish student used a modified TV remote controller to gain access to and control over the Lodz city tram system in Poland. (Citation: John Bill May 2017) (Citation: Shelley Smith February 2008) The remote controller device allowed the student to interface with the trams network to modify track settings and override operator control. The adversary may have accomplished this by aligning the controller to the frequency and amplitude of IR control protocol signals. (Citation: Bruce Schneier January 2008) The controller then enabled initial access to the network, allowing the capture and replay of tram signals. (Citation: John Bill May 2017)</t>
  </si>
  <si>
    <t>https://attack.mitre.org/techniques/T0860</t>
  </si>
  <si>
    <t>T0887</t>
  </si>
  <si>
    <t>Wireless Sniffing</t>
  </si>
  <si>
    <t>Collection, Discovery</t>
  </si>
  <si>
    <t>Adversaries may seek to capture radio frequency (RF) communication used for remote control and reporting in distributed environments. RF communication frequencies vary between 3 kHz to 300 GHz, although are commonly between 300 MHz to 6 GHz. (Citation: Candell, R., Hany, M., Lee, K. B., Liu,Y., Quimby, J., Remley, K. April 2018)  The wavelength and frequency of the signal affect how the signal propagates through open air, obstacles (e.g. walls and trees) and the type of radio required to capture them. These characteristics are often standardized in the protocol and hardware and may have an effect on how the signal is captured. Some examples of wireless protocols that may be found in cyber-physical environments are: WirelessHART, Zigbee, WIA-FA, and 700 MHz Public Safety Spectrum. 
Adversaries may capture RF communications by using specialized hardware, such as software defined radio (SDR), handheld radio, or a computer with radio demodulator tuned to the communication frequency. (Citation: Bastille April 2017) Information transmitted over a wireless medium may be captured in-transit whether the sniffing device is the intended destination or not. This technique may be particularly useful to an adversary when the communications are not encrypted. (Citation: Gallagher, S. April 2017) 
In the 2017 Dallas Siren incident, it is suspected that adversaries likely captured wireless command message broadcasts on a 700 MHz frequency during a regular test of the system. These messages were later replayed to trigger the alarm systems. (Citation: Gallagher, S. April 2017)</t>
  </si>
  <si>
    <t>https://attack.mitre.org/techniques/T0887</t>
  </si>
  <si>
    <t>Nombre Mitigación</t>
  </si>
  <si>
    <t>Controles ISO 27001 Relacionados</t>
  </si>
  <si>
    <t>M0801</t>
  </si>
  <si>
    <t>Access Management</t>
  </si>
  <si>
    <t>Access Management technologies can be used to enforce authorization polices and decisions, especially when existing field devices do not provide sufficient capabilities to support user identification and authentication. (Citation: McCarthy, J et al. July 2018) These technologies typically utilize an in-line network device or gateway system to prevent access to unauthenticated users, while also integrating with an authentication service to first verify user credentials. (Citation: Centre for the Protection of National Infrastructure November 2010)</t>
  </si>
  <si>
    <t>M0936</t>
  </si>
  <si>
    <t>Account Use Policies</t>
  </si>
  <si>
    <t>Configure features related to account use like login attempt lockouts, specific login times, etc.</t>
  </si>
  <si>
    <t>M0915</t>
  </si>
  <si>
    <t>Active Directory Configuration</t>
  </si>
  <si>
    <t>Configure Active Directory to prevent use of certain techniques; use security identifier (SID) Filtering, etc.</t>
  </si>
  <si>
    <t>M0949</t>
  </si>
  <si>
    <t>Antivirus/Antimalware</t>
  </si>
  <si>
    <t>Use signatures or heuristics to detect malicious software.  Within industrial control environments, antivirus/antimalware installations should be limited to assets that are not involved in critical or real-time operations. To minimize the impact to system availability, all products should first be validated within a representative test environment before deployment to production systems. (Citation: NCCIC August 2018)</t>
  </si>
  <si>
    <t>M0913</t>
  </si>
  <si>
    <t>Application Developer Guidance</t>
  </si>
  <si>
    <t>This mitigation describes any guidance or training given to developers of applications to avoid introducing security weaknesses that an adversary may be able to take advantage of.</t>
  </si>
  <si>
    <t>M0948</t>
  </si>
  <si>
    <t>Application Isolation and Sandboxing</t>
  </si>
  <si>
    <t>Restrict the execution of code to a virtual environment on or in-transit to an endpoint system.</t>
  </si>
  <si>
    <t>M0947</t>
  </si>
  <si>
    <t>Audit</t>
  </si>
  <si>
    <t>Perform audits or scans of systems, permissions, insecure software, insecure configurations, etc. to identify potential weaknesses. Perform periodic integrity checks of the device to validate the correctness of the firmware, software, programs, and configurations. Integrity checks, which typically include cryptographic hashes or digital signatures, should be compared to those obtained at known valid states, especially after events like device reboots, program downloads, or program restarts.</t>
  </si>
  <si>
    <t>M0800</t>
  </si>
  <si>
    <t>Authorization Enforcement</t>
  </si>
  <si>
    <t>The device or system should restrict read, manipulate, or execute privileges to only authenticated users who require access based on approved security policies.  Role-based Access Control (RBAC) schemes can help reduce the overhead of assigning permissions to the large number of devices within an ICS. For example, IEC 62351 provides examples of roles used to support common system operations within the electric power sector  (Citation: International Electrotechnical Commission July 2020), while IEEE 1686 defines standard permissions for users of IEDs. (Citation: Institute of Electrical and Electronics Engineers January 2014)</t>
  </si>
  <si>
    <t>M0946</t>
  </si>
  <si>
    <t>Boot Integrity</t>
  </si>
  <si>
    <t>Use secure methods to boot a system and verify the integrity of the operating system and loading mechanisms.</t>
  </si>
  <si>
    <t>M0945</t>
  </si>
  <si>
    <t>Code Signing</t>
  </si>
  <si>
    <t>Enforce binary and application integrity with digital signature verification to prevent untrusted code from executing.</t>
  </si>
  <si>
    <t>M0802</t>
  </si>
  <si>
    <t>Communication Authenticity</t>
  </si>
  <si>
    <t>When communicating over an untrusted network, utilize secure network protocols that both authenticate the message sender and can verify its integrity. This can be done either through message authentication codes (MACs) or digital signatures, to detect spoofed network messages and unauthorized connections.</t>
  </si>
  <si>
    <t>M0953</t>
  </si>
  <si>
    <t>Data Backup</t>
  </si>
  <si>
    <t>Take and store data backups from end user systems and critical servers. Ensure backup and storage systems are hardened and kept separate from the corporate network to prevent compromise.   Maintain and exercise incident response plans  (Citation: Department of Homeland Security October 2009), including the management of  'gold-copy' back-up images and configurations for key systems to enable quick recovery and response from adversarial activities that impact control, view, or availability.</t>
  </si>
  <si>
    <t>M0803</t>
  </si>
  <si>
    <t>Data Loss Prevention</t>
  </si>
  <si>
    <t>Data Loss Prevention (DLP) technologies can be used to help identify adversarial attempts to exfiltrate operational information, such as engineering plans, trade secrets, recipes, intellectual property, or process telemetry. DLP functionality may be built into other security products such as firewalls or standalone suites running on the network and host-based agents. DLP may be configured to prevent the transfer of information through corporate resources such as email, web, and physical media such as USB for host-based solutions.</t>
  </si>
  <si>
    <t>M0942</t>
  </si>
  <si>
    <t>Disable or Remove Feature or Program</t>
  </si>
  <si>
    <t>Remove or deny access to unnecessary and potentially vulnerable software to prevent abuse by adversaries.</t>
  </si>
  <si>
    <t>M0808</t>
  </si>
  <si>
    <t>Encrypt Network Traffic</t>
  </si>
  <si>
    <t>Utilize strong cryptographic techniques and protocols to prevent eavesdropping on network communications.</t>
  </si>
  <si>
    <t>M0941</t>
  </si>
  <si>
    <t>Encrypt Sensitive Information</t>
  </si>
  <si>
    <t>Protect sensitive data-at-rest with strong encryption.</t>
  </si>
  <si>
    <t>M0938</t>
  </si>
  <si>
    <t>Execution Prevention</t>
  </si>
  <si>
    <t>Block execution of code on a system through application control, and/or script blocking.</t>
  </si>
  <si>
    <t>M0950</t>
  </si>
  <si>
    <t>Exploit Protection</t>
  </si>
  <si>
    <t>Use capabilities to detect and block conditions that may lead to or be indicative of a software exploit occurring.</t>
  </si>
  <si>
    <t>M0937</t>
  </si>
  <si>
    <t>Filter Network Traffic</t>
  </si>
  <si>
    <t>Use network appliances to filter ingress or egress traffic and perform protocol-based filtering. Configure software on endpoints to filter network traffic.   Perform inline allow/denylisting of network messages based on the application layer (OSI Layer 7) protocol, especially for automation protocols. Application allowlists are beneficial when there are well-defined communication sequences, types, rates, or patterns needed during expected system operations. Application denylists may be needed if all acceptable communication sequences cannot be defined, but instead a set of known malicious uses can be denied (e.g., excessive communication  attempts, shutdown messages, invalid commands).  Devices performing these functions are often referred to as deep-packet inspection (DPI) firewalls, context-aware firewalls, or firewalls blocking specific automation/SCADA protocol aware firewalls. (Citation: Centre for the Protection of National Infrastructure February 2005)</t>
  </si>
  <si>
    <t>M0804</t>
  </si>
  <si>
    <t>Human User Authentication</t>
  </si>
  <si>
    <t>Require user authentication before allowing access to data or accepting commands to a device. While strong multi-factor authentication is preferable, it is not always feasible within ICS environments. Performing strong user authentication also requires additional security controls and processes which are often the target of related adversarial techniques (e.g., Valid Accounts, Default Credentials). Therefore, associated ATT&amp;CK mitigations should be considered in addition to this, including [Multi-factor Authentication](https://attack.mitre.org/mitigations/M0932), [Account Use Policies](https://attack.mitre.org/mitigations/M0936), [Password Policies](https://attack.mitre.org/mitigations/M0927), [User Account Management](https://attack.mitre.org/mitigations/M0918), [Privileged Account Management](https://attack.mitre.org/mitigations/M0926), and [User Account Control](https://attack.mitre.org/mitigations/M1052).</t>
  </si>
  <si>
    <t>M0935</t>
  </si>
  <si>
    <t>Limit Access to Resource Over Network</t>
  </si>
  <si>
    <t>Prevent access to file shares, remote access to systems, unnecessary services. Mechanisms to limit access may include use of network concentrators, RDP gateways, etc.</t>
  </si>
  <si>
    <t>M0934</t>
  </si>
  <si>
    <t>Limit Hardware Installation</t>
  </si>
  <si>
    <t>Block users or groups from installing or using unapproved hardware on systems, including USB devices.</t>
  </si>
  <si>
    <t>M0805</t>
  </si>
  <si>
    <t>Mechanical Protection Layers</t>
  </si>
  <si>
    <t xml:space="preserve">Utilize a layered protection design based on physical or mechanical protection systems to prevent damage to property, equipment, human safety, or the environment. Examples include interlocks, rupture disk, release values, etc. (Citation: A G Foord, W G Gulland, C R Howard, T Kellacher, W H Smith 2004) </t>
  </si>
  <si>
    <t>M0806</t>
  </si>
  <si>
    <t>Minimize Wireless Signal Propagation</t>
  </si>
  <si>
    <t>Wireless signals frequently propagate outside of organizational boundaries, which provide opportunities for adversaries to monitor or gain unauthorized access to the wireless network. (Citation: CISA March 2010) To minimize this threat, organizations should implement measures to detect, understand, and reduce unnecessary RF propagation. (Citation: DHS  National Urban Security Technology Laboratory April 2019)</t>
  </si>
  <si>
    <t>M0816</t>
  </si>
  <si>
    <t>Mitigation Limited or Not Effective</t>
  </si>
  <si>
    <t>This type of attack technique cannot be easily mitigated with preventative controls since it is based on the abuse of system features.</t>
  </si>
  <si>
    <t>M0932</t>
  </si>
  <si>
    <t>Multi-factor Authentication</t>
  </si>
  <si>
    <t>Use two or more pieces of evidence to authenticate to a system; such as username and password in addition to a token from a physical smart card or token generator.  Within industrial control environments assets such as low-level controllers, workstations, and HMIs have real-time operational control and safety requirements which may restrict the use of multi-factor.</t>
  </si>
  <si>
    <t>M0807</t>
  </si>
  <si>
    <t>Network Allowlists</t>
  </si>
  <si>
    <t>Network allowlists can be implemented through either host-based files or system hosts files to specify what connections (e.g., IP address, MAC address, port, protocol) can be made from a device. Allowlist techniques that operate at the  application layer (e.g., DNP3, Modbus, HTTP) are addressed in [Filter Network Traffic](https://attack.mitre.org/mitigations/M0937) mitigation.</t>
  </si>
  <si>
    <t>M0931</t>
  </si>
  <si>
    <t>Network Intrusion Prevention</t>
  </si>
  <si>
    <t>Use intrusion detection signatures to block traffic at network boundaries.  In industrial control environments, network intrusion prevention should be configured so it will not disrupt protocols and communications responsible for real-time functions related to control or safety.</t>
  </si>
  <si>
    <t>M0930</t>
  </si>
  <si>
    <t>Network Segmentation</t>
  </si>
  <si>
    <t>Architect sections of the network to isolate critical systems, functions, or resources. Use physical and logical segmentation to prevent access to potentially sensitive systems and information. Use a DMZ to contain any internet-facing services that should not be exposed from the internal network.  Restrict network access to only required systems and services. In addition, prevent systems from other networks or business functions (e.g., enterprise) from accessing critical process control systems. For example, in IEC 62443, systems within the same secure level should be grouped into a zone, and access to that zone is restricted by a conduit, or mechanism to restrict data flows between zones by segmenting the network. (Citation: IEC February 2019) (Citation: IEC August 2013)</t>
  </si>
  <si>
    <t>M0928</t>
  </si>
  <si>
    <t>Operating System Configuration</t>
  </si>
  <si>
    <t>Make configuration changes related to the operating system or a common feature of the operating system that result in system hardening against techniques.</t>
  </si>
  <si>
    <t>M0809</t>
  </si>
  <si>
    <t>Operational Information Confidentiality</t>
  </si>
  <si>
    <t>Deploy mechanisms to protect the confidentiality of information related to operational processes, facility locations, device configurations, programs, or databases that may have information that can be used to infer organizational trade-secrets, recipes, and other intellectual property (IP).</t>
  </si>
  <si>
    <t>M0810</t>
  </si>
  <si>
    <t>Out-of-Band Communications Channel</t>
  </si>
  <si>
    <t>Have alternative methods to support communication requirements during communication failures and data integrity attacks. (Citation: National Institute of Standards and Technology April 2013) (Citation: Defense Advanced Research Projects Agency)</t>
  </si>
  <si>
    <t>M0927</t>
  </si>
  <si>
    <t>Password Policies</t>
  </si>
  <si>
    <t>Set and enforce secure password policies for accounts.</t>
  </si>
  <si>
    <t>M0926</t>
  </si>
  <si>
    <t>Privileged Account Management</t>
  </si>
  <si>
    <t>Manage the creation, modification, use, and permissions associated to privileged accounts, including SYSTEM and root.</t>
  </si>
  <si>
    <t>M0811</t>
  </si>
  <si>
    <t>Redundancy of Service</t>
  </si>
  <si>
    <t>Redundancy could be provided for both critical ICS devices and services, such as back-up devices or hot-standbys.</t>
  </si>
  <si>
    <t>M0922</t>
  </si>
  <si>
    <t>Restrict File and Directory Permissions</t>
  </si>
  <si>
    <t>Restrict access by setting directory and file permissions that are not specific to users or privileged accounts.</t>
  </si>
  <si>
    <t>M0944</t>
  </si>
  <si>
    <t>Restrict Library Loading</t>
  </si>
  <si>
    <t>Prevent abuse of library loading mechanisms in the operating system and software to load untrusted code by configuring appropriate library loading mechanisms and investigating potential vulnerable software.</t>
  </si>
  <si>
    <t>M0924</t>
  </si>
  <si>
    <t>Restrict Registry Permissions</t>
  </si>
  <si>
    <t>Restrict the ability to modify certain hives or keys in the Windows Registry.</t>
  </si>
  <si>
    <t>M0921</t>
  </si>
  <si>
    <t>Restrict Web-Based Content</t>
  </si>
  <si>
    <t>Restrict use of certain websites, block downloads/attachments, block Javascript, restrict browser extensions, etc.</t>
  </si>
  <si>
    <t>M0920</t>
  </si>
  <si>
    <t>SSL/TLS Inspection</t>
  </si>
  <si>
    <t>Break and inspect SSL/TLS sessions to look at encrypted web traffic for adversary activity.</t>
  </si>
  <si>
    <t>M0812</t>
  </si>
  <si>
    <t>Safety Instrumented Systems</t>
  </si>
  <si>
    <t>Utilize Safety Instrumented Systems (SIS) to provide an additional layer of protection to hazard scenarios that may cause property damage. A SIS will typically include sensors, logic solvers, and a final control element that can be used to automatically respond to an hazardous condition  (Citation: A G Foord, W G Gulland, C R Howard, T Kellacher, W H Smith 2004) . Ensure that all SISs are segmented from operational networks to prevent them from being targeted by additional adversarial behavior.</t>
  </si>
  <si>
    <t>M0954</t>
  </si>
  <si>
    <t>Software Configuration</t>
  </si>
  <si>
    <t>Implement configuration changes to software (other than the operating system) to mitigate security risks associated with how the software operates.</t>
  </si>
  <si>
    <t>M0813</t>
  </si>
  <si>
    <t>Software Process and Device Authentication</t>
  </si>
  <si>
    <t>Require the authentication of devices and software processes where appropriate. Devices that connect remotely to other systems should require strong authentication to prevent spoofing of communications. Furthermore, software processes should also require authentication when accessing APIs.</t>
  </si>
  <si>
    <t>M0814</t>
  </si>
  <si>
    <t>Static Network Configuration</t>
  </si>
  <si>
    <t>Configure hosts and devices to use static network configurations when possible, protocols that require dynamic discovery/addressing (e.g., ARP, DHCP, DNS) can be used to manipulate network message forwarding and enable various AiTM attacks. This mitigation may not always be usable due to limited device features or challenges introduced with different network configurations.</t>
  </si>
  <si>
    <t>M0817</t>
  </si>
  <si>
    <t>Supply Chain Management</t>
  </si>
  <si>
    <t>Implement a supply chain management program, including policies and procedures to ensure all devices and components originate from a trusted supplier and are tested to verify their integrity.</t>
  </si>
  <si>
    <t>M0919</t>
  </si>
  <si>
    <t>Threat Intelligence Program</t>
  </si>
  <si>
    <t>A threat intelligence program helps an organization generate their own threat intelligence information and track trends to inform defensive priorities to mitigate risk.</t>
  </si>
  <si>
    <t>M0951</t>
  </si>
  <si>
    <t>Update Software</t>
  </si>
  <si>
    <t>Perform regular software updates to mitigate exploitation risk. Software updates may need to be scheduled around operational down times.</t>
  </si>
  <si>
    <t>M0918</t>
  </si>
  <si>
    <t>User Account Management</t>
  </si>
  <si>
    <t>Manage the creation, modification, use, and permissions associated to user accounts.</t>
  </si>
  <si>
    <t>M0917</t>
  </si>
  <si>
    <t>User Training</t>
  </si>
  <si>
    <t>Train users to be aware of access or manipulation attempts by an adversary to reduce the risk of successful spearphishing, social engineering, and other techniques that involve user interaction.</t>
  </si>
  <si>
    <t>M0818</t>
  </si>
  <si>
    <t>Validate Program Inputs</t>
  </si>
  <si>
    <t>Devices and programs designed to interact with control system parameters should validate the format and content of all user inputs and actions to ensure the values are within intended operational ranges. These values should be evaluated and further enforced through the program logic running on the field controller. If a problematic or invalid input is identified, the programs should either utilize a predetermined safe value or enter a known safe state, while also logging or alerting on the event.(Citation: PLCTop20 Mar 2023)</t>
  </si>
  <si>
    <t>M0916</t>
  </si>
  <si>
    <t>Vulnerability Scanning</t>
  </si>
  <si>
    <t>Vulnerability scanning is used to find potentially exploitable software vulnerabilities to remediate them.</t>
  </si>
  <si>
    <t>M0815</t>
  </si>
  <si>
    <t>Watchdog Timers</t>
  </si>
  <si>
    <t>Utilize watchdog timers to ensure devices can quickly detect whether a system is unresponsive.</t>
  </si>
  <si>
    <t>ID Asset</t>
  </si>
  <si>
    <t>Nombre Asset ICS</t>
  </si>
  <si>
    <t>Activos SGSI Relacionados</t>
  </si>
  <si>
    <t>A0008</t>
  </si>
  <si>
    <t>Application Server</t>
  </si>
  <si>
    <t>Application servers are used across many different sectors to host various diverse software applications necessary to supporting the ICS. Example functions can include data analytics and reporting, alarm management, and the management/coordination of different control servers.  The application server typically runs on a modern server operating system (e.g., MS Windows Server).</t>
  </si>
  <si>
    <t>A0007</t>
  </si>
  <si>
    <t>Control Server</t>
  </si>
  <si>
    <t>Control servers are typically a software platform that runs on a modern server operating system (e.g., MS Windows Server). The server typically uses one or more automation protocols (e.g., Modbus, DNP3) to communicate with the various low-level control devices such as Remote Terminal Units (RTUs) and Programmable Logic Controllers (PLCs). The control server also usually provides an interface/network service to connect with an HMI.</t>
  </si>
  <si>
    <t>A0009</t>
  </si>
  <si>
    <t>Data Gateway</t>
  </si>
  <si>
    <t xml:space="preserve">Data Gateway is a device that supports the communication and exchange of data between different systems, networks, or protocols within the ICS. Different types of data gateways are used to perform various functions, including:
 *  &lt;u&gt;Protocol Translation:&lt;/u&gt; Enable communication to devices that support different or incompatible protocols by translating information from one protocol to another. 
 *  &lt;u&gt;Media Converter:&lt;/u&gt; Convert data across different Layer 1 and 2 network protocols / mediums, for example, converting from Serial to Ethernet. 
 *  &lt;u&gt;Data Aggregation:&lt;/u&gt; Collect and combine data from different devices into one consistent format and protocol interface. 
Data gateways are often critical to the forwarding/transmission of critical control or monitoring data within the ICS. Further, these devices often have remote various network services that are used to communicate across different zones or networks.  
These assets may focus on a single function listed below or combinations of these functions to best fit the industry use-case. 
</t>
  </si>
  <si>
    <t>A0006</t>
  </si>
  <si>
    <t>Data Historian</t>
  </si>
  <si>
    <t>Data historians, or historian, are systems used to collect and store data, including telemetry, events, alerts, and alarms about the operational process and supporting devices. The historian typically utilizes a database to store this data, and commonly provide tools and interfaces to support the analysis of the data. Data historians are often used to support various engineering or business analysis functions and therefore commonly needs access from the corporate network. Data historians often work in a hierarchical paradigm where lower/site level historians collect and store data which is then aggregated into a site/plant level historian. Therefore, data historians often have remote services that can be accessed externally from the ICS network.</t>
  </si>
  <si>
    <t>A0013</t>
  </si>
  <si>
    <t>Field I/O</t>
  </si>
  <si>
    <t xml:space="preserve">Field I/O are devices that communicate with a controller or data aggregator to either send input data or receive output data. Input data may include readings about a given environment/device state from sensors, while output data may include data sent back to actuators for them to either undertake actions or change parameter values.(Citation: Guidance - NIST SP800-82) These devices are frequently embedded devices running on lightweight embedded operating systems or RTOSes. </t>
  </si>
  <si>
    <t>A0002</t>
  </si>
  <si>
    <t>Human-Machine Interface (HMI)</t>
  </si>
  <si>
    <t>Human-Machine Interfaces (HMIs) are systems used by an operator to monitor the real-time status of an operational process and to perform necessary control functions, including the adjustment of device parameters. An HMI can take various forms, including a dedicated screen or control panel integrated with a specific device/controller, or a customizable software GUI application running on a standard operating system (e.g., MS Windows) that interfaces with a control/SCADA server. The HMI is critical to ensuring operators have sufficient visibility and control over the operational process.</t>
  </si>
  <si>
    <t>A0005</t>
  </si>
  <si>
    <t>Intelligent Electronic Device (IED)</t>
  </si>
  <si>
    <t>An Intelligent Electronic Device (IED) is a type of specialized field device that is designed to perform specific operational functions, frequently for protection, monitoring, or control within the electric sector. IEDs are typically used to both acquire telemetry and execute tailored control algorithms/actions based on customizable parameters/settings. An IED is usually implemented as a dedicated embedded device and supports various network automation protocols to communicate with RTUs and Control Servers.</t>
  </si>
  <si>
    <t>A0012</t>
  </si>
  <si>
    <t>Jump Host</t>
  </si>
  <si>
    <t xml:space="preserve">Jump hosts are devices used to support remote management sessions into ICS networks or devices. The system is used to access the ICS environment securely from external networks, such as the corporate network. The user must first remote into the jump host before they can access ICS devices. The jump host may be a customized Windows server using common remote access protocols (e.g., RDP) or a dedicated access management device. The jump host typically performs various security functions to ensure the authenticity of remote sessions, including authentication, enforcing access controls/permissions, and auditing all access attempts.  </t>
  </si>
  <si>
    <t>A0003</t>
  </si>
  <si>
    <t>Programmable Logic Controller (PLC)</t>
  </si>
  <si>
    <t>A Programmable Logic Controller (PLC) is an embedded programmable control device. PLCs typically utilize a modular architecture with separate modules used to support its processing capabilities, communication mediums, and I/O interfaces. PLCs allow for the deployment of customized programs/logic to control or monitor an operational process. This logic is defined using industry specific programming languages, such as IEC 61131 (Citation: IEC February 2013), which define the set of tasks and program organizational units (POUs) included in the device’s programs.  PLCs also typically have distinct operating modes (e.g., Remote, Run, Program, Stop) which are used to determine when the device can be programmed or whether it should execute the custom logic.</t>
  </si>
  <si>
    <t>A0004</t>
  </si>
  <si>
    <t>Remote Terminal Unit (RTU)</t>
  </si>
  <si>
    <t>A Remote Terminal Unit (RTU) is a device that typically resides between field devices (e.g., PLCs, IEDs) and control/SCADA servers and supports various communication interfacing and data aggregation functions. RTUs are typically responsible for forwarding commands from the control server and the collection of telemetry, events, and alerts from the field devices. An RTU can be implemented as a dedicated embedded device, as software platform that runs on a hardened/ruggedized computer, or using a custom application program on a PLC.</t>
  </si>
  <si>
    <t>A0014</t>
  </si>
  <si>
    <t>Routers</t>
  </si>
  <si>
    <t>A computer that is a gateway between two networks at OSI layer 3 and that relays and directs data packets through that inter-network. The most common form of router operates on IP packets.(Citation: IETF RFC4949 2007)</t>
  </si>
  <si>
    <t>A0010</t>
  </si>
  <si>
    <t>Safety Controller</t>
  </si>
  <si>
    <t>Safety controllers are typically a type of field device used to perform the safety critical function. Safety controllers often support the deployment of custom programs/logic, similar to a PLC, but can also be tailored for sector specific functions/applications. The safety controllers typically utilize redundant hardware and processors to ensure they operate reliably if a component fails.</t>
  </si>
  <si>
    <t>A0011</t>
  </si>
  <si>
    <t>Virtual Private Network (VPN) Server</t>
  </si>
  <si>
    <t>A VPN server is a device that is used to establish a secure network tunnel between itself and other remote VPN devices, including field VPNs. VPN servers can be used to establish a secure connection with a single remote device, or to securely bridge all traffic between two separate networks together by encapsulating all data between those networks. VPN servers typically support remote network services that are used by field VPNs to initiate the establishment of the secure VPN tunnel between the field device and server.</t>
  </si>
  <si>
    <t>A0001</t>
  </si>
  <si>
    <t>Workstation</t>
  </si>
  <si>
    <t>Workstations are devices used by human operators or engineers to perform various configuration, programming, maintenance, diagnostic, or operational tasks. Workstations typically utilize standard desktop or laptop hardware and operating systems (e.g., MS Windows), but run dedicated control system applications or diagnostic/management software     to support interfacing with the control servers or field devices. Some workstations have a fixed location within the network architecture, while others are transient devices that are directly connected to various field devices to support local management activities.</t>
  </si>
  <si>
    <t>🎯 GUÍA DE MAPEO MITRE ATT&amp;CK ICS - EJEMPLOS PRÁCTICOS</t>
  </si>
  <si>
    <t>Esta hoja muestra ejemplos de cómo mapear tus activos, riesgos y amenazas con códigos MITRE</t>
  </si>
  <si>
    <t>📦 EJEMPLO 1: MAPEO DE ACTIVOS CON ASSETS ICS MITRE</t>
  </si>
  <si>
    <t>Tipo de Activo</t>
  </si>
  <si>
    <t>Ejemplo Real</t>
  </si>
  <si>
    <t>Asset ICS MITRE</t>
  </si>
  <si>
    <t>Código</t>
  </si>
  <si>
    <t>Confianza</t>
  </si>
  <si>
    <t>Técnica MITRE #1</t>
  </si>
  <si>
    <t>Conf%</t>
  </si>
  <si>
    <t>Técnica #2</t>
  </si>
  <si>
    <t>PLC Siemens</t>
  </si>
  <si>
    <t>PLC S7-1200 Línea Producción 1</t>
  </si>
  <si>
    <t>Programmable Logic Controller</t>
  </si>
  <si>
    <t>Servidor SCADA</t>
  </si>
  <si>
    <t>Servidor WinCC Control Central</t>
  </si>
  <si>
    <t>HMI</t>
  </si>
  <si>
    <t>Panel HMI Operador Sala Control</t>
  </si>
  <si>
    <t>Human-Machine Interface</t>
  </si>
  <si>
    <t>Switch Industrial</t>
  </si>
  <si>
    <t>Switch Cisco IE-3000 Red OT</t>
  </si>
  <si>
    <t>PC Ingeniería TIA Portal</t>
  </si>
  <si>
    <t>Engineering Workstation</t>
  </si>
  <si>
    <t>T0818</t>
  </si>
  <si>
    <t>⚠️ EJEMPLO 2: MAPEO DE RIESGOS CON TÉCNICAS MITRE</t>
  </si>
  <si>
    <t>Riesgo Identificado</t>
  </si>
  <si>
    <t>Descripción del Riesgo</t>
  </si>
  <si>
    <t>Técnica MITRE</t>
  </si>
  <si>
    <t>Táctica</t>
  </si>
  <si>
    <t>Impacto</t>
  </si>
  <si>
    <t>Acceso no autorizado PLC</t>
  </si>
  <si>
    <t>Modificación no autorizada de lógica de control en PLC</t>
  </si>
  <si>
    <t>CRÍTICO</t>
  </si>
  <si>
    <t>Interceptación comunicaciones</t>
  </si>
  <si>
    <t>Ataque Man-in-the-Middle en red OT sin cifrado</t>
  </si>
  <si>
    <t>ALTO</t>
  </si>
  <si>
    <t>Denegación servicio SCADA</t>
  </si>
  <si>
    <t>Ataque DoS que impide visualización proceso industrial</t>
  </si>
  <si>
    <t>Malware en workstation</t>
  </si>
  <si>
    <t>Infección por spearphishing en PC ingeniería</t>
  </si>
  <si>
    <t>Credenciales hardcoded</t>
  </si>
  <si>
    <t>Contraseñas fijas en firmware de dispositivos ICS</t>
  </si>
  <si>
    <t>🔄 MATRIZ DE INTERACCIÓN: ASSETS ICS ↔ TÉCNICAS MITRE</t>
  </si>
  <si>
    <t>Esta matriz muestra qué técnicas MITRE son aplicables a cada tipo de Asset ICS</t>
  </si>
  <si>
    <t>Asset ICS</t>
  </si>
  <si>
    <t>Técnicas Aplicables (Top 5)</t>
  </si>
  <si>
    <t>T1</t>
  </si>
  <si>
    <t>T2</t>
  </si>
  <si>
    <t>T3</t>
  </si>
  <si>
    <t>T4</t>
  </si>
  <si>
    <t>T5</t>
  </si>
  <si>
    <t>Prioridad</t>
  </si>
  <si>
    <t>Notas</t>
  </si>
  <si>
    <t>PLC</t>
  </si>
  <si>
    <t>Controlador más crítico</t>
  </si>
  <si>
    <t>CRÍTICA</t>
  </si>
  <si>
    <t>Parada producción</t>
  </si>
  <si>
    <t>Requiere segmentación red</t>
  </si>
  <si>
    <t>Interfaz operador</t>
  </si>
  <si>
    <t>ALTA</t>
  </si>
  <si>
    <t>Pérdida visibilidad</t>
  </si>
  <si>
    <t>Hardening requerido</t>
  </si>
  <si>
    <t>Servidor SCADA/DCS</t>
  </si>
  <si>
    <t>Control total perdido</t>
  </si>
  <si>
    <t>Fortificar acceso</t>
  </si>
  <si>
    <t>Base datos históricos</t>
  </si>
  <si>
    <t>MEDIA</t>
  </si>
  <si>
    <t>Pérdida datos</t>
  </si>
  <si>
    <t>Backup crítico</t>
  </si>
  <si>
    <t>PC ingeniería</t>
  </si>
  <si>
    <t>Punto entrada</t>
  </si>
  <si>
    <t>EDR recomendado</t>
  </si>
  <si>
    <t>📚 GUÍA DE USO DEL MAPEO</t>
  </si>
  <si>
    <t>1. IDENTIFICA TUS ACTIVOS: En la hoja 'Activos', clasifica cada activo según el Asset ICS MITRE más apropiado</t>
  </si>
  <si>
    <t>2. MAPEA RIESGOS: En 'Matriz_Riesgos', vincula cada riesgo con las técnicas MITRE aplicables</t>
  </si>
  <si>
    <t>3. USA CÓDIGOS: Los códigos T#### son técnicas de ataque, A#### son tipos de activos ICS</t>
  </si>
  <si>
    <t>4. PORCENTAJE: Verde (70-100%) = alta confianza, Amarillo (40-69%) = media, Rojo (&lt;40%) = revisar</t>
  </si>
  <si>
    <t>5. CONSULTA DETALLES: Revisa hojas 'MITRE_Ataques' y 'MITRE_Assets_ICS' para más información</t>
  </si>
  <si>
    <t>6. PRIORIZA: Usa las tácticas MITRE para entender el tipo de ataque (Initial Access, Impact, etc.)</t>
  </si>
  <si>
    <t>🤖 REGLAS DE MAPEO AUTOMÁTICO MITRE</t>
  </si>
  <si>
    <t>Esta hoja contiene las reglas de palabras clave para sugerencias automáticas</t>
  </si>
  <si>
    <t>📦 REGLAS PARA ASSETS ICS</t>
  </si>
  <si>
    <t>Código Asset</t>
  </si>
  <si>
    <t>Nombre Asset</t>
  </si>
  <si>
    <t>Palabras Clave</t>
  </si>
  <si>
    <t>Ejemplos</t>
  </si>
  <si>
    <t>PLC - Programmable Logic Controller</t>
  </si>
  <si>
    <t>PLC, controlador, S7, Allen Bradley, Schneider, Siemens, lógico programable</t>
  </si>
  <si>
    <t>PLC S7-1200, Controlador AB, PLC Schneider</t>
  </si>
  <si>
    <t>HMI - Human Machine Interface</t>
  </si>
  <si>
    <t>HMI, SCADA, pantalla, interfaz operador, panel, WinCC, InTouch</t>
  </si>
  <si>
    <t>Panel HMI, Servidor SCADA, Pantalla operador</t>
  </si>
  <si>
    <t>Workstation - Estación Trabajo</t>
  </si>
  <si>
    <t>PC, workstation, estación, computadora, escritorio, laptop, TIA Portal</t>
  </si>
  <si>
    <t>PC Ingeniería, Workstation programación</t>
  </si>
  <si>
    <t>RTU - Remote Terminal Unit</t>
  </si>
  <si>
    <t>RTU, unidad remota, telemetría, remote terminal</t>
  </si>
  <si>
    <t>RTU campo, Unidad telemetría</t>
  </si>
  <si>
    <t>Control Server - Servidor Control</t>
  </si>
  <si>
    <t>servidor control, control server, servidor SCADA, servidor DCS</t>
  </si>
  <si>
    <t>Servidor WinCC, Server Control Central</t>
  </si>
  <si>
    <t>Routers - Equipos Red</t>
  </si>
  <si>
    <t>router, switch, firewall, enrutador, conmutador, red, network</t>
  </si>
  <si>
    <t>Switch Cisco, Router industrial, Firewall OT</t>
  </si>
  <si>
    <t>Data Historian - Historiador</t>
  </si>
  <si>
    <t>historian, historiador, PI System, Wonderware, base datos tiempo real</t>
  </si>
  <si>
    <t>PI Historian, Wonderware Historian</t>
  </si>
  <si>
    <t>servidor aplicación, application server, app server</t>
  </si>
  <si>
    <t>Servidor MES, Application Server</t>
  </si>
  <si>
    <t>IED - Intelligent Electronic Device</t>
  </si>
  <si>
    <t>IED, dispositivo electrónico, relé, protective relay</t>
  </si>
  <si>
    <t>BAJA</t>
  </si>
  <si>
    <t>Relé protección, IED campo</t>
  </si>
  <si>
    <t>Data Gateway - Pasarela</t>
  </si>
  <si>
    <t>gateway, pasarela, conversor protocolo, data gateway</t>
  </si>
  <si>
    <t>Gateway Modbus, Pasarela Profinet</t>
  </si>
  <si>
    <t>VPN Server</t>
  </si>
  <si>
    <t>VPN, red privada virtual, acceso remoto</t>
  </si>
  <si>
    <t>Servidor VPN, VPN industrial</t>
  </si>
  <si>
    <t>Field I/O - Entradas/Salidas</t>
  </si>
  <si>
    <t>I/O, entrada salida, módulo IO, field io</t>
  </si>
  <si>
    <t>Módulo I/O remoto, Field I/O</t>
  </si>
  <si>
    <t>🎯 REGLAS PARA TÉCNICAS MITRE (Top 20)</t>
  </si>
  <si>
    <t>Código Técnica</t>
  </si>
  <si>
    <t>MITM, man-in-the-middle, interceptación, intercepción red, ataque red</t>
  </si>
  <si>
    <t>modificar programa, código malicioso, lógica alterada, backdoor PLC</t>
  </si>
  <si>
    <t>Inhibit Response</t>
  </si>
  <si>
    <t>firmware, flash, actualización firmware, modificar firmware</t>
  </si>
  <si>
    <t>alarma, supresión alarma, ocultar alerta, deshabilitar notificación</t>
  </si>
  <si>
    <t>drive-by, exploit web, compromiso navegador, ataque navegador</t>
  </si>
  <si>
    <t>MEDIO</t>
  </si>
  <si>
    <t>exploit servidor, vulnerabilidad pública, aplicación expuesta, puerto abierto</t>
  </si>
  <si>
    <t>acceso remoto, VPN, RDP, SSH, servicio remoto</t>
  </si>
  <si>
    <t>credenciales fijas, contraseña hardcoded, password fijo, credencial embebida</t>
  </si>
  <si>
    <t>spearphishing, phishing, correo malicioso, adjunto malware</t>
  </si>
  <si>
    <t>cambio modo, modo operación, operating mode, modo PLC</t>
  </si>
  <si>
    <t>línea comandos, CLI, shell, consola, command line</t>
  </si>
  <si>
    <t>GUI, interfaz gráfica, HMI, panel operador</t>
  </si>
  <si>
    <t>denegación vista, pérdida visualización, HMI caído, sin monitoreo</t>
  </si>
  <si>
    <t>pérdida disponibilidad, servicio caído, downtime, no disponible</t>
  </si>
  <si>
    <t>denegación control, pérdida control, sin control proceso</t>
  </si>
  <si>
    <t>sniffing, captura red, wireshark, tráfico red, monitoreo red</t>
  </si>
  <si>
    <t>recopilación automática, colección datos, extracción datos</t>
  </si>
  <si>
    <t>modificar parámetro, cambiar setpoint, alterar variable, parámetro</t>
  </si>
  <si>
    <t>Impair Process</t>
  </si>
  <si>
    <t>Exploitation Remote Services</t>
  </si>
  <si>
    <t>explotación remota, exploit servicio, vulnerabilidad servicio</t>
  </si>
  <si>
    <t>cuenta válida, credencial comprometida, usuario legítimo</t>
  </si>
  <si>
    <t>📚 CÓMO USAR EL SISTEMA DE SUGERENCIAS AUTOMÁTICAS</t>
  </si>
  <si>
    <t>🎯 FUNCIONAMIENTO</t>
  </si>
  <si>
    <t>El sistema analiza automáticamente el texto que escribes en:</t>
  </si>
  <si>
    <t xml:space="preserve">  • Nombre del activo (en hoja Activos)</t>
  </si>
  <si>
    <t xml:space="preserve">  • Descripción del riesgo (en hoja Matriz_Riesgos)</t>
  </si>
  <si>
    <t>Y sugiere el código MITRE más apropiado basándose en palabras clave.</t>
  </si>
  <si>
    <t>📦 EN LA HOJA ACTIVOS</t>
  </si>
  <si>
    <t>PASO 1</t>
  </si>
  <si>
    <t>Escribe el nombre del activo (ej: "PLC Siemens S7-1200")</t>
  </si>
  <si>
    <t>PASO 2</t>
  </si>
  <si>
    <t>La columna "🤖 Sugerencia Auto Asset" mostrará: "→ A0003: PLC"</t>
  </si>
  <si>
    <t>PASO 3</t>
  </si>
  <si>
    <t>Si la sugerencia es correcta, copia ese código a la columna "Asset ICS MITRE"</t>
  </si>
  <si>
    <t>PASO 4</t>
  </si>
  <si>
    <t>Si dice "⚠️ Revisar manual", selecciona manualmente de la lista desplegable</t>
  </si>
  <si>
    <t>⚠️ EN LA HOJA MATRIZ_RIESGOS</t>
  </si>
  <si>
    <t>Escribe la descripción del riesgo (ej: "Ataque Man-in-the-Middle en red OT")</t>
  </si>
  <si>
    <t>La columna "🤖 Sugerencia Auto Técnica" mostrará: "→ T0830: MITM"</t>
  </si>
  <si>
    <t>Si es correcto, copia T0830 a la columna "Técnica MITRE"</t>
  </si>
  <si>
    <t>Puedes asignar múltiples técnicas MITRE a un mismo riesgo</t>
  </si>
  <si>
    <t>🔍 PALABRAS CLAVE RECONOCIDAS</t>
  </si>
  <si>
    <t>El sistema busca palabras como:</t>
  </si>
  <si>
    <t>Para Assets</t>
  </si>
  <si>
    <t>PLC, HMI, SCADA, RTU, Servidor, Router, Switch, PC, Workstation</t>
  </si>
  <si>
    <t>Para Técnicas</t>
  </si>
  <si>
    <t>MITM, Firmware, Modificar, Alarma, Credencial, Phishing, Exploit, VPN</t>
  </si>
  <si>
    <t>💡 MEJORES PRÁCTICAS</t>
  </si>
  <si>
    <t>1.</t>
  </si>
  <si>
    <t>Usa nombres descriptivos en tus activos (incluye marca, modelo, función)</t>
  </si>
  <si>
    <t>2.</t>
  </si>
  <si>
    <t>Las sugerencias son orientativas - siempre valida la correctitud</t>
  </si>
  <si>
    <t>3.</t>
  </si>
  <si>
    <t>Consulta hoja "MITRE_Reglas_Auto" para ver todas las palabras clave</t>
  </si>
  <si>
    <t>4.</t>
  </si>
  <si>
    <t>Consulta "MITRE_Ejemplos_Mapeo" para ver ejemplos prácticos</t>
  </si>
  <si>
    <t>5.</t>
  </si>
  <si>
    <t>Si la sugerencia no es correcta, selecciona manualmente de la lista</t>
  </si>
  <si>
    <t>📊 EJEMPLO COMPLETO</t>
  </si>
  <si>
    <t>Activo</t>
  </si>
  <si>
    <t>Escribes: "PLC Allen Bradley CompactLogix Línea 1"</t>
  </si>
  <si>
    <t>Sugerencia</t>
  </si>
  <si>
    <t>Sistema sugiere: "→ A0003: PLC" (por palabra "PLC")</t>
  </si>
  <si>
    <t>Acción</t>
  </si>
  <si>
    <t>Copias A0003 a columna "Asset ICS MITRE"</t>
  </si>
  <si>
    <t>Resultado</t>
  </si>
  <si>
    <t>✅ Activo clasificado correctamente</t>
  </si>
  <si>
    <t>Riesgo</t>
  </si>
  <si>
    <t>Escribes: "Interceptación de comunicaciones en protocolo Modbus sin cifrado"</t>
  </si>
  <si>
    <t>Sistema sugiere: "→ T0830: MITM" (por palabra "Interceptación")</t>
  </si>
  <si>
    <t>Copias T0830 a columna "Técnica MITRE"</t>
  </si>
  <si>
    <t>✅ Riesgo vinculado con técnica MITRE</t>
  </si>
  <si>
    <t>🎯 MAPEO INTELIGENTE AUTOMÁTICO MITRE ATT&amp;CK ICS</t>
  </si>
  <si>
    <t>Análisis automático basado en coincidencias semánticas - Generado: 12/11/2025 03:59</t>
  </si>
  <si>
    <t>📦 MAPEO DE ACTIVOS</t>
  </si>
  <si>
    <t>Asset ICS Sugerido</t>
  </si>
  <si>
    <t>Confianza %</t>
  </si>
  <si>
    <t>Técnica #3</t>
  </si>
  <si>
    <t>⚠️ MAPEO DE RIESGOS</t>
  </si>
  <si>
    <t>Táctica Principal</t>
  </si>
  <si>
    <t>📊 LEYENDA DE CONFIANZA</t>
  </si>
  <si>
    <t>70-100%: Alta confianza</t>
  </si>
  <si>
    <t>40-69%: Media confianza</t>
  </si>
  <si>
    <t>0-39%: Baja confianza - Requiere revisión</t>
  </si>
  <si>
    <t>📈 ESTADÍSTICAS DEL ANÁLISIS</t>
  </si>
  <si>
    <t>Activos analizados: 0</t>
  </si>
  <si>
    <t>Riesgos analizados: 0</t>
  </si>
  <si>
    <t>Amenazas analizadas: 0</t>
  </si>
  <si>
    <t>Mapeos alta confianza: 0</t>
  </si>
  <si>
    <t>CONTROL DE DOCUMENTOS DEL SGSI</t>
  </si>
  <si>
    <t>Código Doc</t>
  </si>
  <si>
    <t>Título</t>
  </si>
  <si>
    <t>Tipo</t>
  </si>
  <si>
    <t>Fecha Emisión</t>
  </si>
  <si>
    <t>Autor</t>
  </si>
  <si>
    <t>Aprobador</t>
  </si>
  <si>
    <t>Estado</t>
  </si>
  <si>
    <t>Cambios</t>
  </si>
  <si>
    <t>Próx. Revisión</t>
  </si>
  <si>
    <t>Ubicación</t>
  </si>
  <si>
    <t>DOC-SGSI-001</t>
  </si>
  <si>
    <t>Política General SGSI</t>
  </si>
  <si>
    <t>Política</t>
  </si>
  <si>
    <t>01/01/2025</t>
  </si>
  <si>
    <t>CISO</t>
  </si>
  <si>
    <t>CEO</t>
  </si>
  <si>
    <t>Vigente</t>
  </si>
  <si>
    <t>Actualización normativa</t>
  </si>
  <si>
    <t>01/01/2026</t>
  </si>
  <si>
    <t>SharePoint/Políticas</t>
  </si>
  <si>
    <t>DOC-PROC-001</t>
  </si>
  <si>
    <t>Procedimiento Backup</t>
  </si>
  <si>
    <t>Procedimiento</t>
  </si>
  <si>
    <t>1.5</t>
  </si>
  <si>
    <t>15/02/2025</t>
  </si>
  <si>
    <t>Admin TI</t>
  </si>
  <si>
    <t>Nuevas tecnologías</t>
  </si>
  <si>
    <t>15/08/2025</t>
  </si>
  <si>
    <t>SharePoint/Procedimientos</t>
  </si>
  <si>
    <t>SISTEMA DE GESTIÓN DE
SEGURIDAD DE LA INFORMACIÓN</t>
  </si>
  <si>
    <t>ISO/IEC 27001:2022</t>
  </si>
  <si>
    <t>Versión 4.0 - Sistema Completo</t>
  </si>
  <si>
    <t>[NOMBRE DE LA ORGANIZACIÓN]</t>
  </si>
  <si>
    <t>Fecha: 06 de Noviembre de 2025</t>
  </si>
  <si>
    <t>✨ CARACTERÍSTICAS DEL SISTEMA ✨</t>
  </si>
  <si>
    <t>✅ Cumplimiento total ISO 27001:2022</t>
  </si>
  <si>
    <t>✅ 93 controles del Anexo A documentados</t>
  </si>
  <si>
    <t>✅ 20+ macros automatizadas</t>
  </si>
  <si>
    <t>✅ Dashboard interactivo de métricas</t>
  </si>
  <si>
    <t>✅ Exportación profesional a PDF</t>
  </si>
  <si>
    <t>✅ Integración MITRE ATT&amp;CK ICS</t>
  </si>
  <si>
    <t>Documento Confidencial - Uso Interno</t>
  </si>
  <si>
    <t>METODOLOGÍA DE ANÁLISIS DE RIESGOS</t>
  </si>
  <si>
    <t>ESCALA DE PROBABILIDAD</t>
  </si>
  <si>
    <t>Nivel</t>
  </si>
  <si>
    <t>Frecuencia</t>
  </si>
  <si>
    <t>Valor</t>
  </si>
  <si>
    <t>Muy Alta</t>
  </si>
  <si>
    <t>Ocurre frecuentemente</t>
  </si>
  <si>
    <t>Más de 1 vez/mes</t>
  </si>
  <si>
    <t>5</t>
  </si>
  <si>
    <t>Alta</t>
  </si>
  <si>
    <t>Probable que ocurra</t>
  </si>
  <si>
    <t>1 vez cada 1-6 meses</t>
  </si>
  <si>
    <t>4</t>
  </si>
  <si>
    <t>Media</t>
  </si>
  <si>
    <t>Puede ocurrir</t>
  </si>
  <si>
    <t>1 vez cada 6-12 meses</t>
  </si>
  <si>
    <t>3</t>
  </si>
  <si>
    <t>Baja</t>
  </si>
  <si>
    <t>Poco probable</t>
  </si>
  <si>
    <t>1 vez cada 1-3 años</t>
  </si>
  <si>
    <t>2</t>
  </si>
  <si>
    <t>Muy Baja</t>
  </si>
  <si>
    <t>Muy improbable</t>
  </si>
  <si>
    <t>Menos de 1 vez cada 3 años</t>
  </si>
  <si>
    <t>1</t>
  </si>
  <si>
    <t>ESCALA DE IMPACTO</t>
  </si>
  <si>
    <t>Impacto Negocio</t>
  </si>
  <si>
    <t>Muy Alto</t>
  </si>
  <si>
    <t>Impacto catastrófico</t>
  </si>
  <si>
    <t>Pérdida &gt; 500K€, cierre negocio</t>
  </si>
  <si>
    <t>Alto</t>
  </si>
  <si>
    <t>Impacto grave</t>
  </si>
  <si>
    <t>Pérdida 100-500K€</t>
  </si>
  <si>
    <t>Medio</t>
  </si>
  <si>
    <t>Impacto moderado</t>
  </si>
  <si>
    <t>Pérdida 20-100K€</t>
  </si>
  <si>
    <t>Bajo</t>
  </si>
  <si>
    <t>Impacto menor</t>
  </si>
  <si>
    <t>Pérdida 5-20K€</t>
  </si>
  <si>
    <t>Muy Bajo</t>
  </si>
  <si>
    <t>Impacto insignificante</t>
  </si>
  <si>
    <t>Pérdida &lt; 5K€</t>
  </si>
  <si>
    <t>MATRIZ DE EVALUACIÓN: Riesgo = Probabilidad × Impacto</t>
  </si>
  <si>
    <t>STATEMENT OF APPLICABILITY (SOA)</t>
  </si>
  <si>
    <t>📋 Plantilla para: STATEMENT OF APPLICABILITY (SOA)</t>
  </si>
  <si>
    <t>Esta hoja debe personalizarse según las necesidades de la organización.</t>
  </si>
  <si>
    <t>PLAN DE AUDITORÍA INTERNA</t>
  </si>
  <si>
    <t>📋 Plantilla para: PLAN DE AUDITORÍA INTERNA</t>
  </si>
  <si>
    <t>REVISIÓN POR LA DIRECCIÓN</t>
  </si>
  <si>
    <t>📋 Plantilla para: REVISIÓN POR LA DIRECCIÓN</t>
  </si>
  <si>
    <t>PLAN DE PROYECTO SGSI</t>
  </si>
  <si>
    <t>📋 Plantilla para: PLAN DE PROYECTO SGSI</t>
  </si>
  <si>
    <t>DATOS DE LA ORGANIZACIÓN</t>
  </si>
  <si>
    <t>📋 INFORMACIÓN GENERAL</t>
  </si>
  <si>
    <t>Campo</t>
  </si>
  <si>
    <t>Razón Social:</t>
  </si>
  <si>
    <t>[Ingrese razón social]</t>
  </si>
  <si>
    <t>NIF/CIF:</t>
  </si>
  <si>
    <t>[Ingrese NIF]</t>
  </si>
  <si>
    <t>Dirección:</t>
  </si>
  <si>
    <t>[Ingrese dirección]</t>
  </si>
  <si>
    <t>Ciudad:</t>
  </si>
  <si>
    <t>[Ciudad]</t>
  </si>
  <si>
    <t>Código Postal:</t>
  </si>
  <si>
    <t>[CP]</t>
  </si>
  <si>
    <t>País:</t>
  </si>
  <si>
    <t>[País]</t>
  </si>
  <si>
    <t>Teléfono:</t>
  </si>
  <si>
    <t>[Teléfono]</t>
  </si>
  <si>
    <t>Email:</t>
  </si>
  <si>
    <t>[Email]</t>
  </si>
  <si>
    <t>Sitio Web:</t>
  </si>
  <si>
    <t>[www.example.com]</t>
  </si>
  <si>
    <t>👤 RESPONSABLE DEL SGSI</t>
  </si>
  <si>
    <t>Nombre:</t>
  </si>
  <si>
    <t>[Nombre completo]</t>
  </si>
  <si>
    <t>Cargo:</t>
  </si>
  <si>
    <t>[Cargo]</t>
  </si>
  <si>
    <t>🎯 ALCANCE DEL SGSI</t>
  </si>
  <si>
    <t>[Descripción del alcance del SGSI]
Ejemplo: "Aplica a todos los procesos de tecnología de la información que soportan las operaciones de la organización, incluyendo..."</t>
  </si>
  <si>
    <t>INVENTARIO DE ACTIVOS DE INFORMACIÓN</t>
  </si>
  <si>
    <t>ID</t>
  </si>
  <si>
    <t>Nombre</t>
  </si>
  <si>
    <t>Categoría</t>
  </si>
  <si>
    <t>Subcategoría</t>
  </si>
  <si>
    <t>Área</t>
  </si>
  <si>
    <t>Propietario</t>
  </si>
  <si>
    <t>Custodio</t>
  </si>
  <si>
    <t>Clase</t>
  </si>
  <si>
    <t>Subclase</t>
  </si>
  <si>
    <t>Confidencialidad</t>
  </si>
  <si>
    <t>Integridad</t>
  </si>
  <si>
    <t>Disponibilidad</t>
  </si>
  <si>
    <t>Valoración</t>
  </si>
  <si>
    <t>Criticidad</t>
  </si>
  <si>
    <t>Fecha Alta</t>
  </si>
  <si>
    <t>Usuario</t>
  </si>
  <si>
    <t>Codigo</t>
  </si>
  <si>
    <t>Categoria</t>
  </si>
  <si>
    <t>Ubicacion</t>
  </si>
  <si>
    <t>Responsable</t>
  </si>
  <si>
    <t>Hardware</t>
  </si>
  <si>
    <t>Servidor</t>
  </si>
  <si>
    <t>A</t>
  </si>
  <si>
    <t>Crítica</t>
  </si>
  <si>
    <t>06/11/2025</t>
  </si>
  <si>
    <t>Admin</t>
  </si>
  <si>
    <t>ACT-001</t>
  </si>
  <si>
    <t>HW-SRV-001</t>
  </si>
  <si>
    <t>Servidor Principal</t>
  </si>
  <si>
    <t>Datacenter A1</t>
  </si>
  <si>
    <t>IT Admin</t>
  </si>
  <si>
    <t>CRITICA</t>
  </si>
  <si>
    <t>Análisis automático basado en palabras clave</t>
  </si>
  <si>
    <t>ACT-002</t>
  </si>
  <si>
    <t>SW-ERP-001</t>
  </si>
  <si>
    <t>Sistema ERP SAP</t>
  </si>
  <si>
    <t>Software</t>
  </si>
  <si>
    <t>ERP</t>
  </si>
  <si>
    <t>IT Manager</t>
  </si>
  <si>
    <t>Aplicación</t>
  </si>
  <si>
    <t>🤖 Sugerencia Auto Asset</t>
  </si>
  <si>
    <t>ACT-003</t>
  </si>
  <si>
    <t>DATA-CLI-001</t>
  </si>
  <si>
    <t>BBDD Clientes</t>
  </si>
  <si>
    <t>Datos</t>
  </si>
  <si>
    <t>Informacion</t>
  </si>
  <si>
    <t>Servidor BD</t>
  </si>
  <si>
    <t>Data Manager</t>
  </si>
  <si>
    <t>Información</t>
  </si>
  <si>
    <t>ACT-2025-006</t>
  </si>
  <si>
    <t>DATA-CLI-002</t>
  </si>
  <si>
    <t>DATOS</t>
  </si>
  <si>
    <t>Data Manage</t>
  </si>
  <si>
    <t>Critica</t>
  </si>
  <si>
    <t>General</t>
  </si>
  <si>
    <t>david ñanculeo</t>
  </si>
  <si>
    <t>PLAN DE CONTINUIDAD DE NEGOCIO</t>
  </si>
  <si>
    <t>📋 Plantilla para: PLAN DE CONTINUIDAD DE NEGOCIO</t>
  </si>
  <si>
    <t>ANÁLISIS DE IMPACTO AL NEGOCIO (BIA)</t>
  </si>
  <si>
    <t>📋 Plantilla para: ANÁLISIS DE IMPACTO AL NEGOCIO (BIA)</t>
  </si>
  <si>
    <t>PLAN DE FORMACIÓN Y CONCIENCIACIÓN</t>
  </si>
  <si>
    <t>📋 Plantilla para: PLAN DE FORMACIÓN Y CONCIENCIACIÓN</t>
  </si>
  <si>
    <t>ACUERDO CONFIDENCIALIDAD - PROVEEDORES</t>
  </si>
  <si>
    <t>📋 Plantilla para: ACUERDO CONFIDENCIALIDAD - PROVEEDORES</t>
  </si>
  <si>
    <t>ACUERDO CONFIDENCIALIDAD - EMPLEADOS</t>
  </si>
  <si>
    <t>📋 Plantilla para: ACUERDO CONFIDENCIALIDAD - EMPLEADOS</t>
  </si>
  <si>
    <t>COMITÉ DE SEGURIDAD DE LA INFORMACIÓN</t>
  </si>
  <si>
    <t>📋 Plantilla para: COMITÉ DE SEGURIDAD DE LA INFORMACIÓN</t>
  </si>
  <si>
    <t>CONFIGURATION MANAGEMENT DATABASE</t>
  </si>
  <si>
    <t>CI ID</t>
  </si>
  <si>
    <t>Nombre CI</t>
  </si>
  <si>
    <t>Dependencias</t>
  </si>
  <si>
    <t>PROCEDIMIENTO DE HARDENING</t>
  </si>
  <si>
    <t>PLAN DIRECTOR DE CIBERSEGURIDAD</t>
  </si>
  <si>
    <t>PLAN DE PRUEBAS DE RECUPERACIÓN</t>
  </si>
  <si>
    <t>INFORMES DE RECUPERACIÓN</t>
  </si>
  <si>
    <t>MANTENIMIENTO DEL PLAN DRP</t>
  </si>
  <si>
    <t>DASHBOARD DE MÉTRICAS - SGSI</t>
  </si>
  <si>
    <t>📈 INDICADORES CLAVE (KPIs)</t>
  </si>
  <si>
    <t>Riesgos Identificados</t>
  </si>
  <si>
    <t>Riesgos Críticos</t>
  </si>
  <si>
    <t>Nivel de Cumplimiento</t>
  </si>
  <si>
    <t>0</t>
  </si>
  <si>
    <t>0%</t>
  </si>
  <si>
    <t>⚠️ DISTRIBUCIÓN DE RIESGOS</t>
  </si>
  <si>
    <t>🛡️ ESTADO DE TRATAMIENTOS</t>
  </si>
  <si>
    <t>Porcentaje</t>
  </si>
  <si>
    <t>Cantidad</t>
  </si>
  <si>
    <t>Progreso</t>
  </si>
  <si>
    <t>Crítico</t>
  </si>
  <si>
    <t>■ Alto</t>
  </si>
  <si>
    <t>Implementado</t>
  </si>
  <si>
    <t>En Progreso</t>
  </si>
  <si>
    <t>■ Medio</t>
  </si>
  <si>
    <t>Pendiente</t>
  </si>
  <si>
    <t>■ Bajo</t>
  </si>
  <si>
    <t>Cancelado</t>
  </si>
  <si>
    <t>MATRIZ DE RIESGOS - ISO 27001:2022</t>
  </si>
  <si>
    <t>🤖 Sugerencia Auto Técnica</t>
  </si>
  <si>
    <t>ID_Activo</t>
  </si>
  <si>
    <t>Amenaza</t>
  </si>
  <si>
    <t>Vulnerabilidad</t>
  </si>
  <si>
    <t>Probabilidad</t>
  </si>
  <si>
    <t>Impacto Conf.</t>
  </si>
  <si>
    <t>Impacto Integ.</t>
  </si>
  <si>
    <t>Impacto Disp.</t>
  </si>
  <si>
    <t>Impacto Total</t>
  </si>
  <si>
    <t>Nivel Riesgo Inherente</t>
  </si>
  <si>
    <t>Valoración Inherente</t>
  </si>
  <si>
    <t>Controles Existentes</t>
  </si>
  <si>
    <t>Eficacia Controles</t>
  </si>
  <si>
    <t>Probabilidad Residual</t>
  </si>
  <si>
    <t>Impacto Residual</t>
  </si>
  <si>
    <t>Nivel Riesgo Residual</t>
  </si>
  <si>
    <t>Valoración Residual</t>
  </si>
  <si>
    <t>Tratamiento</t>
  </si>
  <si>
    <t>Código MITRE</t>
  </si>
  <si>
    <t>RSG-001</t>
  </si>
  <si>
    <t>Fallo hardware</t>
  </si>
  <si>
    <t>Servidor antiguo</t>
  </si>
  <si>
    <t>CRITICO</t>
  </si>
  <si>
    <t>Identificado</t>
  </si>
  <si>
    <t>9</t>
  </si>
  <si>
    <t>Firewall, Autenticación</t>
  </si>
  <si>
    <t>70%</t>
  </si>
  <si>
    <t>Mitigar</t>
  </si>
  <si>
    <t>RSG-002</t>
  </si>
  <si>
    <t>Ransomware</t>
  </si>
  <si>
    <t>Sin backup</t>
  </si>
  <si>
    <t>RSG-003</t>
  </si>
  <si>
    <t>Fuga datos</t>
  </si>
  <si>
    <t>Sin cifrado</t>
  </si>
  <si>
    <t>En Tratamiento</t>
  </si>
  <si>
    <t>LEYENDA DE NIVELES</t>
  </si>
  <si>
    <t>Crítico (15-25):</t>
  </si>
  <si>
    <t>Alto (10-14):</t>
  </si>
  <si>
    <t>Medio (5-9):</t>
  </si>
  <si>
    <t>Bajo (1-4):</t>
  </si>
  <si>
    <t>ANÁLISIS DETALLADO DE RIESGOS</t>
  </si>
  <si>
    <t>🔥 MAPA DE CALOR DE RIESGOS</t>
  </si>
  <si>
    <t>PROBABILIDAD / IMPACTO</t>
  </si>
  <si>
    <t>Muy Bajo (1)</t>
  </si>
  <si>
    <t>Bajo (2)</t>
  </si>
  <si>
    <t>Medio (3)</t>
  </si>
  <si>
    <t>Alto (4)</t>
  </si>
  <si>
    <t>Muy Alto (5)</t>
  </si>
  <si>
    <t>Muy Alta (5)</t>
  </si>
  <si>
    <t>10</t>
  </si>
  <si>
    <t>15</t>
  </si>
  <si>
    <t>20</t>
  </si>
  <si>
    <t>25</t>
  </si>
  <si>
    <t>LEYENDA</t>
  </si>
  <si>
    <t>Alta (4)</t>
  </si>
  <si>
    <t>8</t>
  </si>
  <si>
    <t>12</t>
  </si>
  <si>
    <t>16</t>
  </si>
  <si>
    <t>Media (3)</t>
  </si>
  <si>
    <t>6</t>
  </si>
  <si>
    <t>Baja (2)</t>
  </si>
  <si>
    <t>Medio-Alto</t>
  </si>
  <si>
    <t>Muy Baja (1)</t>
  </si>
  <si>
    <t>📈 RESUMEN ESTADÍSTICO</t>
  </si>
  <si>
    <t>Total</t>
  </si>
  <si>
    <t>Críticos</t>
  </si>
  <si>
    <t>Altos</t>
  </si>
  <si>
    <t>Medios</t>
  </si>
  <si>
    <t>Bajos</t>
  </si>
  <si>
    <t>% Críticos</t>
  </si>
  <si>
    <t>% Altos</t>
  </si>
  <si>
    <t>Promedio</t>
  </si>
  <si>
    <t>Seguridad de Acceso</t>
  </si>
  <si>
    <t>Protección de Datos</t>
  </si>
  <si>
    <t>Continuidad de Negocio</t>
  </si>
  <si>
    <t>⚠️ TOP 10 RIESGOS CRÍTICOS</t>
  </si>
  <si>
    <t>#</t>
  </si>
  <si>
    <t>ID Riesgo</t>
  </si>
  <si>
    <t>PLAN DE TRATAMIENTO DE RIESGOS</t>
  </si>
  <si>
    <t>ID_Riesgo</t>
  </si>
  <si>
    <t>Medida</t>
  </si>
  <si>
    <t>Avance</t>
  </si>
  <si>
    <t>Presupuesto</t>
  </si>
  <si>
    <t>Fecha Inicio</t>
  </si>
  <si>
    <t>Fecha Límite</t>
  </si>
  <si>
    <t>Progreso %</t>
  </si>
  <si>
    <t>Costo Real</t>
  </si>
  <si>
    <t>Nivel Esperado</t>
  </si>
  <si>
    <t>Observaciones</t>
  </si>
  <si>
    <t>Mitigación MITRE</t>
  </si>
  <si>
    <t>TRT-001</t>
  </si>
  <si>
    <t>Renovar servidor</t>
  </si>
  <si>
    <t>01/11/2025</t>
  </si>
  <si>
    <t>31/12/2025</t>
  </si>
  <si>
    <t>45%</t>
  </si>
  <si>
    <t>5000€</t>
  </si>
  <si>
    <t>2250€</t>
  </si>
  <si>
    <t>En fase de pruebas</t>
  </si>
  <si>
    <t>TRT-002</t>
  </si>
  <si>
    <t>Backup offline</t>
  </si>
  <si>
    <t>TRT-003</t>
  </si>
  <si>
    <t>Cifrado TDE</t>
  </si>
  <si>
    <t>DPO</t>
  </si>
  <si>
    <t>Planificado</t>
  </si>
  <si>
    <t>📊 RESUMEN DEL PLAN DE TRATAMIENTO</t>
  </si>
  <si>
    <t>Total Tratamientos:</t>
  </si>
  <si>
    <t>Implementados:</t>
  </si>
  <si>
    <t>En Progreso:</t>
  </si>
  <si>
    <t>Pendientes:</t>
  </si>
  <si>
    <t>Cancelados:</t>
  </si>
  <si>
    <t>Presupuesto Total:</t>
  </si>
  <si>
    <t>0 €</t>
  </si>
  <si>
    <t>Gastado:</t>
  </si>
  <si>
    <t>Disponible:</t>
  </si>
  <si>
    <t>Progreso General:</t>
  </si>
  <si>
    <t>ESTADOS DE TRATAMIENTO</t>
  </si>
  <si>
    <t>OPCIONES DE TRATAMIENTO</t>
  </si>
  <si>
    <t>Evitar</t>
  </si>
  <si>
    <t>Transferir</t>
  </si>
  <si>
    <t>Aceptar</t>
  </si>
  <si>
    <t>TRT-2025-049</t>
  </si>
  <si>
    <t>CONFIGURACIÓN: CATEGORÍAS DE ACTIVOS</t>
  </si>
  <si>
    <t>📋 Define las categorías principales para clasificar los activos de información</t>
  </si>
  <si>
    <t>Subcategorías</t>
  </si>
  <si>
    <t>Equipos físicos y dispositivos</t>
  </si>
  <si>
    <t>Servidores, PCs, Portátiles, Móviles</t>
  </si>
  <si>
    <t>Aplicaciones y sistemas operativos</t>
  </si>
  <si>
    <t>Aplicaciones, SO, Herramientas</t>
  </si>
  <si>
    <t>Datos y documentación</t>
  </si>
  <si>
    <t>BBDD, Documentos, Registros</t>
  </si>
  <si>
    <t>Red</t>
  </si>
  <si>
    <t>Infraestructura de comunicaciones</t>
  </si>
  <si>
    <t>Routers, Switches, Firewalls</t>
  </si>
  <si>
    <t>Servicios</t>
  </si>
  <si>
    <t>Servicios IT y externos</t>
  </si>
  <si>
    <t>Cloud, Email, Backup</t>
  </si>
  <si>
    <t>Personal</t>
  </si>
  <si>
    <t>Recursos humanos</t>
  </si>
  <si>
    <t>Empleados, Consultores</t>
  </si>
  <si>
    <t>7</t>
  </si>
  <si>
    <t>Instalaciones</t>
  </si>
  <si>
    <t>Ubicaciones físicas</t>
  </si>
  <si>
    <t>CPD, Oficinas, Almacenes</t>
  </si>
  <si>
    <t>CONFIGURACIÓN: ÁREAS DE LA ORGANIZACIÓN</t>
  </si>
  <si>
    <t>🏢 Define las áreas funcionales de la organización</t>
  </si>
  <si>
    <t>TI</t>
  </si>
  <si>
    <t>Tecnologías de la Información</t>
  </si>
  <si>
    <t>CIO</t>
  </si>
  <si>
    <t>RRHH</t>
  </si>
  <si>
    <t>Recursos Humanos</t>
  </si>
  <si>
    <t>Director RRHH</t>
  </si>
  <si>
    <t>Finanzas</t>
  </si>
  <si>
    <t>Departamento Financiero</t>
  </si>
  <si>
    <t>CFO</t>
  </si>
  <si>
    <t>Operaciones</t>
  </si>
  <si>
    <t>Operaciones y Producción</t>
  </si>
  <si>
    <t>COO</t>
  </si>
  <si>
    <t>Comercial</t>
  </si>
  <si>
    <t>Ventas y Marketing</t>
  </si>
  <si>
    <t>Director Comercial</t>
  </si>
  <si>
    <t>Legal</t>
  </si>
  <si>
    <t>Departamento Legal</t>
  </si>
  <si>
    <t>Responsable Legal</t>
  </si>
  <si>
    <t>Seguridad</t>
  </si>
  <si>
    <t>Seguridad de la Información</t>
  </si>
  <si>
    <t>Dirección</t>
  </si>
  <si>
    <t>Dirección General</t>
  </si>
  <si>
    <t>CONFIGURACIÓN: CLASIFICACIÓN DE ACTIVOS</t>
  </si>
  <si>
    <t>🔐 Define los niveles de clasificación según criticidad y sensibilidad</t>
  </si>
  <si>
    <t>Color</t>
  </si>
  <si>
    <t>Esencial para el negocio, interrupción=impacto severo</t>
  </si>
  <si>
    <t>Rojo</t>
  </si>
  <si>
    <t>Muy importante, interrupción=impacto significativo</t>
  </si>
  <si>
    <t>Naranja</t>
  </si>
  <si>
    <t>Importante para operaciones normales</t>
  </si>
  <si>
    <t>Amarillo</t>
  </si>
  <si>
    <t>Necesario pero no crítico</t>
  </si>
  <si>
    <t>Azul</t>
  </si>
  <si>
    <t>Impacto mínimo si no disponible</t>
  </si>
  <si>
    <t>Verde</t>
  </si>
  <si>
    <t>CONTROLES ISO 27001:2022 - ANEXO A</t>
  </si>
  <si>
    <t>📋 93 Controles del Anexo A - ISO/IEC 27001:2022</t>
  </si>
  <si>
    <t>ID Control</t>
  </si>
  <si>
    <t>Evidencia</t>
  </si>
  <si>
    <t>A.5.1</t>
  </si>
  <si>
    <t>Políticas de seguridad</t>
  </si>
  <si>
    <t>Políticas para la seguridad de la información</t>
  </si>
  <si>
    <t>Organizacional</t>
  </si>
  <si>
    <t>Sí</t>
  </si>
  <si>
    <t>Política SGSI v2.0</t>
  </si>
  <si>
    <t>A.5.2</t>
  </si>
  <si>
    <t>Roles de seguridad</t>
  </si>
  <si>
    <t>Asignación de responsabilidades</t>
  </si>
  <si>
    <t>Matriz RACI</t>
  </si>
  <si>
    <t>A.5.3</t>
  </si>
  <si>
    <t>Segregación de funciones</t>
  </si>
  <si>
    <t>Separación de deberes conflictivos</t>
  </si>
  <si>
    <t>Parcial</t>
  </si>
  <si>
    <t>Doc. Roles</t>
  </si>
  <si>
    <t>A.5.7</t>
  </si>
  <si>
    <t>Inteligencia de amenazas</t>
  </si>
  <si>
    <t>Información sobre amenazas</t>
  </si>
  <si>
    <t>No</t>
  </si>
  <si>
    <t>N/A</t>
  </si>
  <si>
    <t>A.5.10</t>
  </si>
  <si>
    <t>Uso aceptable</t>
  </si>
  <si>
    <t>Políticas de uso aceptable de información</t>
  </si>
  <si>
    <t>Política AUP</t>
  </si>
  <si>
    <t>NOTA: Esta hoja debe contener los 93 controles del Anexo A de ISO 27001:2022</t>
  </si>
  <si>
    <t>Categorías: A.5 (37 controles) | A.6 (8) | A.7 (14) | A.8 (34)</t>
  </si>
  <si>
    <t>DECLARACIÓN DE APLICABILIDAD (SOA) - ISO 27001:2022</t>
  </si>
  <si>
    <t>Documento:</t>
  </si>
  <si>
    <t>Statement of Applicability (SOA)</t>
  </si>
  <si>
    <t>Versión:</t>
  </si>
  <si>
    <t>Fecha:</t>
  </si>
  <si>
    <t>Responsable:</t>
  </si>
  <si>
    <t>CONTROLES DEL ANEXO A</t>
  </si>
  <si>
    <t>Control</t>
  </si>
  <si>
    <t>¿Aplicable?</t>
  </si>
  <si>
    <t>Justificación</t>
  </si>
  <si>
    <t>¿Implementado?</t>
  </si>
  <si>
    <t>Método Implementación</t>
  </si>
  <si>
    <t>Referencia</t>
  </si>
  <si>
    <t>Requerido por normativa y negocio</t>
  </si>
  <si>
    <t>Política documentada y aprobada</t>
  </si>
  <si>
    <t>POL-SGSI-001</t>
  </si>
  <si>
    <t>Necesario para gestión del SGSI</t>
  </si>
  <si>
    <t>Matriz RACI + Descripciones</t>
  </si>
  <si>
    <t>DOC-ROLES-001</t>
  </si>
  <si>
    <t>Políticas de uso aceptable</t>
  </si>
  <si>
    <t>Protección de activos de información</t>
  </si>
  <si>
    <t>Política AUP comunicada</t>
  </si>
  <si>
    <t>POL-AUP-001</t>
  </si>
  <si>
    <t>RESUMEN DE APLICABILIDAD</t>
  </si>
  <si>
    <t>Total controles Anexo A:</t>
  </si>
  <si>
    <t>93</t>
  </si>
  <si>
    <t>Controles aplicables:</t>
  </si>
  <si>
    <t>Controles no aplicables:</t>
  </si>
  <si>
    <t>Controles implementados:</t>
  </si>
  <si>
    <t>Porcentaje implementación:</t>
  </si>
  <si>
    <t>INVENTARIO DE AMENAZAS</t>
  </si>
  <si>
    <t>⚠️ Catálogo de amenazas potenciales a la seguridad de la información</t>
  </si>
  <si>
    <t>Origen</t>
  </si>
  <si>
    <t>MITRE ATT&amp;CK</t>
  </si>
  <si>
    <t>AM-001</t>
  </si>
  <si>
    <t>Malware</t>
  </si>
  <si>
    <t>Software malicioso (virus, ransomware, troyanos)</t>
  </si>
  <si>
    <t>Técnica</t>
  </si>
  <si>
    <t>Externo</t>
  </si>
  <si>
    <t>T1486</t>
  </si>
  <si>
    <t>AM-002</t>
  </si>
  <si>
    <t>Phishing</t>
  </si>
  <si>
    <t>Correos fraudulentos para robar credenciales</t>
  </si>
  <si>
    <t>T1566</t>
  </si>
  <si>
    <t>AM-003</t>
  </si>
  <si>
    <t>DDoS</t>
  </si>
  <si>
    <t>Ataque de denegación de servicio distribuido</t>
  </si>
  <si>
    <t>T1498</t>
  </si>
  <si>
    <t>AM-004</t>
  </si>
  <si>
    <t>Acceso no autorizado</t>
  </si>
  <si>
    <t>Intrusión por credenciales comprometidas</t>
  </si>
  <si>
    <t>Externo/Interno</t>
  </si>
  <si>
    <t>T1078</t>
  </si>
  <si>
    <t>AM-005</t>
  </si>
  <si>
    <t>Fuga de información</t>
  </si>
  <si>
    <t>Divulgación no autorizada de datos sensibles</t>
  </si>
  <si>
    <t>Humana</t>
  </si>
  <si>
    <t>Interno</t>
  </si>
  <si>
    <t>T1567</t>
  </si>
  <si>
    <t>AM-006</t>
  </si>
  <si>
    <t>Fallo eléctrico</t>
  </si>
  <si>
    <t>Corte de suministro eléctrico</t>
  </si>
  <si>
    <t>Natural</t>
  </si>
  <si>
    <t>Ambiental</t>
  </si>
  <si>
    <t>AM-007</t>
  </si>
  <si>
    <t>Incendio</t>
  </si>
  <si>
    <t>Fuego en instalaciones</t>
  </si>
  <si>
    <t>AM-008</t>
  </si>
  <si>
    <t>Error humano</t>
  </si>
  <si>
    <t>Eliminación o modificación accidental de datos</t>
  </si>
  <si>
    <t>TIPOS DE AMENAZAS</t>
  </si>
  <si>
    <t>Ataques cibernéticos, exploits, malware</t>
  </si>
  <si>
    <t>Errores, negligencia, acciones maliciosas internas</t>
  </si>
  <si>
    <t>Desastres naturales, fallos ambientales</t>
  </si>
  <si>
    <t>INVENTARIO DE VULNERABILIDADES</t>
  </si>
  <si>
    <t>ID Vuln.</t>
  </si>
  <si>
    <t>Activo Afectado</t>
  </si>
  <si>
    <t>Severidad</t>
  </si>
  <si>
    <t>CVE/CWE</t>
  </si>
  <si>
    <t>Fecha Detección</t>
  </si>
  <si>
    <t>Fecha Resolución</t>
  </si>
  <si>
    <t>Acción Correctiva</t>
  </si>
  <si>
    <t>VULN-001</t>
  </si>
  <si>
    <t>SQL Injection</t>
  </si>
  <si>
    <t>Vulnerabilidad de inyección SQL en formulario</t>
  </si>
  <si>
    <t>App Web</t>
  </si>
  <si>
    <t>CWE-89</t>
  </si>
  <si>
    <t>Dev Team</t>
  </si>
  <si>
    <t>Parametrización de consultas</t>
  </si>
  <si>
    <t>VULN-002</t>
  </si>
  <si>
    <t>Contraseñas débiles</t>
  </si>
  <si>
    <t>Política de contraseñas no reforzada</t>
  </si>
  <si>
    <t>Active Directory</t>
  </si>
  <si>
    <t>Configuración</t>
  </si>
  <si>
    <t>CWE-521</t>
  </si>
  <si>
    <t>En Revisión</t>
  </si>
  <si>
    <t>28/10/2025</t>
  </si>
  <si>
    <t>Implementar política GPO</t>
  </si>
  <si>
    <t>GESTIÓN DE INCIDENTES DE SEGURIDAD</t>
  </si>
  <si>
    <t>ID Incidente</t>
  </si>
  <si>
    <t>Fecha/Hora</t>
  </si>
  <si>
    <t>Activos Afectados</t>
  </si>
  <si>
    <t>Detectado Por</t>
  </si>
  <si>
    <t>Asignado A</t>
  </si>
  <si>
    <t>Tiempo Resolución</t>
  </si>
  <si>
    <t>Causa Raíz</t>
  </si>
  <si>
    <t>Acciones Tomadas</t>
  </si>
  <si>
    <t>Lecciones Aprendidas</t>
  </si>
  <si>
    <t>INC-2025-001</t>
  </si>
  <si>
    <t>05/11/2025 14:30</t>
  </si>
  <si>
    <t>Intento de phishing</t>
  </si>
  <si>
    <t>Email sospechoso reportado por usuario</t>
  </si>
  <si>
    <t>Correo electrónico</t>
  </si>
  <si>
    <t>Usuario RRHH</t>
  </si>
  <si>
    <t>Cerrado</t>
  </si>
  <si>
    <t>Equipo Seguridad</t>
  </si>
  <si>
    <t>05/11/2025 16:00</t>
  </si>
  <si>
    <t>1.5 horas</t>
  </si>
  <si>
    <t>Campaña externa</t>
  </si>
  <si>
    <t>Bloqueado remitente, formación usuario</t>
  </si>
  <si>
    <t>Reforzar formación anti-phishing</t>
  </si>
  <si>
    <t>POLÍTICAS DE SEGURIDAD DE LA INFORMACIÓN</t>
  </si>
  <si>
    <t>Título Política</t>
  </si>
  <si>
    <t>Fecha Aprobación</t>
  </si>
  <si>
    <t>Aprobado Por</t>
  </si>
  <si>
    <t>Próxima Revisión</t>
  </si>
  <si>
    <t>Ubicación Documento</t>
  </si>
  <si>
    <t>Control ISO</t>
  </si>
  <si>
    <t>Política General de Seguridad</t>
  </si>
  <si>
    <t>Política marco del SGSI</t>
  </si>
  <si>
    <t>POL-ACC-001</t>
  </si>
  <si>
    <t>Control de Acceso</t>
  </si>
  <si>
    <t>Gestión de accesos y privilegios</t>
  </si>
  <si>
    <t>15/03/2025</t>
  </si>
  <si>
    <t>15/03/2026</t>
  </si>
  <si>
    <t>A.5.15</t>
  </si>
  <si>
    <t>Uso Aceptable</t>
  </si>
  <si>
    <t>Uso apropiado de recursos IT</t>
  </si>
  <si>
    <t>20/02/2025</t>
  </si>
  <si>
    <t>20/02/2026</t>
  </si>
  <si>
    <t>POL-CONT-001</t>
  </si>
  <si>
    <t>Gestión de continuidad</t>
  </si>
  <si>
    <t>10/04/2025</t>
  </si>
  <si>
    <t>10/04/2026</t>
  </si>
  <si>
    <t>A.5.29</t>
  </si>
  <si>
    <t>POL-INC-001</t>
  </si>
  <si>
    <t>Gestión de Incidentes</t>
  </si>
  <si>
    <t>Respuesta a incidentes de seguridad</t>
  </si>
  <si>
    <t>05/05/2025</t>
  </si>
  <si>
    <t>05/05/2026</t>
  </si>
  <si>
    <t>A.5.24</t>
  </si>
  <si>
    <t>PROCEDIMIENTOS DE SEGURIDAD</t>
  </si>
  <si>
    <t>Título Procedimiento</t>
  </si>
  <si>
    <t>Fecha Creación</t>
  </si>
  <si>
    <t>Relacionado Con</t>
  </si>
  <si>
    <t>PROC-ACC-001</t>
  </si>
  <si>
    <t>Alta de Usuario</t>
  </si>
  <si>
    <t>Creación de cuentas de usuario</t>
  </si>
  <si>
    <t>01/02/2025</t>
  </si>
  <si>
    <t>PROC-ACC-002</t>
  </si>
  <si>
    <t>Baja de Usuario</t>
  </si>
  <si>
    <t>Eliminación de cuentas y accesos</t>
  </si>
  <si>
    <t>PROC-BACK-001</t>
  </si>
  <si>
    <t>Backup Diario</t>
  </si>
  <si>
    <t>Copias de seguridad automáticas</t>
  </si>
  <si>
    <t>15/01/2025</t>
  </si>
  <si>
    <t>Admin Sistemas</t>
  </si>
  <si>
    <t>PROC-INC-001</t>
  </si>
  <si>
    <t>Respuesta a Incidentes</t>
  </si>
  <si>
    <t>Gestión y respuesta ante incidentes</t>
  </si>
  <si>
    <t>20/03/2025</t>
  </si>
  <si>
    <t>PROC-PAR-001</t>
  </si>
  <si>
    <t>Instalación de Parches</t>
  </si>
  <si>
    <t>Actualización de sistemas</t>
  </si>
  <si>
    <t>10/02/2025</t>
  </si>
  <si>
    <t>AUDITORÍAS INTERNAS Y EXTERNAS</t>
  </si>
  <si>
    <t>ID Auditoría</t>
  </si>
  <si>
    <t>Fecha</t>
  </si>
  <si>
    <t>Alcance</t>
  </si>
  <si>
    <t>Auditor</t>
  </si>
  <si>
    <t>Hallazgos</t>
  </si>
  <si>
    <t>No Conformidades</t>
  </si>
  <si>
    <t>Informe</t>
  </si>
  <si>
    <t>Fecha Cierre</t>
  </si>
  <si>
    <t>AUD-2025-001</t>
  </si>
  <si>
    <t>Interna</t>
  </si>
  <si>
    <t>Controles A.5 y A.8</t>
  </si>
  <si>
    <t>Auditor Interno</t>
  </si>
  <si>
    <t>Completada</t>
  </si>
  <si>
    <t>INF-AUD-001.pdf</t>
  </si>
  <si>
    <t>30/03/2025</t>
  </si>
  <si>
    <t>Conforme</t>
  </si>
  <si>
    <t>AUD-2024-004</t>
  </si>
  <si>
    <t>20/12/2024</t>
  </si>
  <si>
    <t>Externa</t>
  </si>
  <si>
    <t>Certificación ISO 27001</t>
  </si>
  <si>
    <t>Bureau Veritas</t>
  </si>
  <si>
    <t>Cerrada</t>
  </si>
  <si>
    <t>INF-CERT-2024.pdf</t>
  </si>
  <si>
    <t>10/01/2025</t>
  </si>
  <si>
    <t>Certificado</t>
  </si>
  <si>
    <t>AUD-2025-002</t>
  </si>
  <si>
    <t>15/06/2025</t>
  </si>
  <si>
    <t>Planificada</t>
  </si>
  <si>
    <t>REGISTRO DE FORMACIÓN Y CONCIENCIACIÓN</t>
  </si>
  <si>
    <t>ID Sesión</t>
  </si>
  <si>
    <t>Curso/Tema</t>
  </si>
  <si>
    <t>Instructor</t>
  </si>
  <si>
    <t>Duración (h)</t>
  </si>
  <si>
    <t>Asistentes</t>
  </si>
  <si>
    <t>Departamento</t>
  </si>
  <si>
    <t>Evaluación</t>
  </si>
  <si>
    <t>Material</t>
  </si>
  <si>
    <t>FORM-2025-001</t>
  </si>
  <si>
    <t>Concienciación Seguridad</t>
  </si>
  <si>
    <t>45</t>
  </si>
  <si>
    <t>Todos</t>
  </si>
  <si>
    <t>Obligatoria</t>
  </si>
  <si>
    <t>85%</t>
  </si>
  <si>
    <t>PPT + Video</t>
  </si>
  <si>
    <t>FORM-2025-002</t>
  </si>
  <si>
    <t>Phishing y Ingeniería Social</t>
  </si>
  <si>
    <t>Consultor Externo</t>
  </si>
  <si>
    <t>30</t>
  </si>
  <si>
    <t>Especializada</t>
  </si>
  <si>
    <t>92%</t>
  </si>
  <si>
    <t>Manual + Test</t>
  </si>
  <si>
    <t>FORM-2025-003</t>
  </si>
  <si>
    <t>10/03/2025</t>
  </si>
  <si>
    <t>ISO 27001:2022 Novedades</t>
  </si>
  <si>
    <t>Auditor Lead</t>
  </si>
  <si>
    <t>95%</t>
  </si>
  <si>
    <t>Documentación</t>
  </si>
  <si>
    <t>CLASIFICACIÓN DE INCIDENTES DE SEGURIDAD</t>
  </si>
  <si>
    <t>🔖 Catálogo de tipos y categorías de incidentes según ISO 27035</t>
  </si>
  <si>
    <t>Tipo de Incidente</t>
  </si>
  <si>
    <t>Severidad Base</t>
  </si>
  <si>
    <t>Tiempo Respuesta</t>
  </si>
  <si>
    <t>Escalamiento</t>
  </si>
  <si>
    <t>INC-001</t>
  </si>
  <si>
    <t>Infección por malware</t>
  </si>
  <si>
    <t>Virus, ransomware, troyanos, spyware</t>
  </si>
  <si>
    <t>1 hora</t>
  </si>
  <si>
    <t>Ransomware, cryptolocker</t>
  </si>
  <si>
    <t>INC-002</t>
  </si>
  <si>
    <t>Ataque de phishing</t>
  </si>
  <si>
    <t>Correos o mensajes fraudulentos</t>
  </si>
  <si>
    <t>2 horas</t>
  </si>
  <si>
    <t>Seguridad TI</t>
  </si>
  <si>
    <t>Email falso CEO, spear phishing</t>
  </si>
  <si>
    <t>INC-003</t>
  </si>
  <si>
    <t>Intrusión de sistemas</t>
  </si>
  <si>
    <t>Acceso sin autorización a sistemas/datos</t>
  </si>
  <si>
    <t>30 min</t>
  </si>
  <si>
    <t>CISO + CEO</t>
  </si>
  <si>
    <t>Brute force, credenciales robadas</t>
  </si>
  <si>
    <t>INC-004</t>
  </si>
  <si>
    <t>Denegación de servicio</t>
  </si>
  <si>
    <t>DDoS/DoS</t>
  </si>
  <si>
    <t>Interrupción de disponibilidad de servicios</t>
  </si>
  <si>
    <t>DDoS web, saturación red</t>
  </si>
  <si>
    <t>INC-005</t>
  </si>
  <si>
    <t>Data breach</t>
  </si>
  <si>
    <t>Pérdida o robo de información confidencial</t>
  </si>
  <si>
    <t>15 min</t>
  </si>
  <si>
    <t>CISO + CEO + Legal</t>
  </si>
  <si>
    <t>USB perdido, email erróneo</t>
  </si>
  <si>
    <t>INC-006</t>
  </si>
  <si>
    <t>Vulnerabilidad crítica</t>
  </si>
  <si>
    <t>Fallo de seguridad explotable</t>
  </si>
  <si>
    <t>4 horas</t>
  </si>
  <si>
    <t>Zero-day, CVE crítico</t>
  </si>
  <si>
    <t>INC-007</t>
  </si>
  <si>
    <t>Configuración incorrecta</t>
  </si>
  <si>
    <t>Error en configuración o gestión</t>
  </si>
  <si>
    <t>Permisos incorrectos, borrado</t>
  </si>
  <si>
    <t>INC-008</t>
  </si>
  <si>
    <t>Fraude</t>
  </si>
  <si>
    <t>Actividad fraudulenta</t>
  </si>
  <si>
    <t>Uso indebido de recursos o información</t>
  </si>
  <si>
    <t>CISO + Legal</t>
  </si>
  <si>
    <t>BEC, fraude CEO</t>
  </si>
  <si>
    <t>INC-009</t>
  </si>
  <si>
    <t>Ingeniería social</t>
  </si>
  <si>
    <t>Manipulación psicológica</t>
  </si>
  <si>
    <t>Engaño para obtener información</t>
  </si>
  <si>
    <t>Pretexting, baiting</t>
  </si>
  <si>
    <t>INC-010</t>
  </si>
  <si>
    <t>Físico</t>
  </si>
  <si>
    <t>Incidente físico</t>
  </si>
  <si>
    <t>Acceso físico no autorizado</t>
  </si>
  <si>
    <t>Seguridad Física</t>
  </si>
  <si>
    <t>Robo equipo, entrada CPD</t>
  </si>
  <si>
    <t>INC-011</t>
  </si>
  <si>
    <t>Pérdida de servicio</t>
  </si>
  <si>
    <t>Interrupción operativa</t>
  </si>
  <si>
    <t>Caída de sistemas críticos</t>
  </si>
  <si>
    <t>Servidor caído, red fuera</t>
  </si>
  <si>
    <t>INC-012</t>
  </si>
  <si>
    <t>Incumplimiento</t>
  </si>
  <si>
    <t>Violación normativa</t>
  </si>
  <si>
    <t>Incumplimiento de política o norma</t>
  </si>
  <si>
    <t>8 horas</t>
  </si>
  <si>
    <t>Compliance</t>
  </si>
  <si>
    <t>GDPR, PCI-DSS</t>
  </si>
  <si>
    <t>📊 MATRIZ DE SEVERIDAD DE INCIDENTES</t>
  </si>
  <si>
    <t>Notificación</t>
  </si>
  <si>
    <t>Alto impacto negocio, datos críticos</t>
  </si>
  <si>
    <t>15-30 min</t>
  </si>
  <si>
    <t>Inmediata</t>
  </si>
  <si>
    <t>Impacto significativo, servicio afectado</t>
  </si>
  <si>
    <t>1-2 horas</t>
  </si>
  <si>
    <t>CISO + Gerencia</t>
  </si>
  <si>
    <t>&lt; 1 hora</t>
  </si>
  <si>
    <t>Impacto moderado, servicio degradado</t>
  </si>
  <si>
    <t>2-4 horas</t>
  </si>
  <si>
    <t>Responsable TI</t>
  </si>
  <si>
    <t>&lt; 4 horas</t>
  </si>
  <si>
    <t>Impacto menor, no afecta operaciones</t>
  </si>
  <si>
    <t>8-24 horas</t>
  </si>
  <si>
    <t>Equipo técnico</t>
  </si>
  <si>
    <t>&lt; 24 horas</t>
  </si>
  <si>
    <t>REGISTRO DE EVENTOS DE SEGURIDAD</t>
  </si>
  <si>
    <t>ID Evento</t>
  </si>
  <si>
    <t>Tipo Evento</t>
  </si>
  <si>
    <t>Usuario/Sistema</t>
  </si>
  <si>
    <t>Requiere Acción</t>
  </si>
  <si>
    <t>EVT-001</t>
  </si>
  <si>
    <t>06/11/2025 10:15</t>
  </si>
  <si>
    <t>Login fallido</t>
  </si>
  <si>
    <t>Firewall</t>
  </si>
  <si>
    <t>usuario@empresa.com</t>
  </si>
  <si>
    <t>5 intentos fallidos de login</t>
  </si>
  <si>
    <t>Revisado</t>
  </si>
  <si>
    <t>Usuario bloqueado 30min</t>
  </si>
  <si>
    <t>EVT-002</t>
  </si>
  <si>
    <t>06/11/2025 14:30</t>
  </si>
  <si>
    <t>Cambio permisos</t>
  </si>
  <si>
    <t>admin_ti</t>
  </si>
  <si>
    <t>Elevación privilegios usuario</t>
  </si>
  <si>
    <t>En revisión</t>
  </si>
  <si>
    <t>Verificar autorización</t>
  </si>
  <si>
    <t>INSTRUCCIONES DE USO - SGSI v4.0</t>
  </si>
  <si>
    <t>📋 BIENVENIDO AL SGSI v4.0</t>
  </si>
  <si>
    <t>1. ESTRUCTURA DEL SISTEMA</t>
  </si>
  <si>
    <t>Este Excel contiene 34 hojas organizadas en secciones:</t>
  </si>
  <si>
    <t xml:space="preserve">  • Documentación: Control_Documentos, Políticas, Procedimientos</t>
  </si>
  <si>
    <t xml:space="preserve">  • Gestión de Riesgos: Matriz_Riesgos, Análisis, Plan_Tratamiento</t>
  </si>
  <si>
    <t xml:space="preserve">  • Incidentes: Gestión_Incidentes, Clasificación</t>
  </si>
  <si>
    <t xml:space="preserve">  • Configuración: Categorías, Áreas, Clases</t>
  </si>
  <si>
    <t xml:space="preserve">  • ISO 27001: Controles, SOA, Auditorías</t>
  </si>
  <si>
    <t>2. CÓMO EMPEZAR</t>
  </si>
  <si>
    <t xml:space="preserve">  1) Ir a "Datos_Organizacion" y completar información de la empresa</t>
  </si>
  <si>
    <t xml:space="preserve">  2) Revisar y personalizar las hojas de Configuración</t>
  </si>
  <si>
    <t xml:space="preserve">  3) Agregar activos en la hoja "Activos"</t>
  </si>
  <si>
    <t xml:space="preserve">  4) Identificar riesgos en "Matriz_Riesgos"</t>
  </si>
  <si>
    <t xml:space="preserve">  5) Crear tratamientos en "Plan_Tratamiento"</t>
  </si>
  <si>
    <t>3. MACROS DISPONIBLES (20)</t>
  </si>
  <si>
    <t>Alt+F11 para abrir VBA y ver todas las macros:</t>
  </si>
  <si>
    <t xml:space="preserve">  • NuevoActivo() - Agregar activo al inventario</t>
  </si>
  <si>
    <t xml:space="preserve">  • NuevoRiesgo() - Registrar nuevo riesgo</t>
  </si>
  <si>
    <t xml:space="preserve">  • NuevoTratamiento() - Crear plan de tratamiento</t>
  </si>
  <si>
    <t xml:space="preserve">  • ExportarReporteCompleto() - Exportar a PDF 7 hojas</t>
  </si>
  <si>
    <t xml:space="preserve">  • ActualizarDashboard() - Refrescar métricas</t>
  </si>
  <si>
    <t xml:space="preserve">  • OptimizarTodasLasHojasParaImpresion() - Formato profesional</t>
  </si>
  <si>
    <t>4. EXPORTACIÓN A PDF</t>
  </si>
  <si>
    <t>Usa los botones en Panel_Control o ejecuta las macros:</t>
  </si>
  <si>
    <t xml:space="preserve">  • ExportarReporteCompleto() - Reporte de 7 hojas</t>
  </si>
  <si>
    <t xml:space="preserve">  • ExportarActivosPDF() - Solo inventario de activos</t>
  </si>
  <si>
    <t>5. PANEL DE CONTROL</t>
  </si>
  <si>
    <t>La hoja "Panel_Control" contiene 21 botones para:</t>
  </si>
  <si>
    <t xml:space="preserve">  • Gestión rápida de activos, riesgos y tratamientos</t>
  </si>
  <si>
    <t xml:space="preserve">  • Navegación entre hojas principales</t>
  </si>
  <si>
    <t xml:space="preserve">  • Exportación de reportes</t>
  </si>
  <si>
    <t xml:space="preserve">  • Utilidades (Dashboard, Optimización, Validación)</t>
  </si>
  <si>
    <t>6. CUMPLIMIENTO ISO 27001:2022</t>
  </si>
  <si>
    <t>Hojas clave para certificación:</t>
  </si>
  <si>
    <t xml:space="preserve">  • SOA (Statement of Applicability)</t>
  </si>
  <si>
    <t xml:space="preserve">  • Controles_ISO27001 (93 controles Anexo A)</t>
  </si>
  <si>
    <t xml:space="preserve">  • Declaracion_Aplicabilidad</t>
  </si>
  <si>
    <t xml:space="preserve">  • Auditorias (registro de auditorías internas/externas)</t>
  </si>
  <si>
    <t>PLAN DE CONTINGENCIA Y CONTINUIDAD</t>
  </si>
  <si>
    <t>ID Plan</t>
  </si>
  <si>
    <t>Escenario</t>
  </si>
  <si>
    <t>RTO</t>
  </si>
  <si>
    <t>RPO</t>
  </si>
  <si>
    <t>Acciones Inmediatas</t>
  </si>
  <si>
    <t>Recursos Necesarios</t>
  </si>
  <si>
    <t>CONT-001</t>
  </si>
  <si>
    <t>Caída servidor principal</t>
  </si>
  <si>
    <t>Servidor de aplicaciones no disponible</t>
  </si>
  <si>
    <t>Activar servidor backup, restaurar servicios</t>
  </si>
  <si>
    <t>Servidor DR, equipo técnico</t>
  </si>
  <si>
    <t>CONT-002</t>
  </si>
  <si>
    <t>Ataque de cifrado de datos</t>
  </si>
  <si>
    <t>Aislar sistemas, activar backups</t>
  </si>
  <si>
    <t>Backups offline, forense</t>
  </si>
  <si>
    <t>CONT-003</t>
  </si>
  <si>
    <t>Incendio CPD</t>
  </si>
  <si>
    <t>Fuego en centro de datos</t>
  </si>
  <si>
    <t>Muy baja</t>
  </si>
  <si>
    <t>24 horas</t>
  </si>
  <si>
    <t>Evacuar, activar sitio alterno</t>
  </si>
  <si>
    <t>CPD alterno, seguros</t>
  </si>
  <si>
    <t>RTO = Recovery Time Objective (Tiempo objetivo de recuperación)</t>
  </si>
  <si>
    <t>RPO = Recovery Point Objective (Punto objetivo de recuperación)</t>
  </si>
  <si>
    <t>MÉTRICAS E INDICADORES (KPIs)</t>
  </si>
  <si>
    <t>ID KPI</t>
  </si>
  <si>
    <t>Nombre KPI</t>
  </si>
  <si>
    <t>Fórmula</t>
  </si>
  <si>
    <t>Objetivo</t>
  </si>
  <si>
    <t>Actual</t>
  </si>
  <si>
    <t>Última Medición</t>
  </si>
  <si>
    <t>KPI-001</t>
  </si>
  <si>
    <t>Tiempo medio resolución incidentes</t>
  </si>
  <si>
    <t>Tiempo promedio desde detección hasta cierre</t>
  </si>
  <si>
    <t>Suma tiempos / Total incidentes</t>
  </si>
  <si>
    <t>Mensual</t>
  </si>
  <si>
    <t>&lt; 24h</t>
  </si>
  <si>
    <t>18h</t>
  </si>
  <si>
    <t>✅ OK</t>
  </si>
  <si>
    <t>KPI-002</t>
  </si>
  <si>
    <t>Incidentes críticos</t>
  </si>
  <si>
    <t>Número de incidentes de severidad crítica</t>
  </si>
  <si>
    <t>Count(Severidad=Crítica)</t>
  </si>
  <si>
    <t>&lt; 3</t>
  </si>
  <si>
    <t>KPI-003</t>
  </si>
  <si>
    <t>Vulnerabilidades sin parchear</t>
  </si>
  <si>
    <t>Vulnerabilidades críticas pendientes</t>
  </si>
  <si>
    <t>Count(Estado=Abierta AND Sev=Crítica)</t>
  </si>
  <si>
    <t>Semanal</t>
  </si>
  <si>
    <t>⚠️ Riesgo</t>
  </si>
  <si>
    <t>05/11/2025</t>
  </si>
  <si>
    <t>KPI-004</t>
  </si>
  <si>
    <t>Cumplimiento controles ISO</t>
  </si>
  <si>
    <t>Porcentaje de controles implementados</t>
  </si>
  <si>
    <t>(Implementados / Total) * 100</t>
  </si>
  <si>
    <t>Trimestral</t>
  </si>
  <si>
    <t>&gt; 90%</t>
  </si>
  <si>
    <t>01/10/2025</t>
  </si>
  <si>
    <t>KPI-005</t>
  </si>
  <si>
    <t>Empleados formados</t>
  </si>
  <si>
    <t>Porcentaje con formación actualizada</t>
  </si>
  <si>
    <t>(Formados / Total) * 100</t>
  </si>
  <si>
    <t>Semestral</t>
  </si>
  <si>
    <t>&gt; 95%</t>
  </si>
  <si>
    <t>98%</t>
  </si>
  <si>
    <t>15/09/2025</t>
  </si>
  <si>
    <t>LOG DE ACCIONES Y CAMBIOS</t>
  </si>
  <si>
    <t>Módulo/Hoja</t>
  </si>
  <si>
    <t>Detalle</t>
  </si>
  <si>
    <t>IP/Host</t>
  </si>
  <si>
    <t>06/11/2025 15:16</t>
  </si>
  <si>
    <t>Nuevo activo creado</t>
  </si>
  <si>
    <t>Activos</t>
  </si>
  <si>
    <t>ACT-2025-001: Servidor Principal</t>
  </si>
  <si>
    <t>Completado</t>
  </si>
  <si>
    <t>PC-ADMIN-01</t>
  </si>
  <si>
    <t>Registro automático</t>
  </si>
  <si>
    <t>Riesgo actualizado</t>
  </si>
  <si>
    <t>Matriz_Riesgos</t>
  </si>
  <si>
    <t>RIESGO-001: Nivel cambiado a Alto</t>
  </si>
  <si>
    <t>PC-CISO-01</t>
  </si>
  <si>
    <t>Reevaluación trimestral</t>
  </si>
  <si>
    <t>Dashboard actualizado</t>
  </si>
  <si>
    <t>Reporte de activos generado: 6 activos</t>
  </si>
  <si>
    <t>Nuevo activo creado: ACT-2025-010</t>
  </si>
  <si>
    <t>Nuevo activo creado: ACT-2025-006</t>
  </si>
  <si>
    <t>Reporte de activos generado: 4 activos</t>
  </si>
  <si>
    <t>Reporte de activos generado: 3 activos</t>
  </si>
  <si>
    <t>Activos exportados a CSV: Activos_20251106.csv</t>
  </si>
  <si>
    <t>Validación de duplicados: 0 encontrados</t>
  </si>
  <si>
    <t>Activos exportados a: C:\Users\david\Downloads\Inventario_Activos_20251112_053428.pdf</t>
  </si>
  <si>
    <t>Visualización assets ICS MITRE (14 categorías)</t>
  </si>
  <si>
    <t>DESKTOP-V8M19AP</t>
  </si>
  <si>
    <t>Reporte completo exportado: Reporte_SGSI_Completo_20251112_062539.pdf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</si>
</sst>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7" x14ac:knownFonts="1">
    <font>
      <sz val="11"/>
      <color theme="1"/>
      <name val="Calibri"/>
      <family val="2"/>
      <scheme val="minor"/>
    </font>
    <font>
      <b/>
      <sz val="12"/>
      <color rgb="FF009900"/>
      <name val="Calibri"/>
      <family val="2"/>
    </font>
    <font>
      <b/>
      <sz val="14"/>
      <color rgb="FFFF6600"/>
      <name val="Calibri"/>
      <family val="2"/>
    </font>
    <font>
      <b/>
      <sz val="14"/>
      <color rgb="FF009900"/>
      <name val="Calibri"/>
      <family val="2"/>
    </font>
    <font>
      <b/>
      <sz val="28"/>
      <color rgb="FFFFFFFF"/>
      <name val="Calibri"/>
      <family val="2"/>
    </font>
    <font>
      <b/>
      <sz val="20"/>
      <color rgb="FF0066CC"/>
      <name val="Calibri"/>
      <family val="2"/>
    </font>
    <font>
      <sz val="14"/>
      <color rgb="FF666666"/>
      <name val="Calibri"/>
      <family val="2"/>
    </font>
    <font>
      <b/>
      <sz val="16"/>
      <color rgb="FF333333"/>
      <name val="Calibri"/>
      <family val="2"/>
    </font>
    <font>
      <sz val="12"/>
      <color rgb="FF666666"/>
      <name val="Calibri"/>
      <family val="2"/>
    </font>
    <font>
      <b/>
      <sz val="14"/>
      <color rgb="FF0066CC"/>
      <name val="Calibri"/>
      <family val="2"/>
    </font>
    <font>
      <sz val="11"/>
      <color rgb="FF333333"/>
      <name val="Calibri"/>
      <family val="2"/>
    </font>
    <font>
      <i/>
      <sz val="9"/>
      <color rgb="FF999999"/>
      <name val="Calibri"/>
      <family val="2"/>
    </font>
    <font>
      <b/>
      <sz val="16"/>
      <color rgb="FFFFFFFF"/>
      <name val="Calibri"/>
      <family val="2"/>
    </font>
    <font>
      <b/>
      <sz val="12"/>
      <color rgb="FF70AD47"/>
      <name val="Calibri"/>
      <family val="2"/>
    </font>
    <font>
      <b/>
      <sz val="11"/>
      <color rgb="FFFFFFFF"/>
      <name val="Calibri"/>
      <family val="2"/>
    </font>
    <font>
      <b/>
      <sz val="11"/>
      <name val="Calibri"/>
      <family val="2"/>
    </font>
    <font>
      <b/>
      <sz val="14"/>
      <color rgb="FFFFFFFF"/>
      <name val="Calibri"/>
      <family val="2"/>
    </font>
    <font>
      <b/>
      <sz val="10"/>
      <color rgb="FFFFFFFF"/>
      <name val="Calibri"/>
      <family val="2"/>
    </font>
    <font>
      <b/>
      <sz val="12"/>
      <color rgb="FF5B9BD5"/>
      <name val="Calibri"/>
      <family val="2"/>
    </font>
    <font>
      <b/>
      <sz val="10"/>
      <color rgb="FF666666"/>
      <name val="Calibri"/>
      <family val="2"/>
    </font>
    <font>
      <b/>
      <sz val="20"/>
      <color rgb="FF4472C4"/>
      <name val="Calibri"/>
      <family val="2"/>
    </font>
    <font>
      <b/>
      <sz val="20"/>
      <color rgb="FFFF6600"/>
      <name val="Calibri"/>
      <family val="2"/>
    </font>
    <font>
      <b/>
      <sz val="20"/>
      <color rgb="FFFF0000"/>
      <name val="Calibri"/>
      <family val="2"/>
    </font>
    <font>
      <b/>
      <sz val="20"/>
      <color rgb="FF70AD47"/>
      <name val="Calibri"/>
      <family val="2"/>
    </font>
    <font>
      <b/>
      <sz val="9"/>
      <color rgb="FFFFFFFF"/>
      <name val="Calibri"/>
      <family val="2"/>
    </font>
    <font>
      <b/>
      <sz val="11"/>
      <color rgb="FF000000"/>
      <name val="Calibri"/>
      <family val="2"/>
    </font>
    <font>
      <b/>
      <sz val="11"/>
      <color rgb="FFFF6600"/>
      <name val="Calibri"/>
      <family val="2"/>
    </font>
    <font>
      <b/>
      <sz val="12"/>
      <color rgb="FFC00000"/>
      <name val="Calibri"/>
      <family val="2"/>
    </font>
    <font>
      <b/>
      <sz val="10"/>
      <name val="Calibri"/>
      <family val="2"/>
    </font>
    <font>
      <b/>
      <sz val="12"/>
      <color rgb="FF000000"/>
      <name val="Calibri"/>
      <family val="2"/>
    </font>
    <font>
      <b/>
      <sz val="12"/>
      <color rgb="FFFFFFFF"/>
      <name val="Calibri"/>
      <family val="2"/>
    </font>
    <font>
      <b/>
      <sz val="12"/>
      <color rgb="FFFF0000"/>
      <name val="Calibri"/>
      <family val="2"/>
    </font>
    <font>
      <b/>
      <sz val="14"/>
      <color rgb="FF70AD47"/>
      <name val="Calibri"/>
      <family val="2"/>
    </font>
    <font>
      <b/>
      <sz val="14"/>
      <color rgb="FFFFC000"/>
      <name val="Calibri"/>
      <family val="2"/>
    </font>
    <font>
      <b/>
      <sz val="14"/>
      <color rgb="FFC00000"/>
      <name val="Calibri"/>
      <family val="2"/>
    </font>
    <font>
      <b/>
      <sz val="14"/>
      <color rgb="FF4472C4"/>
      <name val="Calibri"/>
      <family val="2"/>
    </font>
    <font>
      <b/>
      <sz val="10"/>
      <color rgb="FF009900"/>
      <name val="Calibri"/>
      <family val="2"/>
    </font>
    <font>
      <i/>
      <sz val="10"/>
      <color rgb="FF666666"/>
      <name val="Calibri"/>
      <family val="2"/>
    </font>
    <font>
      <b/>
      <sz val="11"/>
      <color rgb="FF2E75B5"/>
      <name val="Calibri"/>
      <family val="2"/>
    </font>
    <font>
      <i/>
      <sz val="9"/>
      <color rgb="FF666666"/>
      <name val="Calibri"/>
      <family val="2"/>
    </font>
    <font>
      <i/>
      <sz val="9"/>
      <color rgb="FF2E75B5"/>
      <name val="Calibri"/>
      <family val="2"/>
    </font>
    <font>
      <b/>
      <sz val="12"/>
      <color rgb="FF00B050"/>
      <name val="Calibri"/>
      <family val="2"/>
    </font>
    <font>
      <b/>
      <sz val="11"/>
      <color rgb="FF00B050"/>
      <name val="Calibri"/>
      <family val="2"/>
    </font>
    <font>
      <b/>
      <sz val="10"/>
      <color rgb="FFE74C3C"/>
      <name val="Calibri"/>
      <family val="2"/>
    </font>
    <font>
      <b/>
      <sz val="9"/>
      <color rgb="FF000000"/>
      <name val="Calibri"/>
      <family val="2"/>
    </font>
    <font>
      <b/>
      <sz val="12"/>
      <color rgb="FFE67E22"/>
      <name val="Calibri"/>
      <family val="2"/>
    </font>
    <font>
      <b/>
      <sz val="12"/>
      <color rgb="FFC65911"/>
      <name val="Calibri"/>
      <family val="2"/>
    </font>
    <font>
      <b/>
      <i/>
      <sz val="11"/>
      <color rgb="FFC65911"/>
      <name val="Calibri"/>
      <family val="2"/>
    </font>
    <font>
      <b/>
      <sz val="14"/>
      <color rgb="FF00B0F0"/>
      <name val="Calibri"/>
      <family val="2"/>
    </font>
    <font>
      <b/>
      <sz val="12"/>
      <color rgb="FF4472C4"/>
      <name val="Calibri"/>
      <family val="2"/>
    </font>
    <font>
      <sz val="11"/>
      <color rgb="FF000000"/>
      <name val="Calibri"/>
      <family val="2"/>
    </font>
    <font>
      <sz val="10"/>
      <color rgb="FF000000"/>
      <name val="Calibri"/>
      <family val="2"/>
    </font>
    <font>
      <i/>
      <sz val="11"/>
      <color rgb="FF666666"/>
      <name val="Calibri"/>
      <family val="2"/>
    </font>
    <font>
      <sz val="10"/>
      <color rgb="FF999999"/>
      <name val="Calibri"/>
      <family val="2"/>
    </font>
    <font>
      <sz val="11"/>
      <name val="Calibri"/>
      <family val="2"/>
    </font>
    <font>
      <b/>
      <sz val="22"/>
      <color rgb="FFFFFFFF"/>
      <name val="Segoe UI"/>
      <family val="2"/>
    </font>
    <font>
      <i/>
      <sz val="10"/>
      <color rgb="FF000000"/>
      <name val="Segoe UI"/>
      <family val="2"/>
    </font>
    <font>
      <u/>
      <sz val="9"/>
      <color rgb="FF2E75B6"/>
      <name val="Segoe UI"/>
      <family val="2"/>
    </font>
    <font>
      <b/>
      <sz val="13"/>
      <color rgb="FFFFFFFF"/>
      <name val="Segoe UI"/>
      <family val="2"/>
    </font>
    <font>
      <b/>
      <sz val="10"/>
      <color rgb="FF4472C4"/>
      <name val="Segoe UI"/>
      <family val="2"/>
    </font>
    <font>
      <sz val="9"/>
      <color rgb="FF000000"/>
      <name val="Segoe UI"/>
      <family val="2"/>
    </font>
    <font>
      <b/>
      <sz val="10"/>
      <color rgb="FFED7D31"/>
      <name val="Segoe UI"/>
      <family val="2"/>
    </font>
    <font>
      <b/>
      <sz val="10"/>
      <color rgb="FF70AD47"/>
      <name val="Segoe UI"/>
      <family val="2"/>
    </font>
    <font>
      <b/>
      <sz val="10"/>
      <color rgb="FF5B9BD5"/>
      <name val="Segoe UI"/>
      <family val="2"/>
    </font>
    <font>
      <b/>
      <sz val="10"/>
      <color rgb="FF9966CC"/>
      <name val="Segoe UI"/>
      <family val="2"/>
    </font>
    <font>
      <i/>
      <sz val="9"/>
      <color rgb="FF000000"/>
      <name val="Segoe UI"/>
      <family val="2"/>
    </font>
    <font>
      <b/>
      <sz val="11"/>
      <color rgb="FFFFFFFF"/>
      <name val="Calibri"/>
      <family val="2"/>
    </font>
    <font>
      <i/>
      <sz val="9"/>
      <color rgb="FF7F7F7F"/>
      <name val="Calibri"/>
      <family val="2"/>
    </font>
    <font>
      <sz val="10"/>
      <color theme="1"/>
      <name val="Calibri"/>
      <family val="2"/>
      <scheme val="minor"/>
    </font>
    <font>
      <b/>
      <sz val="10"/>
      <color theme="1"/>
      <name val="Calibri"/>
      <family val="2"/>
      <scheme val="minor"/>
    </font>
    <font>
      <b/>
      <sz val="11"/>
      <color rgb="FFFFFFFF"/>
      <name val="Calibri"/>
      <family val="2"/>
      <scheme val="minor"/>
    </font>
    <font>
      <b/>
      <sz val="11"/>
      <color rgb="FFFFFFFF"/>
      <name val="Calibri"/>
    </font>
    <font>
      <b/>
      <sz val="11"/>
      <color rgb="FFFFFFFF"/>
      <name val="Calibri"/>
    </font>
    <font>
      <b/>
      <sz val="11"/>
      <color rgb="FFFFFFFF"/>
      <name val="Calibri"/>
    </font>
    <font>
      <b/>
      <sz val="14"/>
      <color rgb="FF1F4E78"/>
      <name val="Calibri"/>
    </font>
    <font>
      <i/>
      <sz val="10"/>
      <name val="Calibri"/>
    </font>
    <font>
      <b/>
      <sz val="12"/>
      <color rgb="FFFFFFFF"/>
      <name val="Calibri"/>
    </font>
    <font>
      <b/>
      <sz val="11"/>
      <name val="Calibri"/>
    </font>
    <font>
      <i/>
      <sz val="9"/>
      <name val="Calibri"/>
    </font>
    <font>
      <sz val="10"/>
      <name val="Calibri"/>
    </font>
    <font>
      <b/>
      <sz val="10"/>
      <name val="Calibri"/>
    </font>
    <font>
      <i/>
      <sz val="8"/>
      <color rgb="FF666666"/>
      <name val="Calibri"/>
    </font>
    <font>
      <sz val="9"/>
      <name val="Calibri"/>
    </font>
    <font>
      <b/>
      <sz val="12"/>
      <color rgb="FFFFFFFF"/>
      <name val="Calibri"/>
    </font>
    <font>
      <b/>
      <sz val="10"/>
      <color rgb="FFFFFFFF"/>
      <name val="Calibri"/>
    </font>
    <font>
      <b/>
      <sz val="14"/>
      <color rgb="FFFFFFFF"/>
      <name val="Calibri"/>
    </font>
    <font>
      <i/>
      <sz val="9"/>
      <color rgb="FF7030A0"/>
      <name val="Calibri"/>
    </font>
    <font>
      <b/>
      <sz val="16"/>
      <color rgb="FFD32F2F"/>
      <name val="Calibri"/>
    </font>
    <font>
      <b/>
      <sz val="16"/>
      <color rgb="FF1976D2"/>
      <name val="Calibri"/>
    </font>
    <font>
      <b/>
      <sz val="16"/>
      <color rgb="FF388E3C"/>
      <name val="Calibri"/>
    </font>
    <font>
      <b/>
      <sz val="11"/>
      <color rgb="FF388E3C"/>
      <name val="Calibri"/>
    </font>
    <font>
      <b/>
      <sz val="11"/>
      <color rgb="FFD32F2F"/>
      <name val="Calibri"/>
    </font>
    <font>
      <b/>
      <u/>
      <sz val="9"/>
      <color rgb="FFFFFFFF"/>
      <name val="Calibri"/>
    </font>
    <font>
      <i/>
      <sz val="9"/>
      <color rgb="FF7F7F7F"/>
      <name val="Calibri"/>
    </font>
    <font>
      <i/>
      <sz val="9"/>
      <color rgb="FF00B050"/>
      <name val="Calibri"/>
    </font>
    <font>
      <sz val="9"/>
      <color theme="1"/>
      <name val="Calibri"/>
      <family val="2"/>
      <scheme val="minor"/>
    </font>
    <font>
      <b/>
      <sz val="10"/>
      <color rgb="FF000000"/>
      <name val="Segoe UI"/>
      <family val="2"/>
    </font>
  </fonts>
  <fills count="78">
    <fill>
      <patternFill patternType="none"/>
    </fill>
    <fill>
      <patternFill patternType="gray125"/>
    </fill>
    <fill>
      <patternFill patternType="solid">
        <fgColor rgb="FF0066CC"/>
        <bgColor rgb="FF4472C4"/>
      </patternFill>
    </fill>
    <fill>
      <patternFill patternType="solid">
        <fgColor rgb="FFE7E6E6"/>
        <bgColor rgb="FFE7E6E6"/>
      </patternFill>
    </fill>
    <fill>
      <patternFill patternType="solid">
        <fgColor rgb="FF70AD47"/>
        <bgColor rgb="FF70AD47"/>
      </patternFill>
    </fill>
    <fill>
      <patternFill patternType="solid">
        <fgColor rgb="FFFFC000"/>
        <bgColor rgb="FFFFC000"/>
      </patternFill>
    </fill>
    <fill>
      <patternFill patternType="solid">
        <fgColor rgb="FF5B9BD5"/>
        <bgColor rgb="FF5B9BD5"/>
      </patternFill>
    </fill>
    <fill>
      <patternFill patternType="solid">
        <fgColor rgb="FFF2F2F2"/>
        <bgColor rgb="FFF2F2F2"/>
      </patternFill>
    </fill>
    <fill>
      <patternFill patternType="solid">
        <fgColor rgb="FFFF0000"/>
        <bgColor rgb="FFFF0000"/>
      </patternFill>
    </fill>
    <fill>
      <patternFill patternType="solid">
        <fgColor rgb="FFFF6600"/>
        <bgColor rgb="FFFF6600"/>
      </patternFill>
    </fill>
    <fill>
      <patternFill patternType="solid">
        <fgColor rgb="FFC00000"/>
        <bgColor rgb="FFC00000"/>
      </patternFill>
    </fill>
    <fill>
      <patternFill patternType="solid">
        <fgColor rgb="FF4472C4"/>
        <bgColor rgb="FF4472C4"/>
      </patternFill>
    </fill>
    <fill>
      <patternFill patternType="solid">
        <fgColor rgb="FF92D050"/>
        <bgColor rgb="FF92D050"/>
      </patternFill>
    </fill>
    <fill>
      <patternFill patternType="solid">
        <fgColor rgb="FF009900"/>
        <bgColor rgb="FF009900"/>
      </patternFill>
    </fill>
    <fill>
      <patternFill patternType="solid">
        <fgColor rgb="FF7030A0"/>
        <bgColor rgb="FF7030A0"/>
      </patternFill>
    </fill>
    <fill>
      <patternFill patternType="solid">
        <fgColor rgb="FF2E75B5"/>
        <bgColor rgb="FF2E75B5"/>
      </patternFill>
    </fill>
    <fill>
      <patternFill patternType="solid">
        <fgColor rgb="FF00B050"/>
        <bgColor rgb="FF00B050"/>
      </patternFill>
    </fill>
    <fill>
      <patternFill patternType="solid">
        <fgColor rgb="FFE74C3C"/>
        <bgColor rgb="FFE74C3C"/>
      </patternFill>
    </fill>
    <fill>
      <patternFill patternType="solid">
        <fgColor rgb="FFFD6A02"/>
        <bgColor rgb="FFFD6A02"/>
      </patternFill>
    </fill>
    <fill>
      <patternFill patternType="solid">
        <fgColor rgb="FF1F4E78"/>
        <bgColor rgb="FF1F4E78"/>
      </patternFill>
    </fill>
    <fill>
      <patternFill patternType="solid">
        <fgColor rgb="FF548235"/>
        <bgColor rgb="FF548235"/>
      </patternFill>
    </fill>
    <fill>
      <patternFill patternType="solid">
        <fgColor rgb="FFF4B183"/>
        <bgColor rgb="FFF4B183"/>
      </patternFill>
    </fill>
    <fill>
      <patternFill patternType="solid">
        <fgColor rgb="FFE67E22"/>
        <bgColor rgb="FFE67E22"/>
      </patternFill>
    </fill>
    <fill>
      <patternFill patternType="solid">
        <fgColor rgb="FF34495E"/>
        <bgColor rgb="FF34495E"/>
      </patternFill>
    </fill>
    <fill>
      <patternFill patternType="solid">
        <fgColor rgb="FF8E44AD"/>
        <bgColor rgb="FF8E44AD"/>
      </patternFill>
    </fill>
    <fill>
      <patternFill patternType="solid">
        <fgColor rgb="FF16A085"/>
        <bgColor rgb="FF16A085"/>
      </patternFill>
    </fill>
    <fill>
      <patternFill patternType="solid">
        <fgColor rgb="FFC65911"/>
        <bgColor rgb="FFC65911"/>
      </patternFill>
    </fill>
    <fill>
      <patternFill patternType="solid">
        <fgColor rgb="FF00B0F0"/>
        <bgColor rgb="FF00B0F0"/>
      </patternFill>
    </fill>
    <fill>
      <patternFill patternType="solid">
        <fgColor rgb="FF7F7F7F"/>
        <bgColor rgb="FF7F7F7F"/>
      </patternFill>
    </fill>
    <fill>
      <patternFill patternType="solid">
        <fgColor rgb="FF203764"/>
        <bgColor rgb="FF203764"/>
      </patternFill>
    </fill>
    <fill>
      <patternFill patternType="solid">
        <fgColor rgb="FFF39C12"/>
        <bgColor rgb="FFF39C12"/>
      </patternFill>
    </fill>
    <fill>
      <patternFill patternType="solid">
        <fgColor rgb="FF1ABC9C"/>
        <bgColor rgb="FF1ABC9C"/>
      </patternFill>
    </fill>
    <fill>
      <patternFill patternType="solid">
        <fgColor rgb="FF9B59B6"/>
        <bgColor rgb="FF9B59B6"/>
      </patternFill>
    </fill>
    <fill>
      <patternFill patternType="solid">
        <fgColor rgb="FF2980B9"/>
        <bgColor rgb="FF2980B9"/>
      </patternFill>
    </fill>
    <fill>
      <patternFill patternType="solid">
        <fgColor rgb="FF1F4E78"/>
        <bgColor rgb="FF1F4E78"/>
      </patternFill>
    </fill>
    <fill>
      <patternFill patternType="solid">
        <fgColor rgb="FFF2F2F2"/>
        <bgColor rgb="FFF2F2F2"/>
      </patternFill>
    </fill>
    <fill>
      <patternFill patternType="solid">
        <fgColor rgb="FF4472C4"/>
        <bgColor rgb="FF4472C4"/>
      </patternFill>
    </fill>
    <fill>
      <patternFill patternType="solid">
        <fgColor rgb="FFED7D31"/>
        <bgColor rgb="FFED7D31"/>
      </patternFill>
    </fill>
    <fill>
      <patternFill patternType="solid">
        <fgColor rgb="FF70AD47"/>
        <bgColor rgb="FF70AD47"/>
      </patternFill>
    </fill>
    <fill>
      <patternFill patternType="solid">
        <fgColor rgb="FF5B9BD5"/>
        <bgColor rgb="FF5B9BD5"/>
      </patternFill>
    </fill>
    <fill>
      <patternFill patternType="solid">
        <fgColor rgb="FF9966CC"/>
        <bgColor rgb="FF9966CC"/>
      </patternFill>
    </fill>
    <fill>
      <patternFill patternType="solid">
        <fgColor rgb="FF4472C4"/>
      </patternFill>
    </fill>
    <fill>
      <patternFill patternType="solid">
        <fgColor rgb="FFED7D31"/>
      </patternFill>
    </fill>
    <fill>
      <patternFill patternType="solid">
        <fgColor rgb="FF70AD47"/>
      </patternFill>
    </fill>
    <fill>
      <patternFill patternType="solid">
        <fgColor rgb="FFD9E1F2"/>
        <bgColor rgb="FFD9E1F2"/>
      </patternFill>
    </fill>
    <fill>
      <patternFill patternType="solid">
        <fgColor rgb="FFC00000"/>
        <bgColor rgb="FFC00000"/>
      </patternFill>
    </fill>
    <fill>
      <patternFill patternType="solid">
        <fgColor rgb="FFFCE4D6"/>
        <bgColor rgb="FFFCE4D6"/>
      </patternFill>
    </fill>
    <fill>
      <patternFill patternType="solid">
        <fgColor rgb="FFE2EFDA"/>
        <bgColor rgb="FFE2EFDA"/>
      </patternFill>
    </fill>
    <fill>
      <patternFill patternType="solid">
        <fgColor rgb="FFFFC000"/>
        <bgColor rgb="FFFFC000"/>
      </patternFill>
    </fill>
    <fill>
      <patternFill patternType="solid">
        <fgColor rgb="FFFFFFFF"/>
        <bgColor indexed="64"/>
      </patternFill>
    </fill>
    <fill>
      <patternFill patternType="solid">
        <fgColor rgb="FFD9E1F2"/>
        <bgColor indexed="64"/>
      </patternFill>
    </fill>
    <fill>
      <patternFill patternType="solid">
        <fgColor rgb="FFE2EFDA"/>
        <bgColor indexed="64"/>
      </patternFill>
    </fill>
    <fill>
      <patternFill patternType="solid">
        <fgColor rgb="FFBDD7EE"/>
        <bgColor indexed="64"/>
      </patternFill>
    </fill>
    <fill>
      <patternFill patternType="solid">
        <fgColor rgb="FF92D050"/>
        <bgColor indexed="64"/>
      </patternFill>
    </fill>
    <fill>
      <patternFill patternType="solid">
        <fgColor rgb="FF1F4E78"/>
        <bgColor rgb="FF1F4E78"/>
      </patternFill>
    </fill>
    <fill>
      <patternFill patternType="solid">
        <fgColor rgb="FF4472C4"/>
        <bgColor rgb="FF4472C4"/>
      </patternFill>
    </fill>
    <fill>
      <patternFill patternType="solid">
        <fgColor rgb="FF1F4E78"/>
        <bgColor rgb="FF1F4E78"/>
      </patternFill>
    </fill>
    <fill>
      <patternFill patternType="solid">
        <fgColor rgb="FF4472C4"/>
        <bgColor rgb="FF4472C4"/>
      </patternFill>
    </fill>
    <fill>
      <patternFill patternType="solid">
        <fgColor rgb="FFC00000"/>
        <bgColor rgb="FFC00000"/>
      </patternFill>
    </fill>
    <fill>
      <patternFill patternType="solid">
        <fgColor rgb="FFC6EFCE"/>
        <bgColor rgb="FFC6EFCE"/>
      </patternFill>
    </fill>
    <fill>
      <patternFill patternType="solid">
        <fgColor rgb="FFFFEB9C"/>
        <bgColor rgb="FFFFEB9C"/>
      </patternFill>
    </fill>
    <fill>
      <patternFill patternType="solid">
        <fgColor rgb="FFFFC7CE"/>
        <bgColor rgb="FFFFC7CE"/>
      </patternFill>
    </fill>
    <fill>
      <patternFill patternType="solid">
        <fgColor rgb="FF70AD47"/>
        <bgColor rgb="FF70AD47"/>
      </patternFill>
    </fill>
    <fill>
      <patternFill patternType="solid">
        <fgColor rgb="FFFFC000"/>
        <bgColor rgb="FFFFC000"/>
      </patternFill>
    </fill>
    <fill>
      <patternFill patternType="solid">
        <fgColor rgb="FFFFF2CC"/>
        <bgColor rgb="FFFFF2CC"/>
      </patternFill>
    </fill>
    <fill>
      <patternFill patternType="solid">
        <fgColor rgb="FF00B050"/>
        <bgColor rgb="FF00B050"/>
      </patternFill>
    </fill>
    <fill>
      <patternFill patternType="solid">
        <fgColor rgb="FF70AD47"/>
        <bgColor rgb="FF70AD47"/>
      </patternFill>
    </fill>
    <fill>
      <patternFill patternType="solid">
        <fgColor rgb="FFFFC000"/>
        <bgColor rgb="FFFFC000"/>
      </patternFill>
    </fill>
    <fill>
      <patternFill patternType="solid">
        <fgColor rgb="FF92D050"/>
        <bgColor rgb="FF92D050"/>
      </patternFill>
    </fill>
    <fill>
      <patternFill patternType="solid">
        <fgColor rgb="FFFF6B6B"/>
        <bgColor rgb="FFFF6B6B"/>
      </patternFill>
    </fill>
    <fill>
      <patternFill patternType="solid">
        <fgColor rgb="FF4A148C"/>
        <bgColor rgb="FF4A148C"/>
      </patternFill>
    </fill>
    <fill>
      <patternFill patternType="solid">
        <fgColor rgb="FFD32F2F"/>
        <bgColor rgb="FFD32F2F"/>
      </patternFill>
    </fill>
    <fill>
      <patternFill patternType="solid">
        <fgColor rgb="FF1976D2"/>
        <bgColor rgb="FF1976D2"/>
      </patternFill>
    </fill>
    <fill>
      <patternFill patternType="solid">
        <fgColor rgb="FF388E3C"/>
        <bgColor rgb="FF388E3C"/>
      </patternFill>
    </fill>
    <fill>
      <patternFill patternType="solid">
        <fgColor rgb="FF7030A0"/>
        <bgColor rgb="FF7030A0"/>
      </patternFill>
    </fill>
    <fill>
      <patternFill patternType="solid">
        <fgColor rgb="FF0070C0"/>
        <bgColor rgb="FF0070C0"/>
      </patternFill>
    </fill>
    <fill>
      <patternFill patternType="solid">
        <fgColor rgb="FF4472C4"/>
        <bgColor rgb="FF1F4E78"/>
      </patternFill>
    </fill>
    <fill>
      <patternFill patternType="solid">
        <fgColor rgb="FF4472C4"/>
        <bgColor indexed="64"/>
      </patternFill>
    </fill>
  </fills>
  <borders count="49">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diagonal/>
    </border>
    <border>
      <left style="medium">
        <color rgb="FF1F4E78"/>
      </left>
      <right style="medium">
        <color rgb="FF1F4E78"/>
      </right>
      <top style="medium">
        <color rgb="FF1F4E78"/>
      </top>
      <bottom style="medium">
        <color rgb="FF1F4E78"/>
      </bottom>
      <diagonal/>
    </border>
    <border>
      <left style="medium">
        <color rgb="FF2E75B6"/>
      </left>
      <right style="medium">
        <color rgb="FF2E75B6"/>
      </right>
      <top style="medium">
        <color rgb="FF2E75B6"/>
      </top>
      <bottom style="medium">
        <color rgb="FF2E75B6"/>
      </bottom>
      <diagonal/>
    </border>
    <border>
      <left style="thin">
        <color rgb="FFBFBFBF"/>
      </left>
      <right style="thin">
        <color rgb="FFBFBFBF"/>
      </right>
      <top style="thin">
        <color rgb="FFBFBFBF"/>
      </top>
      <bottom style="thin">
        <color rgb="FFBFBFBF"/>
      </bottom>
      <diagonal/>
    </border>
    <border>
      <left style="medium">
        <color rgb="FF4472C4"/>
      </left>
      <right style="medium">
        <color rgb="FF4472C4"/>
      </right>
      <top style="medium">
        <color rgb="FF4472C4"/>
      </top>
      <bottom style="medium">
        <color rgb="FF4472C4"/>
      </bottom>
      <diagonal/>
    </border>
    <border>
      <left style="thin">
        <color rgb="FF4472C4"/>
      </left>
      <right style="thin">
        <color rgb="FF4472C4"/>
      </right>
      <top style="thin">
        <color rgb="FF4472C4"/>
      </top>
      <bottom style="thin">
        <color rgb="FF4472C4"/>
      </bottom>
      <diagonal/>
    </border>
    <border>
      <left style="medium">
        <color rgb="FFED7D31"/>
      </left>
      <right style="medium">
        <color rgb="FFED7D31"/>
      </right>
      <top style="medium">
        <color rgb="FFED7D31"/>
      </top>
      <bottom style="medium">
        <color rgb="FFED7D31"/>
      </bottom>
      <diagonal/>
    </border>
    <border>
      <left style="thin">
        <color rgb="FFED7D31"/>
      </left>
      <right style="thin">
        <color rgb="FFED7D31"/>
      </right>
      <top style="thin">
        <color rgb="FFED7D31"/>
      </top>
      <bottom style="thin">
        <color rgb="FFED7D31"/>
      </bottom>
      <diagonal/>
    </border>
    <border>
      <left style="medium">
        <color rgb="FF70AD47"/>
      </left>
      <right style="medium">
        <color rgb="FF70AD47"/>
      </right>
      <top style="medium">
        <color rgb="FF70AD47"/>
      </top>
      <bottom style="medium">
        <color rgb="FF70AD47"/>
      </bottom>
      <diagonal/>
    </border>
    <border>
      <left style="thin">
        <color rgb="FF70AD47"/>
      </left>
      <right style="thin">
        <color rgb="FF70AD47"/>
      </right>
      <top style="thin">
        <color rgb="FF70AD47"/>
      </top>
      <bottom style="thin">
        <color rgb="FF70AD47"/>
      </bottom>
      <diagonal/>
    </border>
    <border>
      <left style="medium">
        <color rgb="FF5B9BD5"/>
      </left>
      <right style="medium">
        <color rgb="FF5B9BD5"/>
      </right>
      <top style="medium">
        <color rgb="FF5B9BD5"/>
      </top>
      <bottom style="medium">
        <color rgb="FF5B9BD5"/>
      </bottom>
      <diagonal/>
    </border>
    <border>
      <left style="thin">
        <color rgb="FF5B9BD5"/>
      </left>
      <right style="thin">
        <color rgb="FF5B9BD5"/>
      </right>
      <top style="thin">
        <color rgb="FF5B9BD5"/>
      </top>
      <bottom style="thin">
        <color rgb="FF5B9BD5"/>
      </bottom>
      <diagonal/>
    </border>
    <border>
      <left style="medium">
        <color rgb="FF9966CC"/>
      </left>
      <right style="medium">
        <color rgb="FF9966CC"/>
      </right>
      <top style="medium">
        <color rgb="FF9966CC"/>
      </top>
      <bottom style="medium">
        <color rgb="FF9966CC"/>
      </bottom>
      <diagonal/>
    </border>
    <border>
      <left style="thin">
        <color rgb="FF9966CC"/>
      </left>
      <right style="thin">
        <color rgb="FF9966CC"/>
      </right>
      <top style="thin">
        <color rgb="FF9966CC"/>
      </top>
      <bottom style="thin">
        <color rgb="FF9966CC"/>
      </bottom>
      <diagonal/>
    </border>
    <border>
      <left/>
      <right/>
      <top style="medium">
        <color rgb="FF5B9BD5"/>
      </top>
      <bottom style="medium">
        <color rgb="FF5B9BD5"/>
      </bottom>
      <diagonal/>
    </border>
    <border>
      <left/>
      <right style="medium">
        <color rgb="FF5B9BD5"/>
      </right>
      <top style="medium">
        <color rgb="FF5B9BD5"/>
      </top>
      <bottom style="medium">
        <color rgb="FF5B9BD5"/>
      </bottom>
      <diagonal/>
    </border>
    <border>
      <left/>
      <right/>
      <top style="thin">
        <color rgb="FF9966CC"/>
      </top>
      <bottom style="thin">
        <color rgb="FF9966CC"/>
      </bottom>
      <diagonal/>
    </border>
    <border>
      <left/>
      <right style="thin">
        <color rgb="FF9966CC"/>
      </right>
      <top style="thin">
        <color rgb="FF9966CC"/>
      </top>
      <bottom style="thin">
        <color rgb="FF9966CC"/>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right/>
      <top style="medium">
        <color rgb="FF2E75B6"/>
      </top>
      <bottom style="medium">
        <color rgb="FF2E75B6"/>
      </bottom>
      <diagonal/>
    </border>
    <border>
      <left/>
      <right style="medium">
        <color rgb="FF2E75B6"/>
      </right>
      <top style="medium">
        <color rgb="FF2E75B6"/>
      </top>
      <bottom style="medium">
        <color rgb="FF2E75B6"/>
      </bottom>
      <diagonal/>
    </border>
    <border>
      <left/>
      <right/>
      <top style="medium">
        <color rgb="FF1F4E78"/>
      </top>
      <bottom style="medium">
        <color rgb="FF1F4E78"/>
      </bottom>
      <diagonal/>
    </border>
    <border>
      <left/>
      <right style="medium">
        <color rgb="FF1F4E78"/>
      </right>
      <top style="medium">
        <color rgb="FF1F4E78"/>
      </top>
      <bottom style="medium">
        <color rgb="FF1F4E78"/>
      </bottom>
      <diagonal/>
    </border>
    <border>
      <left/>
      <right/>
      <top style="medium">
        <color rgb="FF4472C4"/>
      </top>
      <bottom style="medium">
        <color rgb="FF4472C4"/>
      </bottom>
      <diagonal/>
    </border>
    <border>
      <left/>
      <right style="medium">
        <color rgb="FF4472C4"/>
      </right>
      <top style="medium">
        <color rgb="FF4472C4"/>
      </top>
      <bottom style="medium">
        <color rgb="FF4472C4"/>
      </bottom>
      <diagonal/>
    </border>
    <border>
      <left/>
      <right/>
      <top style="medium">
        <color rgb="FFED7D31"/>
      </top>
      <bottom style="medium">
        <color rgb="FFED7D31"/>
      </bottom>
      <diagonal/>
    </border>
    <border>
      <left/>
      <right style="medium">
        <color rgb="FFED7D31"/>
      </right>
      <top style="medium">
        <color rgb="FFED7D31"/>
      </top>
      <bottom style="medium">
        <color rgb="FFED7D31"/>
      </bottom>
      <diagonal/>
    </border>
    <border>
      <left/>
      <right/>
      <top/>
      <bottom/>
      <diagonal/>
    </border>
    <border>
      <left/>
      <right/>
      <top style="medium">
        <color rgb="FF9966CC"/>
      </top>
      <bottom style="medium">
        <color rgb="FF9966CC"/>
      </bottom>
      <diagonal/>
    </border>
    <border>
      <left/>
      <right style="medium">
        <color rgb="FF9966CC"/>
      </right>
      <top style="medium">
        <color rgb="FF9966CC"/>
      </top>
      <bottom style="medium">
        <color rgb="FF9966CC"/>
      </bottom>
      <diagonal/>
    </border>
    <border>
      <left/>
      <right/>
      <top style="medium">
        <color rgb="FF70AD47"/>
      </top>
      <bottom style="medium">
        <color rgb="FF70AD47"/>
      </bottom>
      <diagonal/>
    </border>
    <border>
      <left/>
      <right style="medium">
        <color rgb="FF70AD47"/>
      </right>
      <top style="medium">
        <color rgb="FF70AD47"/>
      </top>
      <bottom style="medium">
        <color rgb="FF70AD47"/>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s>
  <cellStyleXfs count="1">
    <xf numFmtId="0" fontId="0" fillId="0" borderId="39"/>
  </cellStyleXfs>
  <cellXfs count="279">
    <xf numFmtId="0" fontId="0" fillId="0" borderId="0" xfId="0" applyBorder="1"/>
    <xf numFmtId="0" fontId="0" fillId="0" borderId="1" xfId="0" applyBorder="1" applyAlignment="1">
      <alignment horizontal="left" vertical="center"/>
    </xf>
    <xf numFmtId="0" fontId="14" fillId="4" borderId="0" xfId="0" applyFont="1" applyFill="1" applyBorder="1"/>
    <xf numFmtId="0" fontId="15" fillId="0" borderId="1" xfId="0" applyFont="1" applyBorder="1"/>
    <xf numFmtId="0" fontId="0" fillId="0" borderId="1" xfId="0" applyBorder="1"/>
    <xf numFmtId="0" fontId="17" fillId="5" borderId="1" xfId="0" applyFont="1" applyFill="1" applyBorder="1" applyAlignment="1">
      <alignment horizontal="center" vertical="center" wrapText="1"/>
    </xf>
    <xf numFmtId="0" fontId="0" fillId="0" borderId="1" xfId="0" applyBorder="1" applyAlignment="1">
      <alignment horizontal="center" vertical="center"/>
    </xf>
    <xf numFmtId="0" fontId="19" fillId="0" borderId="1" xfId="0" applyFont="1" applyBorder="1" applyAlignment="1">
      <alignment horizontal="center"/>
    </xf>
    <xf numFmtId="0" fontId="20" fillId="7" borderId="1" xfId="0" applyFont="1" applyFill="1" applyBorder="1" applyAlignment="1">
      <alignment horizontal="center"/>
    </xf>
    <xf numFmtId="0" fontId="21" fillId="7" borderId="1" xfId="0" applyFont="1" applyFill="1" applyBorder="1" applyAlignment="1">
      <alignment horizontal="center"/>
    </xf>
    <xf numFmtId="0" fontId="22" fillId="7" borderId="1" xfId="0" applyFont="1" applyFill="1" applyBorder="1" applyAlignment="1">
      <alignment horizontal="center"/>
    </xf>
    <xf numFmtId="0" fontId="23" fillId="7" borderId="1" xfId="0" applyFont="1" applyFill="1" applyBorder="1" applyAlignment="1">
      <alignment horizontal="center"/>
    </xf>
    <xf numFmtId="0" fontId="17" fillId="6" borderId="1" xfId="0" applyFont="1" applyFill="1" applyBorder="1" applyAlignment="1">
      <alignment horizontal="center"/>
    </xf>
    <xf numFmtId="0" fontId="14" fillId="8" borderId="1" xfId="0" applyFont="1" applyFill="1" applyBorder="1" applyAlignment="1">
      <alignment horizontal="center"/>
    </xf>
    <xf numFmtId="0" fontId="0" fillId="0" borderId="1" xfId="0" applyBorder="1" applyAlignment="1">
      <alignment horizontal="center"/>
    </xf>
    <xf numFmtId="0" fontId="14" fillId="4" borderId="1" xfId="0" applyFont="1" applyFill="1" applyBorder="1" applyAlignment="1">
      <alignment horizontal="center"/>
    </xf>
    <xf numFmtId="0" fontId="14" fillId="9" borderId="1" xfId="0" applyFont="1" applyFill="1" applyBorder="1" applyAlignment="1">
      <alignment horizontal="center"/>
    </xf>
    <xf numFmtId="0" fontId="14" fillId="5" borderId="1" xfId="0" applyFont="1" applyFill="1" applyBorder="1" applyAlignment="1">
      <alignment horizontal="center"/>
    </xf>
    <xf numFmtId="0" fontId="14" fillId="10" borderId="1" xfId="0" applyFont="1" applyFill="1" applyBorder="1" applyAlignment="1">
      <alignment horizontal="center"/>
    </xf>
    <xf numFmtId="0" fontId="24" fillId="9" borderId="1" xfId="0" applyFont="1" applyFill="1" applyBorder="1" applyAlignment="1">
      <alignment horizontal="center" vertical="center" wrapText="1"/>
    </xf>
    <xf numFmtId="0" fontId="0" fillId="0" borderId="1" xfId="0" applyBorder="1" applyAlignment="1">
      <alignment horizontal="center" vertical="center" wrapText="1"/>
    </xf>
    <xf numFmtId="0" fontId="14" fillId="9" borderId="1" xfId="0" applyFont="1" applyFill="1" applyBorder="1" applyAlignment="1">
      <alignment horizontal="center" vertical="center" wrapText="1"/>
    </xf>
    <xf numFmtId="0" fontId="25" fillId="5" borderId="1" xfId="0" applyFont="1" applyFill="1" applyBorder="1" applyAlignment="1">
      <alignment horizontal="center" vertical="center" wrapText="1"/>
    </xf>
    <xf numFmtId="0" fontId="14" fillId="9" borderId="1" xfId="0" applyFont="1" applyFill="1" applyBorder="1" applyAlignment="1">
      <alignment horizontal="center" vertical="center"/>
    </xf>
    <xf numFmtId="0" fontId="14" fillId="5" borderId="1" xfId="0" applyFont="1" applyFill="1" applyBorder="1" applyAlignment="1">
      <alignment horizontal="center" vertical="center"/>
    </xf>
    <xf numFmtId="0" fontId="14" fillId="4" borderId="1" xfId="0" applyFont="1" applyFill="1" applyBorder="1" applyAlignment="1">
      <alignment horizontal="center" vertical="center"/>
    </xf>
    <xf numFmtId="0" fontId="24" fillId="11" borderId="1" xfId="0" applyFont="1" applyFill="1" applyBorder="1" applyAlignment="1">
      <alignment horizontal="center" vertical="center" wrapText="1"/>
    </xf>
    <xf numFmtId="0" fontId="24" fillId="11" borderId="1" xfId="0" applyFont="1" applyFill="1" applyBorder="1" applyAlignment="1">
      <alignment horizontal="center" vertical="center"/>
    </xf>
    <xf numFmtId="0" fontId="29" fillId="5" borderId="1" xfId="0" applyFont="1" applyFill="1" applyBorder="1" applyAlignment="1">
      <alignment horizontal="center" vertical="center"/>
    </xf>
    <xf numFmtId="0" fontId="29" fillId="9" borderId="1" xfId="0" applyFont="1" applyFill="1" applyBorder="1" applyAlignment="1">
      <alignment horizontal="center" vertical="center"/>
    </xf>
    <xf numFmtId="0" fontId="30" fillId="8" borderId="1" xfId="0" applyFont="1" applyFill="1" applyBorder="1" applyAlignment="1">
      <alignment horizontal="center" vertical="center"/>
    </xf>
    <xf numFmtId="0" fontId="30" fillId="10" borderId="1" xfId="0" applyFont="1" applyFill="1" applyBorder="1" applyAlignment="1">
      <alignment horizontal="center" vertical="center"/>
    </xf>
    <xf numFmtId="0" fontId="29" fillId="4" borderId="1" xfId="0" applyFont="1" applyFill="1" applyBorder="1" applyAlignment="1">
      <alignment horizontal="center" vertical="center"/>
    </xf>
    <xf numFmtId="0" fontId="14" fillId="10" borderId="1" xfId="0" applyFont="1" applyFill="1" applyBorder="1" applyAlignment="1">
      <alignment horizontal="center" vertical="center"/>
    </xf>
    <xf numFmtId="0" fontId="29" fillId="12" borderId="1" xfId="0" applyFont="1" applyFill="1" applyBorder="1" applyAlignment="1">
      <alignment horizontal="center" vertical="center"/>
    </xf>
    <xf numFmtId="0" fontId="24" fillId="8" borderId="1" xfId="0" applyFont="1" applyFill="1" applyBorder="1" applyAlignment="1">
      <alignment horizontal="center" vertical="center"/>
    </xf>
    <xf numFmtId="0" fontId="24" fillId="13" borderId="1" xfId="0" applyFont="1" applyFill="1" applyBorder="1" applyAlignment="1">
      <alignment horizontal="center" vertical="center" wrapText="1"/>
    </xf>
    <xf numFmtId="0" fontId="14" fillId="11" borderId="1" xfId="0" applyFont="1" applyFill="1" applyBorder="1" applyAlignment="1">
      <alignment horizontal="center" vertical="center" wrapText="1"/>
    </xf>
    <xf numFmtId="0" fontId="28" fillId="0" borderId="1" xfId="0" applyFont="1" applyBorder="1" applyAlignment="1">
      <alignment horizontal="right" vertical="center"/>
    </xf>
    <xf numFmtId="0" fontId="3" fillId="7" borderId="1" xfId="0" applyFont="1" applyFill="1" applyBorder="1" applyAlignment="1">
      <alignment horizontal="center" vertical="center"/>
    </xf>
    <xf numFmtId="0" fontId="32" fillId="7" borderId="1" xfId="0" applyFont="1" applyFill="1" applyBorder="1" applyAlignment="1">
      <alignment horizontal="center" vertical="center"/>
    </xf>
    <xf numFmtId="0" fontId="33" fillId="7" borderId="1" xfId="0" applyFont="1" applyFill="1" applyBorder="1" applyAlignment="1">
      <alignment horizontal="center" vertical="center"/>
    </xf>
    <xf numFmtId="0" fontId="2" fillId="7" borderId="1" xfId="0" applyFont="1" applyFill="1" applyBorder="1" applyAlignment="1">
      <alignment horizontal="center" vertical="center"/>
    </xf>
    <xf numFmtId="0" fontId="34" fillId="7" borderId="1" xfId="0" applyFont="1" applyFill="1" applyBorder="1" applyAlignment="1">
      <alignment horizontal="center" vertical="center"/>
    </xf>
    <xf numFmtId="0" fontId="35" fillId="7" borderId="1" xfId="0" applyFont="1" applyFill="1" applyBorder="1" applyAlignment="1">
      <alignment horizontal="center" vertical="center"/>
    </xf>
    <xf numFmtId="0" fontId="14" fillId="11" borderId="1" xfId="0" applyFont="1" applyFill="1" applyBorder="1" applyAlignment="1">
      <alignment horizontal="center" vertical="center"/>
    </xf>
    <xf numFmtId="0" fontId="17" fillId="14" borderId="1" xfId="0" applyFont="1" applyFill="1" applyBorder="1" applyAlignment="1">
      <alignment horizontal="center" vertical="center"/>
    </xf>
    <xf numFmtId="0" fontId="0" fillId="0" borderId="1" xfId="0" applyBorder="1" applyAlignment="1">
      <alignment horizontal="left" vertical="center" wrapText="1"/>
    </xf>
    <xf numFmtId="0" fontId="14" fillId="10" borderId="1" xfId="0" applyFont="1" applyFill="1" applyBorder="1" applyAlignment="1">
      <alignment horizontal="left" vertical="center" wrapText="1"/>
    </xf>
    <xf numFmtId="0" fontId="14" fillId="9" borderId="1" xfId="0" applyFont="1" applyFill="1" applyBorder="1" applyAlignment="1">
      <alignment horizontal="left" vertical="center" wrapText="1"/>
    </xf>
    <xf numFmtId="0" fontId="25" fillId="5" borderId="1" xfId="0" applyFont="1" applyFill="1" applyBorder="1" applyAlignment="1">
      <alignment horizontal="left" vertical="center" wrapText="1"/>
    </xf>
    <xf numFmtId="0" fontId="14" fillId="11" borderId="1" xfId="0" applyFont="1" applyFill="1" applyBorder="1" applyAlignment="1">
      <alignment horizontal="left" vertical="center" wrapText="1"/>
    </xf>
    <xf numFmtId="0" fontId="25" fillId="4" borderId="1" xfId="0" applyFont="1" applyFill="1" applyBorder="1" applyAlignment="1">
      <alignment horizontal="left" vertical="center" wrapText="1"/>
    </xf>
    <xf numFmtId="0" fontId="24" fillId="15" borderId="1" xfId="0" applyFont="1" applyFill="1" applyBorder="1" applyAlignment="1">
      <alignment horizontal="center" vertical="center" wrapText="1"/>
    </xf>
    <xf numFmtId="0" fontId="14" fillId="4" borderId="1" xfId="0" applyFont="1" applyFill="1" applyBorder="1" applyAlignment="1">
      <alignment horizontal="center" vertical="center" wrapText="1"/>
    </xf>
    <xf numFmtId="0" fontId="14" fillId="8" borderId="1" xfId="0" applyFont="1" applyFill="1" applyBorder="1" applyAlignment="1">
      <alignment horizontal="center" vertical="center" wrapText="1"/>
    </xf>
    <xf numFmtId="0" fontId="15" fillId="3" borderId="1" xfId="0" applyFont="1" applyFill="1" applyBorder="1"/>
    <xf numFmtId="0" fontId="24" fillId="16" borderId="1" xfId="0" applyFont="1" applyFill="1" applyBorder="1" applyAlignment="1">
      <alignment horizontal="center" vertical="center" wrapText="1"/>
    </xf>
    <xf numFmtId="0" fontId="14" fillId="16" borderId="1" xfId="0" applyFont="1" applyFill="1" applyBorder="1" applyAlignment="1">
      <alignment horizontal="center" vertical="center" wrapText="1"/>
    </xf>
    <xf numFmtId="0" fontId="15" fillId="0" borderId="1" xfId="0" applyFont="1" applyBorder="1" applyAlignment="1">
      <alignment horizontal="left"/>
    </xf>
    <xf numFmtId="0" fontId="41" fillId="0" borderId="1" xfId="0" applyFont="1" applyBorder="1" applyAlignment="1">
      <alignment horizontal="center"/>
    </xf>
    <xf numFmtId="0" fontId="17" fillId="17" borderId="1" xfId="0" applyFont="1" applyFill="1" applyBorder="1" applyAlignment="1">
      <alignment horizontal="center" vertical="center" wrapText="1"/>
    </xf>
    <xf numFmtId="0" fontId="14" fillId="10" borderId="1" xfId="0" applyFont="1" applyFill="1" applyBorder="1" applyAlignment="1">
      <alignment horizontal="center" vertical="center" wrapText="1"/>
    </xf>
    <xf numFmtId="0" fontId="14" fillId="17" borderId="1" xfId="0" applyFont="1" applyFill="1" applyBorder="1" applyAlignment="1">
      <alignment horizontal="center"/>
    </xf>
    <xf numFmtId="0" fontId="24" fillId="18" borderId="1" xfId="0" applyFont="1" applyFill="1" applyBorder="1" applyAlignment="1">
      <alignment horizontal="center" vertical="center" wrapText="1"/>
    </xf>
    <xf numFmtId="0" fontId="24" fillId="10" borderId="1" xfId="0" applyFont="1" applyFill="1" applyBorder="1" applyAlignment="1">
      <alignment horizontal="center" vertical="center" wrapText="1"/>
    </xf>
    <xf numFmtId="0" fontId="24" fillId="19" borderId="1" xfId="0" applyFont="1" applyFill="1" applyBorder="1" applyAlignment="1">
      <alignment horizontal="center" vertical="center" wrapText="1"/>
    </xf>
    <xf numFmtId="0" fontId="24" fillId="20" borderId="1" xfId="0" applyFont="1" applyFill="1" applyBorder="1" applyAlignment="1">
      <alignment horizontal="center" vertical="center" wrapText="1"/>
    </xf>
    <xf numFmtId="0" fontId="24" fillId="14" borderId="1" xfId="0" applyFont="1" applyFill="1" applyBorder="1" applyAlignment="1">
      <alignment horizontal="center" vertical="center" wrapText="1"/>
    </xf>
    <xf numFmtId="0" fontId="44" fillId="21" borderId="1" xfId="0" applyFont="1" applyFill="1" applyBorder="1" applyAlignment="1">
      <alignment horizontal="center" vertical="center" wrapText="1"/>
    </xf>
    <xf numFmtId="0" fontId="24" fillId="22" borderId="1" xfId="0" applyFont="1" applyFill="1" applyBorder="1" applyAlignment="1">
      <alignment horizontal="center" vertical="center" wrapText="1"/>
    </xf>
    <xf numFmtId="0" fontId="24" fillId="22" borderId="1" xfId="0" applyFont="1" applyFill="1" applyBorder="1" applyAlignment="1">
      <alignment horizontal="center" vertical="center"/>
    </xf>
    <xf numFmtId="0" fontId="24" fillId="23" borderId="1" xfId="0" applyFont="1" applyFill="1" applyBorder="1" applyAlignment="1">
      <alignment horizontal="center" vertical="center" wrapText="1"/>
    </xf>
    <xf numFmtId="0" fontId="24" fillId="24" borderId="1" xfId="0" applyFont="1" applyFill="1" applyBorder="1" applyAlignment="1">
      <alignment horizontal="center" vertical="center" wrapText="1"/>
    </xf>
    <xf numFmtId="0" fontId="24" fillId="25" borderId="1" xfId="0" applyFont="1" applyFill="1" applyBorder="1" applyAlignment="1">
      <alignment horizontal="center" vertical="center" wrapText="1"/>
    </xf>
    <xf numFmtId="0" fontId="24" fillId="26" borderId="1" xfId="0" applyFont="1" applyFill="1" applyBorder="1" applyAlignment="1">
      <alignment horizontal="center" vertical="center"/>
    </xf>
    <xf numFmtId="0" fontId="24" fillId="33" borderId="1" xfId="0" applyFont="1" applyFill="1" applyBorder="1" applyAlignment="1">
      <alignment horizontal="center" vertical="center"/>
    </xf>
    <xf numFmtId="0" fontId="24" fillId="28" borderId="1" xfId="0" applyFont="1" applyFill="1" applyBorder="1" applyAlignment="1">
      <alignment horizontal="center" vertical="center"/>
    </xf>
    <xf numFmtId="0" fontId="54" fillId="0" borderId="11" xfId="0" applyFont="1" applyBorder="1"/>
    <xf numFmtId="0" fontId="57" fillId="0" borderId="14" xfId="0" applyFont="1" applyBorder="1" applyAlignment="1">
      <alignment horizontal="left" vertical="center" indent="1"/>
    </xf>
    <xf numFmtId="0" fontId="60" fillId="0" borderId="14" xfId="0" applyFont="1" applyBorder="1" applyAlignment="1">
      <alignment horizontal="left" vertical="center" wrapText="1" indent="1"/>
    </xf>
    <xf numFmtId="0" fontId="66" fillId="41" borderId="1" xfId="0" applyFont="1" applyFill="1" applyBorder="1" applyAlignment="1">
      <alignment horizontal="center" vertical="center"/>
    </xf>
    <xf numFmtId="0" fontId="66" fillId="42" borderId="1" xfId="0" applyFont="1" applyFill="1" applyBorder="1" applyAlignment="1">
      <alignment horizontal="center" vertical="center" wrapText="1"/>
    </xf>
    <xf numFmtId="0" fontId="66" fillId="43" borderId="1" xfId="0" applyFont="1" applyFill="1" applyBorder="1" applyAlignment="1">
      <alignment horizontal="center" vertical="center" wrapText="1"/>
    </xf>
    <xf numFmtId="0" fontId="68" fillId="0" borderId="14" xfId="0" applyFont="1" applyBorder="1"/>
    <xf numFmtId="14" fontId="68" fillId="0" borderId="14" xfId="0" applyNumberFormat="1" applyFont="1" applyBorder="1"/>
    <xf numFmtId="0" fontId="68" fillId="49" borderId="14" xfId="0" applyFont="1" applyFill="1" applyBorder="1"/>
    <xf numFmtId="14" fontId="68" fillId="49" borderId="14" xfId="0" applyNumberFormat="1" applyFont="1" applyFill="1" applyBorder="1"/>
    <xf numFmtId="0" fontId="69" fillId="50" borderId="14" xfId="0" applyFont="1" applyFill="1" applyBorder="1"/>
    <xf numFmtId="0" fontId="69" fillId="51" borderId="14" xfId="0" applyFont="1" applyFill="1" applyBorder="1"/>
    <xf numFmtId="0" fontId="69" fillId="52" borderId="14" xfId="0" applyFont="1" applyFill="1" applyBorder="1" applyAlignment="1">
      <alignment horizontal="center"/>
    </xf>
    <xf numFmtId="9" fontId="68" fillId="0" borderId="14" xfId="0" applyNumberFormat="1" applyFont="1" applyBorder="1" applyAlignment="1">
      <alignment horizontal="center"/>
    </xf>
    <xf numFmtId="14" fontId="17" fillId="6" borderId="1" xfId="0" applyNumberFormat="1" applyFont="1" applyFill="1" applyBorder="1" applyAlignment="1">
      <alignment horizontal="center"/>
    </xf>
    <xf numFmtId="0" fontId="70" fillId="53" borderId="0" xfId="0" applyFont="1" applyFill="1" applyBorder="1"/>
    <xf numFmtId="22" fontId="0" fillId="0" borderId="0" xfId="0" applyNumberFormat="1" applyBorder="1"/>
    <xf numFmtId="0" fontId="71" fillId="54" borderId="44" xfId="0" applyFont="1" applyFill="1" applyBorder="1" applyAlignment="1">
      <alignment horizontal="center" vertical="center"/>
    </xf>
    <xf numFmtId="0" fontId="72" fillId="55" borderId="45" xfId="0" applyFont="1" applyFill="1" applyBorder="1" applyAlignment="1">
      <alignment horizontal="center" vertical="center"/>
    </xf>
    <xf numFmtId="0" fontId="73" fillId="56" borderId="46" xfId="0" applyFont="1" applyFill="1" applyBorder="1" applyAlignment="1">
      <alignment horizontal="center" vertical="center" wrapText="1"/>
    </xf>
    <xf numFmtId="0" fontId="0" fillId="0" borderId="46" xfId="0" applyBorder="1" applyAlignment="1">
      <alignment vertical="top" wrapText="1"/>
    </xf>
    <xf numFmtId="0" fontId="0" fillId="0" borderId="46" xfId="0" applyBorder="1"/>
    <xf numFmtId="0" fontId="73" fillId="56" borderId="46" xfId="0" applyFont="1" applyFill="1" applyBorder="1" applyAlignment="1">
      <alignment horizontal="center" wrapText="1"/>
    </xf>
    <xf numFmtId="0" fontId="0" fillId="59" borderId="0" xfId="0" applyFill="1" applyBorder="1"/>
    <xf numFmtId="0" fontId="0" fillId="60" borderId="0" xfId="0" applyFill="1" applyBorder="1"/>
    <xf numFmtId="0" fontId="0" fillId="61" borderId="0" xfId="0" applyFill="1" applyBorder="1"/>
    <xf numFmtId="0" fontId="0" fillId="0" borderId="46" xfId="0" applyBorder="1" applyAlignment="1">
      <alignment vertical="center" wrapText="1"/>
    </xf>
    <xf numFmtId="0" fontId="0" fillId="59" borderId="46" xfId="0" applyFill="1" applyBorder="1" applyAlignment="1">
      <alignment vertical="center" wrapText="1"/>
    </xf>
    <xf numFmtId="0" fontId="81" fillId="0" borderId="0" xfId="0" applyFont="1" applyBorder="1" applyAlignment="1">
      <alignment horizontal="center"/>
    </xf>
    <xf numFmtId="0" fontId="80" fillId="64" borderId="46" xfId="0" applyFont="1" applyFill="1" applyBorder="1" applyAlignment="1">
      <alignment horizontal="center" vertical="center" wrapText="1"/>
    </xf>
    <xf numFmtId="0" fontId="82" fillId="64" borderId="46" xfId="0" applyFont="1" applyFill="1" applyBorder="1" applyAlignment="1">
      <alignment vertical="top" wrapText="1"/>
    </xf>
    <xf numFmtId="0" fontId="84" fillId="66" borderId="47" xfId="0" applyFont="1" applyFill="1" applyBorder="1" applyAlignment="1">
      <alignment horizontal="center" vertical="center"/>
    </xf>
    <xf numFmtId="0" fontId="79" fillId="0" borderId="47" xfId="0" applyFont="1" applyBorder="1" applyAlignment="1">
      <alignment horizontal="left" vertical="center"/>
    </xf>
    <xf numFmtId="0" fontId="77" fillId="0" borderId="47" xfId="0" applyFont="1" applyBorder="1" applyAlignment="1">
      <alignment horizontal="center" vertical="center"/>
    </xf>
    <xf numFmtId="0" fontId="79" fillId="44" borderId="47" xfId="0" applyFont="1" applyFill="1" applyBorder="1" applyAlignment="1">
      <alignment horizontal="center" vertical="center"/>
    </xf>
    <xf numFmtId="0" fontId="54" fillId="0" borderId="47" xfId="0" applyFont="1" applyBorder="1"/>
    <xf numFmtId="0" fontId="77" fillId="67" borderId="47" xfId="0" applyFont="1" applyFill="1" applyBorder="1" applyAlignment="1">
      <alignment horizontal="center" vertical="center"/>
    </xf>
    <xf numFmtId="0" fontId="79" fillId="45" borderId="47" xfId="0" applyFont="1" applyFill="1" applyBorder="1" applyAlignment="1">
      <alignment horizontal="center" vertical="center"/>
    </xf>
    <xf numFmtId="0" fontId="84" fillId="71" borderId="47" xfId="0" applyFont="1" applyFill="1" applyBorder="1" applyAlignment="1">
      <alignment horizontal="center" vertical="center"/>
    </xf>
    <xf numFmtId="0" fontId="87" fillId="0" borderId="47" xfId="0" applyFont="1" applyBorder="1" applyAlignment="1">
      <alignment horizontal="center" vertical="center"/>
    </xf>
    <xf numFmtId="0" fontId="82" fillId="0" borderId="47" xfId="0" applyFont="1" applyBorder="1" applyAlignment="1">
      <alignment horizontal="left" vertical="center"/>
    </xf>
    <xf numFmtId="0" fontId="79" fillId="46" borderId="47" xfId="0" applyFont="1" applyFill="1" applyBorder="1" applyAlignment="1">
      <alignment horizontal="center" vertical="center"/>
    </xf>
    <xf numFmtId="0" fontId="84" fillId="72" borderId="47" xfId="0" applyFont="1" applyFill="1" applyBorder="1" applyAlignment="1">
      <alignment horizontal="center" vertical="center"/>
    </xf>
    <xf numFmtId="0" fontId="88" fillId="0" borderId="47" xfId="0" applyFont="1" applyBorder="1" applyAlignment="1">
      <alignment horizontal="center" vertical="center"/>
    </xf>
    <xf numFmtId="0" fontId="84" fillId="73" borderId="47" xfId="0" applyFont="1" applyFill="1" applyBorder="1" applyAlignment="1">
      <alignment horizontal="center" vertical="center"/>
    </xf>
    <xf numFmtId="0" fontId="89" fillId="0" borderId="47" xfId="0" applyFont="1" applyBorder="1" applyAlignment="1">
      <alignment horizontal="center" vertical="center"/>
    </xf>
    <xf numFmtId="0" fontId="77" fillId="68" borderId="47" xfId="0" applyFont="1" applyFill="1" applyBorder="1" applyAlignment="1">
      <alignment horizontal="center" vertical="center"/>
    </xf>
    <xf numFmtId="0" fontId="79" fillId="47" borderId="47" xfId="0" applyFont="1" applyFill="1" applyBorder="1" applyAlignment="1">
      <alignment horizontal="center" vertical="center"/>
    </xf>
    <xf numFmtId="0" fontId="77" fillId="69" borderId="47" xfId="0" applyFont="1" applyFill="1" applyBorder="1" applyAlignment="1">
      <alignment horizontal="center" vertical="center"/>
    </xf>
    <xf numFmtId="0" fontId="79" fillId="48" borderId="47" xfId="0" applyFont="1" applyFill="1" applyBorder="1" applyAlignment="1">
      <alignment horizontal="center" vertical="center"/>
    </xf>
    <xf numFmtId="0" fontId="90" fillId="0" borderId="47" xfId="0" applyFont="1" applyBorder="1" applyAlignment="1">
      <alignment horizontal="center" vertical="center"/>
    </xf>
    <xf numFmtId="0" fontId="82" fillId="0" borderId="47" xfId="0" applyFont="1" applyBorder="1" applyAlignment="1">
      <alignment horizontal="center" vertical="center"/>
    </xf>
    <xf numFmtId="0" fontId="91" fillId="0" borderId="47" xfId="0" applyFont="1" applyBorder="1" applyAlignment="1">
      <alignment horizontal="center" vertical="center"/>
    </xf>
    <xf numFmtId="0" fontId="93" fillId="0" borderId="11" xfId="0" applyFont="1" applyBorder="1"/>
    <xf numFmtId="0" fontId="94" fillId="0" borderId="11" xfId="0" applyFont="1" applyBorder="1"/>
    <xf numFmtId="0" fontId="16" fillId="76" borderId="46" xfId="0" applyFont="1" applyFill="1" applyBorder="1" applyAlignment="1">
      <alignment horizontal="center" vertical="center" wrapText="1"/>
    </xf>
    <xf numFmtId="0" fontId="14" fillId="76" borderId="46" xfId="0" applyFont="1" applyFill="1" applyBorder="1" applyAlignment="1">
      <alignment horizontal="center" vertical="center" wrapText="1"/>
    </xf>
    <xf numFmtId="0" fontId="70" fillId="77" borderId="0" xfId="0" applyFont="1" applyFill="1" applyBorder="1" applyAlignment="1">
      <alignment horizontal="center"/>
    </xf>
    <xf numFmtId="22" fontId="95" fillId="0" borderId="47" xfId="0" applyNumberFormat="1" applyFont="1" applyBorder="1"/>
    <xf numFmtId="0" fontId="95" fillId="0" borderId="47" xfId="0" applyFont="1" applyBorder="1"/>
    <xf numFmtId="0" fontId="85" fillId="70" borderId="47" xfId="0" applyFont="1" applyFill="1" applyBorder="1" applyAlignment="1">
      <alignment horizontal="center" vertical="center"/>
    </xf>
    <xf numFmtId="0" fontId="0" fillId="0" borderId="47" xfId="0" applyBorder="1"/>
    <xf numFmtId="0" fontId="63" fillId="35" borderId="22" xfId="0" applyFont="1" applyFill="1" applyBorder="1" applyAlignment="1">
      <alignment horizontal="center" vertical="center"/>
    </xf>
    <xf numFmtId="0" fontId="58" fillId="39" borderId="21" xfId="0" applyFont="1" applyFill="1" applyBorder="1" applyAlignment="1">
      <alignment horizontal="center" vertical="center"/>
    </xf>
    <xf numFmtId="0" fontId="0" fillId="0" borderId="25" xfId="0" applyBorder="1"/>
    <xf numFmtId="0" fontId="0" fillId="0" borderId="26" xfId="0" applyBorder="1"/>
    <xf numFmtId="0" fontId="59" fillId="35" borderId="16" xfId="0" applyFont="1" applyFill="1" applyBorder="1" applyAlignment="1">
      <alignment horizontal="center" vertical="center"/>
    </xf>
    <xf numFmtId="0" fontId="67" fillId="0" borderId="39" xfId="0" applyFont="1" applyAlignment="1">
      <alignment horizontal="center" vertical="center"/>
    </xf>
    <xf numFmtId="0" fontId="0" fillId="0" borderId="0" xfId="0" applyBorder="1"/>
    <xf numFmtId="0" fontId="84" fillId="70" borderId="47" xfId="0" applyFont="1" applyFill="1" applyBorder="1" applyAlignment="1">
      <alignment horizontal="center" vertical="center"/>
    </xf>
    <xf numFmtId="0" fontId="86" fillId="0" borderId="47" xfId="0" applyFont="1" applyBorder="1" applyAlignment="1">
      <alignment horizontal="center" vertical="center"/>
    </xf>
    <xf numFmtId="0" fontId="83" fillId="65" borderId="12" xfId="0" applyFont="1" applyFill="1" applyBorder="1" applyAlignment="1">
      <alignment horizontal="center" vertical="center"/>
    </xf>
    <xf numFmtId="0" fontId="0" fillId="0" borderId="33" xfId="0" applyBorder="1"/>
    <xf numFmtId="0" fontId="0" fillId="0" borderId="34" xfId="0" applyBorder="1"/>
    <xf numFmtId="0" fontId="65" fillId="35" borderId="14" xfId="0" applyFont="1" applyFill="1" applyBorder="1" applyAlignment="1">
      <alignment horizontal="center" vertical="center" wrapText="1"/>
    </xf>
    <xf numFmtId="0" fontId="0" fillId="0" borderId="29" xfId="0" applyBorder="1"/>
    <xf numFmtId="0" fontId="0" fillId="0" borderId="30" xfId="0" applyBorder="1"/>
    <xf numFmtId="0" fontId="64" fillId="35" borderId="24" xfId="0" applyFont="1" applyFill="1" applyBorder="1" applyAlignment="1">
      <alignment horizontal="center" vertical="center"/>
    </xf>
    <xf numFmtId="0" fontId="0" fillId="0" borderId="27" xfId="0" applyBorder="1"/>
    <xf numFmtId="0" fontId="0" fillId="0" borderId="28" xfId="0" applyBorder="1"/>
    <xf numFmtId="0" fontId="62" fillId="35" borderId="20" xfId="0" applyFont="1" applyFill="1" applyBorder="1" applyAlignment="1">
      <alignment horizontal="center" vertical="center"/>
    </xf>
    <xf numFmtId="0" fontId="92" fillId="74" borderId="47" xfId="0" applyFont="1" applyFill="1" applyBorder="1" applyAlignment="1">
      <alignment horizontal="center" vertical="center"/>
    </xf>
    <xf numFmtId="0" fontId="58" fillId="38" borderId="19" xfId="0" applyFont="1" applyFill="1" applyBorder="1" applyAlignment="1">
      <alignment horizontal="center" vertical="center"/>
    </xf>
    <xf numFmtId="0" fontId="0" fillId="0" borderId="42" xfId="0" applyBorder="1"/>
    <xf numFmtId="0" fontId="0" fillId="0" borderId="43" xfId="0" applyBorder="1"/>
    <xf numFmtId="0" fontId="61" fillId="35" borderId="18" xfId="0" applyFont="1" applyFill="1" applyBorder="1" applyAlignment="1">
      <alignment horizontal="center" vertical="center"/>
    </xf>
    <xf numFmtId="0" fontId="83" fillId="75" borderId="13" xfId="0" applyFont="1" applyFill="1" applyBorder="1" applyAlignment="1">
      <alignment horizontal="center" vertical="center"/>
    </xf>
    <xf numFmtId="0" fontId="0" fillId="0" borderId="31" xfId="0" applyBorder="1"/>
    <xf numFmtId="0" fontId="0" fillId="0" borderId="32" xfId="0" applyBorder="1"/>
    <xf numFmtId="0" fontId="55" fillId="34" borderId="12" xfId="0" applyFont="1" applyFill="1" applyBorder="1" applyAlignment="1">
      <alignment horizontal="center" vertical="center"/>
    </xf>
    <xf numFmtId="0" fontId="58" fillId="36" borderId="15" xfId="0" applyFont="1" applyFill="1" applyBorder="1" applyAlignment="1">
      <alignment horizontal="center" vertical="center"/>
    </xf>
    <xf numFmtId="0" fontId="0" fillId="0" borderId="35" xfId="0" applyBorder="1"/>
    <xf numFmtId="0" fontId="0" fillId="0" borderId="36" xfId="0" applyBorder="1"/>
    <xf numFmtId="0" fontId="58" fillId="37" borderId="17" xfId="0" applyFont="1" applyFill="1" applyBorder="1" applyAlignment="1">
      <alignment horizontal="center" vertical="center"/>
    </xf>
    <xf numFmtId="0" fontId="0" fillId="0" borderId="37" xfId="0" applyBorder="1"/>
    <xf numFmtId="0" fontId="0" fillId="0" borderId="38" xfId="0" applyBorder="1"/>
    <xf numFmtId="0" fontId="56" fillId="35" borderId="39" xfId="0" applyFont="1" applyFill="1" applyAlignment="1">
      <alignment horizontal="center" vertical="center"/>
    </xf>
    <xf numFmtId="0" fontId="58" fillId="40" borderId="23" xfId="0" applyFont="1" applyFill="1" applyBorder="1" applyAlignment="1">
      <alignment horizontal="center" vertical="center"/>
    </xf>
    <xf numFmtId="0" fontId="0" fillId="0" borderId="40" xfId="0" applyBorder="1"/>
    <xf numFmtId="0" fontId="0" fillId="0" borderId="41" xfId="0" applyBorder="1"/>
    <xf numFmtId="0" fontId="74" fillId="0" borderId="39" xfId="0" applyFont="1" applyAlignment="1">
      <alignment horizontal="center" vertical="center"/>
    </xf>
    <xf numFmtId="0" fontId="79" fillId="0" borderId="39" xfId="0" applyFont="1" applyAlignment="1">
      <alignment horizontal="left" wrapText="1"/>
    </xf>
    <xf numFmtId="0" fontId="75" fillId="0" borderId="39" xfId="0" applyFont="1" applyAlignment="1">
      <alignment horizontal="center"/>
    </xf>
    <xf numFmtId="0" fontId="76" fillId="63" borderId="39" xfId="0" applyFont="1" applyFill="1" applyAlignment="1">
      <alignment horizontal="center"/>
    </xf>
    <xf numFmtId="0" fontId="76" fillId="58" borderId="39" xfId="0" applyFont="1" applyFill="1" applyAlignment="1">
      <alignment horizontal="center"/>
    </xf>
    <xf numFmtId="0" fontId="76" fillId="62" borderId="39" xfId="0" applyFont="1" applyFill="1" applyAlignment="1">
      <alignment horizontal="center"/>
    </xf>
    <xf numFmtId="0" fontId="76" fillId="57" borderId="39" xfId="0" applyFont="1" applyFill="1" applyAlignment="1">
      <alignment horizontal="center"/>
    </xf>
    <xf numFmtId="0" fontId="78" fillId="0" borderId="39" xfId="0" applyFont="1" applyAlignment="1">
      <alignment horizontal="center"/>
    </xf>
    <xf numFmtId="0" fontId="73" fillId="57" borderId="39" xfId="0" applyFont="1" applyFill="1" applyAlignment="1">
      <alignment horizontal="center"/>
    </xf>
    <xf numFmtId="0" fontId="73" fillId="58" borderId="39" xfId="0" applyFont="1" applyFill="1" applyAlignment="1">
      <alignment horizontal="center"/>
    </xf>
    <xf numFmtId="0" fontId="0" fillId="0" borderId="39" xfId="0" applyAlignment="1">
      <alignment vertical="top" wrapText="1"/>
    </xf>
    <xf numFmtId="0" fontId="77" fillId="0" borderId="39" xfId="0" applyFont="1" applyAlignment="1">
      <alignment horizontal="center"/>
    </xf>
    <xf numFmtId="0" fontId="16" fillId="15" borderId="39" xfId="0" applyFont="1" applyFill="1" applyAlignment="1">
      <alignment horizontal="center" vertical="center"/>
    </xf>
    <xf numFmtId="0" fontId="4" fillId="2" borderId="39" xfId="0" applyFont="1" applyFill="1" applyAlignment="1">
      <alignment horizontal="center" vertical="center" wrapText="1"/>
    </xf>
    <xf numFmtId="0" fontId="5" fillId="0" borderId="39" xfId="0" applyFont="1" applyAlignment="1">
      <alignment horizontal="center" vertical="center"/>
    </xf>
    <xf numFmtId="0" fontId="6" fillId="0" borderId="39" xfId="0" applyFont="1" applyAlignment="1">
      <alignment horizontal="center" vertical="center"/>
    </xf>
    <xf numFmtId="0" fontId="10" fillId="0" borderId="39" xfId="0" applyFont="1" applyAlignment="1">
      <alignment horizontal="center" vertical="center"/>
    </xf>
    <xf numFmtId="0" fontId="11" fillId="0" borderId="39" xfId="0" applyFont="1" applyAlignment="1">
      <alignment horizontal="center" vertical="center"/>
    </xf>
    <xf numFmtId="0" fontId="7" fillId="3" borderId="39" xfId="0" applyFont="1" applyFill="1" applyAlignment="1">
      <alignment horizontal="center" vertical="center"/>
    </xf>
    <xf numFmtId="0" fontId="8" fillId="0" borderId="39" xfId="0" applyFont="1" applyAlignment="1">
      <alignment horizontal="center" vertical="center"/>
    </xf>
    <xf numFmtId="0" fontId="9" fillId="0" borderId="39" xfId="0" applyFont="1" applyAlignment="1">
      <alignment horizontal="center" vertical="center"/>
    </xf>
    <xf numFmtId="0" fontId="46" fillId="0" borderId="39" xfId="0" applyFont="1"/>
    <xf numFmtId="0" fontId="16" fillId="26" borderId="39" xfId="0" applyFont="1" applyFill="1" applyAlignment="1">
      <alignment horizontal="center" vertical="center"/>
    </xf>
    <xf numFmtId="0" fontId="47" fillId="0" borderId="39" xfId="0" applyFont="1"/>
    <xf numFmtId="0" fontId="52" fillId="0" borderId="39" xfId="0" applyFont="1"/>
    <xf numFmtId="0" fontId="16" fillId="20" borderId="39" xfId="0" applyFont="1" applyFill="1" applyAlignment="1">
      <alignment horizontal="center" vertical="center"/>
    </xf>
    <xf numFmtId="0" fontId="53" fillId="0" borderId="39" xfId="0" applyFont="1"/>
    <xf numFmtId="0" fontId="16" fillId="14" borderId="39" xfId="0" applyFont="1" applyFill="1" applyAlignment="1">
      <alignment horizontal="center" vertical="center"/>
    </xf>
    <xf numFmtId="0" fontId="16" fillId="29" borderId="39" xfId="0" applyFont="1" applyFill="1" applyAlignment="1">
      <alignment horizontal="center" vertical="center"/>
    </xf>
    <xf numFmtId="0" fontId="12" fillId="4" borderId="39" xfId="0" applyFont="1" applyFill="1" applyAlignment="1">
      <alignment horizontal="center" vertical="center"/>
    </xf>
    <xf numFmtId="0" fontId="13" fillId="0" borderId="39" xfId="0" applyFont="1"/>
    <xf numFmtId="0" fontId="0" fillId="0" borderId="46" xfId="0" applyBorder="1" applyAlignment="1">
      <alignment vertical="top" wrapText="1"/>
    </xf>
    <xf numFmtId="0" fontId="0" fillId="0" borderId="2" xfId="0" applyBorder="1"/>
    <xf numFmtId="0" fontId="0" fillId="0" borderId="4" xfId="0" applyBorder="1"/>
    <xf numFmtId="0" fontId="0" fillId="0" borderId="3" xfId="0" applyBorder="1"/>
    <xf numFmtId="0" fontId="0" fillId="0" borderId="5" xfId="0" applyBorder="1"/>
    <xf numFmtId="0" fontId="0" fillId="0" borderId="6" xfId="0" applyBorder="1"/>
    <xf numFmtId="0" fontId="0" fillId="0" borderId="7" xfId="0" applyBorder="1"/>
    <xf numFmtId="0" fontId="0" fillId="0" borderId="8" xfId="0" applyBorder="1"/>
    <xf numFmtId="0" fontId="16" fillId="5" borderId="39" xfId="0" applyFont="1" applyFill="1" applyAlignment="1">
      <alignment horizontal="center" vertical="center"/>
    </xf>
    <xf numFmtId="0" fontId="16" fillId="24" borderId="39" xfId="0" applyFont="1" applyFill="1" applyAlignment="1">
      <alignment horizontal="center" vertical="center"/>
    </xf>
    <xf numFmtId="0" fontId="16" fillId="17" borderId="39" xfId="0" applyFont="1" applyFill="1" applyAlignment="1">
      <alignment horizontal="center" vertical="center"/>
    </xf>
    <xf numFmtId="0" fontId="16" fillId="30" borderId="39" xfId="0" applyFont="1" applyFill="1" applyAlignment="1">
      <alignment horizontal="center" vertical="center"/>
    </xf>
    <xf numFmtId="0" fontId="16" fillId="31" borderId="39" xfId="0" applyFont="1" applyFill="1" applyAlignment="1">
      <alignment horizontal="center" vertical="center"/>
    </xf>
    <xf numFmtId="0" fontId="16" fillId="25" borderId="39" xfId="0" applyFont="1" applyFill="1" applyAlignment="1">
      <alignment horizontal="center" vertical="center"/>
    </xf>
    <xf numFmtId="0" fontId="16" fillId="32" borderId="39" xfId="0" applyFont="1" applyFill="1" applyAlignment="1">
      <alignment horizontal="center" vertical="center"/>
    </xf>
    <xf numFmtId="0" fontId="16" fillId="33" borderId="39" xfId="0" applyFont="1" applyFill="1" applyAlignment="1">
      <alignment horizontal="center" vertical="center"/>
    </xf>
    <xf numFmtId="0" fontId="16" fillId="23" borderId="39" xfId="0" applyFont="1" applyFill="1" applyAlignment="1">
      <alignment horizontal="center" vertical="center"/>
    </xf>
    <xf numFmtId="0" fontId="18" fillId="0" borderId="39" xfId="0" applyFont="1"/>
    <xf numFmtId="0" fontId="12" fillId="6" borderId="39" xfId="0" applyFont="1" applyFill="1" applyAlignment="1">
      <alignment horizontal="center" vertical="center"/>
    </xf>
    <xf numFmtId="0" fontId="26" fillId="0" borderId="39" xfId="0" applyFont="1"/>
    <xf numFmtId="0" fontId="14" fillId="8" borderId="48" xfId="0" applyFont="1" applyFill="1" applyBorder="1" applyAlignment="1">
      <alignment horizontal="center" vertical="center"/>
    </xf>
    <xf numFmtId="0" fontId="14" fillId="8" borderId="9" xfId="0" applyFont="1" applyFill="1" applyBorder="1" applyAlignment="1">
      <alignment horizontal="center" vertical="center"/>
    </xf>
    <xf numFmtId="0" fontId="14" fillId="8" borderId="10" xfId="0" applyFont="1" applyFill="1" applyBorder="1" applyAlignment="1">
      <alignment horizontal="center" vertical="center"/>
    </xf>
    <xf numFmtId="0" fontId="14" fillId="9" borderId="48" xfId="0" applyFont="1" applyFill="1" applyBorder="1" applyAlignment="1">
      <alignment horizontal="center" vertical="center"/>
    </xf>
    <xf numFmtId="0" fontId="14" fillId="9" borderId="9" xfId="0" applyFont="1" applyFill="1" applyBorder="1" applyAlignment="1">
      <alignment horizontal="center" vertical="center"/>
    </xf>
    <xf numFmtId="0" fontId="14" fillId="9" borderId="10" xfId="0" applyFont="1" applyFill="1" applyBorder="1" applyAlignment="1">
      <alignment horizontal="center" vertical="center"/>
    </xf>
    <xf numFmtId="0" fontId="14" fillId="5" borderId="48" xfId="0" applyFont="1" applyFill="1" applyBorder="1" applyAlignment="1">
      <alignment horizontal="center" vertical="center"/>
    </xf>
    <xf numFmtId="0" fontId="14" fillId="5" borderId="9" xfId="0" applyFont="1" applyFill="1" applyBorder="1" applyAlignment="1">
      <alignment horizontal="center" vertical="center"/>
    </xf>
    <xf numFmtId="0" fontId="14" fillId="5" borderId="10" xfId="0" applyFont="1" applyFill="1" applyBorder="1" applyAlignment="1">
      <alignment horizontal="center" vertical="center"/>
    </xf>
    <xf numFmtId="0" fontId="14" fillId="4" borderId="48" xfId="0" applyFont="1" applyFill="1" applyBorder="1" applyAlignment="1">
      <alignment horizontal="center" vertical="center"/>
    </xf>
    <xf numFmtId="0" fontId="14" fillId="4" borderId="9" xfId="0" applyFont="1" applyFill="1" applyBorder="1" applyAlignment="1">
      <alignment horizontal="center" vertical="center"/>
    </xf>
    <xf numFmtId="0" fontId="14" fillId="4" borderId="10" xfId="0" applyFont="1" applyFill="1" applyBorder="1" applyAlignment="1">
      <alignment horizontal="center" vertical="center"/>
    </xf>
    <xf numFmtId="0" fontId="16" fillId="9" borderId="39" xfId="0" applyFont="1" applyFill="1" applyAlignment="1">
      <alignment horizontal="center" vertical="center"/>
    </xf>
    <xf numFmtId="0" fontId="16" fillId="10" borderId="39" xfId="0" applyFont="1" applyFill="1" applyAlignment="1">
      <alignment horizontal="center" vertical="center"/>
    </xf>
    <xf numFmtId="0" fontId="25" fillId="9" borderId="46" xfId="0" applyFont="1" applyFill="1" applyBorder="1" applyAlignment="1">
      <alignment horizontal="center" vertical="center"/>
    </xf>
    <xf numFmtId="0" fontId="0" fillId="0" borderId="9" xfId="0" applyBorder="1"/>
    <xf numFmtId="0" fontId="0" fillId="0" borderId="10" xfId="0" applyBorder="1"/>
    <xf numFmtId="0" fontId="24" fillId="11" borderId="46" xfId="0" applyFont="1" applyFill="1" applyBorder="1" applyAlignment="1">
      <alignment horizontal="center" vertical="center"/>
    </xf>
    <xf numFmtId="0" fontId="28" fillId="0" borderId="39" xfId="0" applyFont="1" applyAlignment="1">
      <alignment horizontal="center" vertical="center"/>
    </xf>
    <xf numFmtId="0" fontId="27" fillId="0" borderId="39" xfId="0" applyFont="1"/>
    <xf numFmtId="0" fontId="14" fillId="8" borderId="46" xfId="0" applyFont="1" applyFill="1" applyBorder="1" applyAlignment="1">
      <alignment horizontal="center" vertical="center"/>
    </xf>
    <xf numFmtId="0" fontId="31" fillId="0" borderId="39" xfId="0" applyFont="1"/>
    <xf numFmtId="0" fontId="14" fillId="10" borderId="46" xfId="0" applyFont="1" applyFill="1" applyBorder="1" applyAlignment="1">
      <alignment horizontal="center" vertical="center"/>
    </xf>
    <xf numFmtId="0" fontId="28" fillId="0" borderId="39" xfId="0" applyFont="1"/>
    <xf numFmtId="0" fontId="25" fillId="4" borderId="46" xfId="0" applyFont="1" applyFill="1" applyBorder="1" applyAlignment="1">
      <alignment horizontal="center" vertical="center"/>
    </xf>
    <xf numFmtId="0" fontId="25" fillId="5" borderId="46" xfId="0" applyFont="1" applyFill="1" applyBorder="1" applyAlignment="1">
      <alignment horizontal="center" vertical="center"/>
    </xf>
    <xf numFmtId="0" fontId="36" fillId="0" borderId="39" xfId="0" applyFont="1"/>
    <xf numFmtId="0" fontId="16" fillId="13" borderId="39" xfId="0" applyFont="1" applyFill="1" applyAlignment="1">
      <alignment horizontal="center" vertical="center"/>
    </xf>
    <xf numFmtId="0" fontId="1" fillId="0" borderId="39" xfId="0" applyFont="1"/>
    <xf numFmtId="0" fontId="37" fillId="0" borderId="39" xfId="0" applyFont="1"/>
    <xf numFmtId="0" fontId="39" fillId="0" borderId="39" xfId="0" applyFont="1"/>
    <xf numFmtId="0" fontId="38" fillId="0" borderId="39" xfId="0" applyFont="1"/>
    <xf numFmtId="0" fontId="40" fillId="0" borderId="39" xfId="0" applyFont="1"/>
    <xf numFmtId="0" fontId="16" fillId="16" borderId="39" xfId="0" applyFont="1" applyFill="1" applyAlignment="1">
      <alignment horizontal="center" vertical="center"/>
    </xf>
    <xf numFmtId="0" fontId="41" fillId="0" borderId="39" xfId="0" applyFont="1"/>
    <xf numFmtId="0" fontId="42" fillId="0" borderId="39" xfId="0" applyFont="1"/>
    <xf numFmtId="0" fontId="0" fillId="0" borderId="46" xfId="0" applyBorder="1" applyAlignment="1">
      <alignment horizontal="left"/>
    </xf>
    <xf numFmtId="0" fontId="43" fillId="0" borderId="39" xfId="0" applyFont="1"/>
    <xf numFmtId="0" fontId="16" fillId="18" borderId="39" xfId="0" applyFont="1" applyFill="1" applyAlignment="1">
      <alignment horizontal="center" vertical="center"/>
    </xf>
    <xf numFmtId="0" fontId="16" fillId="19" borderId="39" xfId="0" applyFont="1" applyFill="1" applyAlignment="1">
      <alignment horizontal="center" vertical="center"/>
    </xf>
    <xf numFmtId="0" fontId="16" fillId="21" borderId="39" xfId="0" applyFont="1" applyFill="1" applyAlignment="1">
      <alignment horizontal="center" vertical="center"/>
    </xf>
    <xf numFmtId="0" fontId="45" fillId="0" borderId="39" xfId="0" applyFont="1"/>
    <xf numFmtId="0" fontId="16" fillId="22" borderId="39" xfId="0" applyFont="1" applyFill="1" applyAlignment="1">
      <alignment horizontal="center" vertical="center"/>
    </xf>
    <xf numFmtId="0" fontId="41" fillId="3" borderId="39" xfId="0" applyFont="1" applyFill="1" applyAlignment="1">
      <alignment horizontal="left" vertical="top" wrapText="1"/>
    </xf>
    <xf numFmtId="0" fontId="51" fillId="0" borderId="39" xfId="0" applyFont="1" applyAlignment="1">
      <alignment horizontal="left" vertical="top" wrapText="1"/>
    </xf>
    <xf numFmtId="0" fontId="49" fillId="3" borderId="39" xfId="0" applyFont="1" applyFill="1" applyAlignment="1">
      <alignment horizontal="left" vertical="top" wrapText="1"/>
    </xf>
    <xf numFmtId="0" fontId="12" fillId="27" borderId="39" xfId="0" applyFont="1" applyFill="1" applyAlignment="1">
      <alignment horizontal="center" vertical="center"/>
    </xf>
    <xf numFmtId="0" fontId="50" fillId="0" borderId="39" xfId="0" applyFont="1" applyAlignment="1">
      <alignment horizontal="left" vertical="top" wrapText="1"/>
    </xf>
    <xf numFmtId="0" fontId="48" fillId="3" borderId="39" xfId="0" applyFont="1" applyFill="1" applyAlignment="1">
      <alignment horizontal="left" vertical="top" wrapText="1"/>
    </xf>
    <xf numFmtId="0" fontId="16" fillId="28" borderId="39" xfId="0" applyFont="1" applyFill="1" applyAlignment="1">
      <alignment horizontal="center" vertical="center"/>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microsoft.com/office/2017/10/relationships/person" Target="persons/pers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tyles" Target="styles.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19050</xdr:colOff>
          <xdr:row>12</xdr:row>
          <xdr:rowOff>19050</xdr:rowOff>
        </xdr:from>
        <xdr:to>
          <xdr:col>8</xdr:col>
          <xdr:colOff>1638300</xdr:colOff>
          <xdr:row>12</xdr:row>
          <xdr:rowOff>247650</xdr:rowOff>
        </xdr:to>
        <xdr:sp macro="" textlink="">
          <xdr:nvSpPr>
            <xdr:cNvPr id="1096" name="Button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Ingresar Activo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13</xdr:row>
          <xdr:rowOff>19050</xdr:rowOff>
        </xdr:from>
        <xdr:to>
          <xdr:col>8</xdr:col>
          <xdr:colOff>1638300</xdr:colOff>
          <xdr:row>13</xdr:row>
          <xdr:rowOff>247650</xdr:rowOff>
        </xdr:to>
        <xdr:sp macro="" textlink="">
          <xdr:nvSpPr>
            <xdr:cNvPr id="1097" name="Button 73" hidden="1">
              <a:extLst>
                <a:ext uri="{63B3BB69-23CF-44E3-9099-C40C66FF867C}">
                  <a14:compatExt spid="_x0000_s1097"/>
                </a:ext>
                <a:ext uri="{FF2B5EF4-FFF2-40B4-BE49-F238E27FC236}">
                  <a16:creationId xmlns:a16="http://schemas.microsoft.com/office/drawing/2014/main" id="{00000000-0008-0000-0000-00004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Generar Reporte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14</xdr:row>
          <xdr:rowOff>19050</xdr:rowOff>
        </xdr:from>
        <xdr:to>
          <xdr:col>8</xdr:col>
          <xdr:colOff>1638300</xdr:colOff>
          <xdr:row>14</xdr:row>
          <xdr:rowOff>247650</xdr:rowOff>
        </xdr:to>
        <xdr:sp macro="" textlink="">
          <xdr:nvSpPr>
            <xdr:cNvPr id="1098" name="Button 74" hidden="1">
              <a:extLst>
                <a:ext uri="{63B3BB69-23CF-44E3-9099-C40C66FF867C}">
                  <a14:compatExt spid="_x0000_s1098"/>
                </a:ext>
                <a:ext uri="{FF2B5EF4-FFF2-40B4-BE49-F238E27FC236}">
                  <a16:creationId xmlns:a16="http://schemas.microsoft.com/office/drawing/2014/main" id="{00000000-0008-0000-0000-00004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Exportar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15</xdr:row>
          <xdr:rowOff>19050</xdr:rowOff>
        </xdr:from>
        <xdr:to>
          <xdr:col>8</xdr:col>
          <xdr:colOff>1638300</xdr:colOff>
          <xdr:row>15</xdr:row>
          <xdr:rowOff>247650</xdr:rowOff>
        </xdr:to>
        <xdr:sp macro="" textlink="">
          <xdr:nvSpPr>
            <xdr:cNvPr id="1099" name="Button 75" hidden="1">
              <a:extLst>
                <a:ext uri="{63B3BB69-23CF-44E3-9099-C40C66FF867C}">
                  <a14:compatExt spid="_x0000_s1099"/>
                </a:ext>
                <a:ext uri="{FF2B5EF4-FFF2-40B4-BE49-F238E27FC236}">
                  <a16:creationId xmlns:a16="http://schemas.microsoft.com/office/drawing/2014/main" id="{00000000-0008-0000-0000-00004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Actualizar Propietarios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16</xdr:row>
          <xdr:rowOff>19050</xdr:rowOff>
        </xdr:from>
        <xdr:to>
          <xdr:col>8</xdr:col>
          <xdr:colOff>1638300</xdr:colOff>
          <xdr:row>16</xdr:row>
          <xdr:rowOff>247650</xdr:rowOff>
        </xdr:to>
        <xdr:sp macro="" textlink="">
          <xdr:nvSpPr>
            <xdr:cNvPr id="1100" name="Button 76" hidden="1">
              <a:extLst>
                <a:ext uri="{63B3BB69-23CF-44E3-9099-C40C66FF867C}">
                  <a14:compatExt spid="_x0000_s1100"/>
                </a:ext>
                <a:ext uri="{FF2B5EF4-FFF2-40B4-BE49-F238E27FC236}">
                  <a16:creationId xmlns:a16="http://schemas.microsoft.com/office/drawing/2014/main" id="{00000000-0008-0000-0000-00004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Calcular Valor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17</xdr:row>
          <xdr:rowOff>19050</xdr:rowOff>
        </xdr:from>
        <xdr:to>
          <xdr:col>8</xdr:col>
          <xdr:colOff>1638300</xdr:colOff>
          <xdr:row>17</xdr:row>
          <xdr:rowOff>247650</xdr:rowOff>
        </xdr:to>
        <xdr:sp macro="" textlink="">
          <xdr:nvSpPr>
            <xdr:cNvPr id="1101" name="Button 77" hidden="1">
              <a:extLst>
                <a:ext uri="{63B3BB69-23CF-44E3-9099-C40C66FF867C}">
                  <a14:compatExt spid="_x0000_s1101"/>
                </a:ext>
                <a:ext uri="{FF2B5EF4-FFF2-40B4-BE49-F238E27FC236}">
                  <a16:creationId xmlns:a16="http://schemas.microsoft.com/office/drawing/2014/main" id="{00000000-0008-0000-0000-00004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Validar Duplicados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18</xdr:row>
          <xdr:rowOff>19050</xdr:rowOff>
        </xdr:from>
        <xdr:to>
          <xdr:col>8</xdr:col>
          <xdr:colOff>1638300</xdr:colOff>
          <xdr:row>18</xdr:row>
          <xdr:rowOff>247650</xdr:rowOff>
        </xdr:to>
        <xdr:sp macro="" textlink="">
          <xdr:nvSpPr>
            <xdr:cNvPr id="1102" name="Button 78" hidden="1">
              <a:extLst>
                <a:ext uri="{63B3BB69-23CF-44E3-9099-C40C66FF867C}">
                  <a14:compatExt spid="_x0000_s1102"/>
                </a:ext>
                <a:ext uri="{FF2B5EF4-FFF2-40B4-BE49-F238E27FC236}">
                  <a16:creationId xmlns:a16="http://schemas.microsoft.com/office/drawing/2014/main" id="{00000000-0008-0000-0000-00004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Eliminar Activo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21</xdr:row>
          <xdr:rowOff>19050</xdr:rowOff>
        </xdr:from>
        <xdr:to>
          <xdr:col>8</xdr:col>
          <xdr:colOff>1638300</xdr:colOff>
          <xdr:row>21</xdr:row>
          <xdr:rowOff>247650</xdr:rowOff>
        </xdr:to>
        <xdr:sp macro="" textlink="">
          <xdr:nvSpPr>
            <xdr:cNvPr id="1103" name="Button 79" hidden="1">
              <a:extLst>
                <a:ext uri="{63B3BB69-23CF-44E3-9099-C40C66FF867C}">
                  <a14:compatExt spid="_x0000_s1103"/>
                </a:ext>
                <a:ext uri="{FF2B5EF4-FFF2-40B4-BE49-F238E27FC236}">
                  <a16:creationId xmlns:a16="http://schemas.microsoft.com/office/drawing/2014/main" id="{00000000-0008-0000-0000-00004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Ingresar Riesgo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22</xdr:row>
          <xdr:rowOff>19050</xdr:rowOff>
        </xdr:from>
        <xdr:to>
          <xdr:col>8</xdr:col>
          <xdr:colOff>1638300</xdr:colOff>
          <xdr:row>22</xdr:row>
          <xdr:rowOff>247650</xdr:rowOff>
        </xdr:to>
        <xdr:sp macro="" textlink="">
          <xdr:nvSpPr>
            <xdr:cNvPr id="1104" name="Button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Calcular Inherente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23</xdr:row>
          <xdr:rowOff>19050</xdr:rowOff>
        </xdr:from>
        <xdr:to>
          <xdr:col>8</xdr:col>
          <xdr:colOff>1638300</xdr:colOff>
          <xdr:row>23</xdr:row>
          <xdr:rowOff>247650</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Mapa de Calor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24</xdr:row>
          <xdr:rowOff>19050</xdr:rowOff>
        </xdr:from>
        <xdr:to>
          <xdr:col>8</xdr:col>
          <xdr:colOff>1638300</xdr:colOff>
          <xdr:row>24</xdr:row>
          <xdr:rowOff>247650</xdr:rowOff>
        </xdr:to>
        <xdr:sp macro="" textlink="">
          <xdr:nvSpPr>
            <xdr:cNvPr id="1106" name="Button 82" hidden="1">
              <a:extLst>
                <a:ext uri="{63B3BB69-23CF-44E3-9099-C40C66FF867C}">
                  <a14:compatExt spid="_x0000_s1106"/>
                </a:ext>
                <a:ext uri="{FF2B5EF4-FFF2-40B4-BE49-F238E27FC236}">
                  <a16:creationId xmlns:a16="http://schemas.microsoft.com/office/drawing/2014/main" id="{00000000-0008-0000-0000-00005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Actualizar Residual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25</xdr:row>
          <xdr:rowOff>19050</xdr:rowOff>
        </xdr:from>
        <xdr:to>
          <xdr:col>8</xdr:col>
          <xdr:colOff>1638300</xdr:colOff>
          <xdr:row>25</xdr:row>
          <xdr:rowOff>247650</xdr:rowOff>
        </xdr:to>
        <xdr:sp macro="" textlink="">
          <xdr:nvSpPr>
            <xdr:cNvPr id="1107" name="Button 83" hidden="1">
              <a:extLst>
                <a:ext uri="{63B3BB69-23CF-44E3-9099-C40C66FF867C}">
                  <a14:compatExt spid="_x0000_s1107"/>
                </a:ext>
                <a:ext uri="{FF2B5EF4-FFF2-40B4-BE49-F238E27FC236}">
                  <a16:creationId xmlns:a16="http://schemas.microsoft.com/office/drawing/2014/main" id="{00000000-0008-0000-0000-00005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Colorear Riesgos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28</xdr:row>
          <xdr:rowOff>19050</xdr:rowOff>
        </xdr:from>
        <xdr:to>
          <xdr:col>8</xdr:col>
          <xdr:colOff>1638300</xdr:colOff>
          <xdr:row>28</xdr:row>
          <xdr:rowOff>247650</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Ingresar Tratamiento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29</xdr:row>
          <xdr:rowOff>19050</xdr:rowOff>
        </xdr:from>
        <xdr:to>
          <xdr:col>8</xdr:col>
          <xdr:colOff>1638300</xdr:colOff>
          <xdr:row>29</xdr:row>
          <xdr:rowOff>247650</xdr:rowOff>
        </xdr:to>
        <xdr:sp macro="" textlink="">
          <xdr:nvSpPr>
            <xdr:cNvPr id="1109" name="Button 85" hidden="1">
              <a:extLst>
                <a:ext uri="{63B3BB69-23CF-44E3-9099-C40C66FF867C}">
                  <a14:compatExt spid="_x0000_s1109"/>
                </a:ext>
                <a:ext uri="{FF2B5EF4-FFF2-40B4-BE49-F238E27FC236}">
                  <a16:creationId xmlns:a16="http://schemas.microsoft.com/office/drawing/2014/main" id="{00000000-0008-0000-0000-00005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Actualizar Estado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30</xdr:row>
          <xdr:rowOff>19050</xdr:rowOff>
        </xdr:from>
        <xdr:to>
          <xdr:col>8</xdr:col>
          <xdr:colOff>1638300</xdr:colOff>
          <xdr:row>30</xdr:row>
          <xdr:rowOff>247650</xdr:rowOff>
        </xdr:to>
        <xdr:sp macro="" textlink="">
          <xdr:nvSpPr>
            <xdr:cNvPr id="1110" name="Button 86" hidden="1">
              <a:extLst>
                <a:ext uri="{63B3BB69-23CF-44E3-9099-C40C66FF867C}">
                  <a14:compatExt spid="_x0000_s1110"/>
                </a:ext>
                <a:ext uri="{FF2B5EF4-FFF2-40B4-BE49-F238E27FC236}">
                  <a16:creationId xmlns:a16="http://schemas.microsoft.com/office/drawing/2014/main" id="{00000000-0008-0000-0000-00005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33</xdr:row>
          <xdr:rowOff>19050</xdr:rowOff>
        </xdr:from>
        <xdr:to>
          <xdr:col>8</xdr:col>
          <xdr:colOff>1638300</xdr:colOff>
          <xdr:row>33</xdr:row>
          <xdr:rowOff>247650</xdr:rowOff>
        </xdr:to>
        <xdr:sp macro="" textlink="">
          <xdr:nvSpPr>
            <xdr:cNvPr id="1111" name="Butto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Actualizar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34</xdr:row>
          <xdr:rowOff>19050</xdr:rowOff>
        </xdr:from>
        <xdr:to>
          <xdr:col>8</xdr:col>
          <xdr:colOff>1638300</xdr:colOff>
          <xdr:row>34</xdr:row>
          <xdr:rowOff>247650</xdr:rowOff>
        </xdr:to>
        <xdr:sp macro="" textlink="">
          <xdr:nvSpPr>
            <xdr:cNvPr id="1112" name="Button 88" hidden="1">
              <a:extLst>
                <a:ext uri="{63B3BB69-23CF-44E3-9099-C40C66FF867C}">
                  <a14:compatExt spid="_x0000_s1112"/>
                </a:ext>
                <a:ext uri="{FF2B5EF4-FFF2-40B4-BE49-F238E27FC236}">
                  <a16:creationId xmlns:a16="http://schemas.microsoft.com/office/drawing/2014/main" id="{00000000-0008-0000-0000-00005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Reporte Completo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35</xdr:row>
          <xdr:rowOff>19050</xdr:rowOff>
        </xdr:from>
        <xdr:to>
          <xdr:col>8</xdr:col>
          <xdr:colOff>1638300</xdr:colOff>
          <xdr:row>35</xdr:row>
          <xdr:rowOff>247650</xdr:rowOff>
        </xdr:to>
        <xdr:sp macro="" textlink="">
          <xdr:nvSpPr>
            <xdr:cNvPr id="1113" name="Butto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Exportar Activos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36</xdr:row>
          <xdr:rowOff>19050</xdr:rowOff>
        </xdr:from>
        <xdr:to>
          <xdr:col>8</xdr:col>
          <xdr:colOff>1638300</xdr:colOff>
          <xdr:row>36</xdr:row>
          <xdr:rowOff>247650</xdr:rowOff>
        </xdr:to>
        <xdr:sp macro="" textlink="">
          <xdr:nvSpPr>
            <xdr:cNvPr id="1114" name="Button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Validar ISO 27001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17</xdr:row>
          <xdr:rowOff>19050</xdr:rowOff>
        </xdr:from>
        <xdr:to>
          <xdr:col>14</xdr:col>
          <xdr:colOff>1171575</xdr:colOff>
          <xdr:row>17</xdr:row>
          <xdr:rowOff>247650</xdr:rowOff>
        </xdr:to>
        <xdr:sp macro="" textlink="">
          <xdr:nvSpPr>
            <xdr:cNvPr id="1115" name="Button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Técnicas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18</xdr:row>
          <xdr:rowOff>19050</xdr:rowOff>
        </xdr:from>
        <xdr:to>
          <xdr:col>14</xdr:col>
          <xdr:colOff>1171575</xdr:colOff>
          <xdr:row>18</xdr:row>
          <xdr:rowOff>247650</xdr:rowOff>
        </xdr:to>
        <xdr:sp macro="" textlink="">
          <xdr:nvSpPr>
            <xdr:cNvPr id="1116" name="Button 92"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Mitigaciones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19</xdr:row>
          <xdr:rowOff>19050</xdr:rowOff>
        </xdr:from>
        <xdr:to>
          <xdr:col>14</xdr:col>
          <xdr:colOff>1171575</xdr:colOff>
          <xdr:row>19</xdr:row>
          <xdr:rowOff>276225</xdr:rowOff>
        </xdr:to>
        <xdr:sp macro="" textlink="">
          <xdr:nvSpPr>
            <xdr:cNvPr id="1117" name="Button 93"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Assets 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20</xdr:row>
          <xdr:rowOff>19050</xdr:rowOff>
        </xdr:from>
        <xdr:to>
          <xdr:col>14</xdr:col>
          <xdr:colOff>1171575</xdr:colOff>
          <xdr:row>20</xdr:row>
          <xdr:rowOff>323850</xdr:rowOff>
        </xdr:to>
        <xdr:sp macro="" textlink="">
          <xdr:nvSpPr>
            <xdr:cNvPr id="1118" name="Button 94"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Mapa MITRE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39</xdr:row>
          <xdr:rowOff>19050</xdr:rowOff>
        </xdr:from>
        <xdr:to>
          <xdr:col>4</xdr:col>
          <xdr:colOff>104775</xdr:colOff>
          <xdr:row>39</xdr:row>
          <xdr:rowOff>247650</xdr:rowOff>
        </xdr:to>
        <xdr:sp macro="" textlink="">
          <xdr:nvSpPr>
            <xdr:cNvPr id="1119" name="Button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000" b="1" i="0" u="none" strike="noStrike" baseline="0">
                  <a:solidFill>
                    <a:srgbClr val="000000"/>
                  </a:solidFill>
                  <a:latin typeface="Segoe UI"/>
                  <a:cs typeface="Segoe UI"/>
                </a:rPr>
                <a:t>?? Info Sistema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39</xdr:row>
          <xdr:rowOff>19050</xdr:rowOff>
        </xdr:from>
        <xdr:to>
          <xdr:col>9</xdr:col>
          <xdr:colOff>2305050</xdr:colOff>
          <xdr:row>39</xdr:row>
          <xdr:rowOff>247650</xdr:rowOff>
        </xdr:to>
        <xdr:sp macro="" textlink="">
          <xdr:nvSpPr>
            <xdr:cNvPr id="1120" name="Button 96"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000" b="1" i="0" u="none" strike="noStrike" baseline="0">
                  <a:solidFill>
                    <a:srgbClr val="000000"/>
                  </a:solidFill>
                  <a:latin typeface="Segoe UI"/>
                  <a:cs typeface="Segoe UI"/>
                </a:rPr>
                <a:t>? Validar Excel</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0066CC"/>
    <pageSetUpPr fitToPage="1"/>
  </sheetPr>
  <dimension ref="A1:S50"/>
  <sheetViews>
    <sheetView showGridLines="0" topLeftCell="A4" workbookViewId="0">
      <selection sqref="A1:J1"/>
    </sheetView>
  </sheetViews>
  <sheetFormatPr baseColWidth="10" defaultColWidth="9.140625" defaultRowHeight="15" x14ac:dyDescent="0.25"/>
  <cols>
    <col min="1" max="1" width="3" customWidth="1"/>
    <col min="2" max="2" width="2" customWidth="1"/>
    <col min="3" max="4" width="25" customWidth="1"/>
    <col min="5" max="5" width="2" customWidth="1"/>
    <col min="6" max="7" width="25" customWidth="1"/>
    <col min="8" max="8" width="2" customWidth="1"/>
    <col min="9" max="9" width="25" customWidth="1"/>
    <col min="10" max="10" width="35" customWidth="1"/>
    <col min="11" max="11" width="18" customWidth="1"/>
    <col min="12" max="12" width="12" customWidth="1"/>
    <col min="13" max="13" width="10" customWidth="1"/>
    <col min="15" max="15" width="18" customWidth="1"/>
    <col min="16" max="16" width="10" customWidth="1"/>
    <col min="17" max="17" width="9.28515625" bestFit="1" customWidth="1"/>
  </cols>
  <sheetData>
    <row r="1" spans="1:19" ht="45" customHeight="1" x14ac:dyDescent="0.25">
      <c r="A1" s="78"/>
      <c r="B1" s="78"/>
      <c r="C1" s="167" t="s">
        <v>0</v>
      </c>
      <c r="D1" s="150"/>
      <c r="E1" s="150"/>
      <c r="F1" s="150"/>
      <c r="G1" s="150"/>
      <c r="H1" s="150"/>
      <c r="I1" s="150"/>
      <c r="J1" s="151"/>
      <c r="K1" s="78"/>
      <c r="L1" s="78"/>
      <c r="M1" s="78"/>
      <c r="N1" s="78"/>
      <c r="O1" s="78"/>
      <c r="P1" s="78"/>
      <c r="Q1" s="78"/>
      <c r="R1" s="78"/>
      <c r="S1" s="78"/>
    </row>
    <row r="2" spans="1:19" ht="24.95" customHeight="1" x14ac:dyDescent="0.25">
      <c r="A2" s="78"/>
      <c r="B2" s="78"/>
      <c r="C2" s="174" t="s">
        <v>1</v>
      </c>
      <c r="D2" s="146"/>
      <c r="E2" s="146"/>
      <c r="F2" s="146"/>
      <c r="G2" s="146"/>
      <c r="H2" s="146"/>
      <c r="I2" s="146"/>
      <c r="J2" s="146"/>
      <c r="K2" s="78"/>
      <c r="L2" s="78"/>
      <c r="M2" s="78"/>
      <c r="N2" s="78"/>
      <c r="O2" s="78"/>
      <c r="P2" s="78"/>
      <c r="Q2" s="78"/>
      <c r="R2" s="78"/>
      <c r="S2" s="78"/>
    </row>
    <row r="3" spans="1:19" ht="8.1" customHeight="1" x14ac:dyDescent="0.25">
      <c r="A3" s="78"/>
      <c r="B3" s="78"/>
      <c r="C3" s="78"/>
      <c r="D3" s="78"/>
      <c r="E3" s="78"/>
      <c r="F3" s="78"/>
      <c r="G3" s="78"/>
      <c r="H3" s="78"/>
      <c r="I3" s="78"/>
      <c r="J3" s="78"/>
      <c r="K3" s="78"/>
      <c r="L3" s="78"/>
      <c r="M3" s="78"/>
      <c r="N3" s="78"/>
      <c r="O3" s="78"/>
      <c r="P3" s="78"/>
      <c r="Q3" s="78"/>
      <c r="R3" s="78"/>
      <c r="S3" s="78"/>
    </row>
    <row r="4" spans="1:19" ht="30" customHeight="1" x14ac:dyDescent="0.25">
      <c r="A4" s="78"/>
      <c r="B4" s="78"/>
      <c r="C4" s="164" t="s">
        <v>2</v>
      </c>
      <c r="D4" s="165"/>
      <c r="E4" s="165"/>
      <c r="F4" s="165"/>
      <c r="G4" s="165"/>
      <c r="H4" s="165"/>
      <c r="I4" s="165"/>
      <c r="J4" s="166"/>
      <c r="K4" s="78"/>
      <c r="L4" s="78"/>
      <c r="M4" s="78"/>
      <c r="N4" s="78"/>
      <c r="O4" s="78"/>
      <c r="P4" s="78"/>
      <c r="Q4" s="78"/>
      <c r="R4" s="78"/>
      <c r="S4" s="78"/>
    </row>
    <row r="5" spans="1:19" ht="21.95" customHeight="1" x14ac:dyDescent="0.25">
      <c r="A5" s="78"/>
      <c r="B5" s="78"/>
      <c r="C5" s="79" t="s">
        <v>3</v>
      </c>
      <c r="D5" s="79" t="s">
        <v>4</v>
      </c>
      <c r="E5" s="78"/>
      <c r="F5" s="79" t="s">
        <v>5</v>
      </c>
      <c r="G5" s="79" t="s">
        <v>6</v>
      </c>
      <c r="H5" s="78"/>
      <c r="I5" s="78"/>
      <c r="J5" s="78"/>
      <c r="K5" s="149" t="s">
        <v>7</v>
      </c>
      <c r="L5" s="150"/>
      <c r="M5" s="151"/>
      <c r="N5" s="78"/>
      <c r="O5" s="138" t="s">
        <v>8</v>
      </c>
      <c r="P5" s="139"/>
      <c r="Q5" s="139"/>
      <c r="R5" s="78"/>
      <c r="S5" s="78"/>
    </row>
    <row r="6" spans="1:19" ht="21.95" customHeight="1" x14ac:dyDescent="0.25">
      <c r="A6" s="78"/>
      <c r="B6" s="78"/>
      <c r="C6" s="79" t="s">
        <v>9</v>
      </c>
      <c r="D6" s="79" t="s">
        <v>10</v>
      </c>
      <c r="E6" s="78"/>
      <c r="F6" s="79" t="s">
        <v>11</v>
      </c>
      <c r="G6" s="79" t="s">
        <v>12</v>
      </c>
      <c r="H6" s="78"/>
      <c r="I6" s="78"/>
      <c r="J6" s="78"/>
      <c r="K6" s="109" t="s">
        <v>13</v>
      </c>
      <c r="L6" s="109" t="s">
        <v>14</v>
      </c>
      <c r="M6" s="109" t="s">
        <v>15</v>
      </c>
      <c r="N6" s="78"/>
      <c r="O6" s="148" t="s">
        <v>16</v>
      </c>
      <c r="P6" s="139"/>
      <c r="Q6" s="139"/>
      <c r="R6" s="78"/>
      <c r="S6" s="78"/>
    </row>
    <row r="7" spans="1:19" ht="21.95" customHeight="1" x14ac:dyDescent="0.25">
      <c r="A7" s="78"/>
      <c r="B7" s="78"/>
      <c r="C7" s="79" t="s">
        <v>17</v>
      </c>
      <c r="D7" s="79" t="s">
        <v>18</v>
      </c>
      <c r="E7" s="78"/>
      <c r="F7" s="79" t="s">
        <v>19</v>
      </c>
      <c r="G7" s="79" t="s">
        <v>20</v>
      </c>
      <c r="H7" s="78"/>
      <c r="I7" s="78"/>
      <c r="J7" s="78"/>
      <c r="K7" s="110" t="s">
        <v>21</v>
      </c>
      <c r="L7" s="111">
        <f>COUNTA(Activos!A2:A7)</f>
        <v>6</v>
      </c>
      <c r="M7" s="112" t="s">
        <v>22</v>
      </c>
      <c r="N7" s="78"/>
      <c r="O7" s="113"/>
      <c r="P7" s="113"/>
      <c r="Q7" s="113"/>
      <c r="R7" s="78"/>
      <c r="S7" s="78"/>
    </row>
    <row r="8" spans="1:19" ht="21.95" customHeight="1" x14ac:dyDescent="0.25">
      <c r="A8" s="78"/>
      <c r="B8" s="78"/>
      <c r="C8" s="79" t="s">
        <v>23</v>
      </c>
      <c r="D8" s="79" t="s">
        <v>24</v>
      </c>
      <c r="E8" s="78"/>
      <c r="F8" s="79" t="s">
        <v>25</v>
      </c>
      <c r="G8" s="79" t="s">
        <v>26</v>
      </c>
      <c r="H8" s="78"/>
      <c r="I8" s="78"/>
      <c r="J8" s="78"/>
      <c r="K8" s="110" t="s">
        <v>27</v>
      </c>
      <c r="L8" s="114">
        <f>COUNTIF(Activos!O2:O7,5)</f>
        <v>0</v>
      </c>
      <c r="M8" s="115" t="str">
        <f>IF(L7&gt;0,ROUND((L8/L7)*100,1)&amp;"%","0%")</f>
        <v>0%</v>
      </c>
      <c r="N8" s="78"/>
      <c r="O8" s="116" t="s">
        <v>28</v>
      </c>
      <c r="P8" s="117">
        <v>83</v>
      </c>
      <c r="Q8" s="118" t="s">
        <v>29</v>
      </c>
      <c r="R8" s="78"/>
      <c r="S8" s="78"/>
    </row>
    <row r="9" spans="1:19" ht="21.95" customHeight="1" x14ac:dyDescent="0.25">
      <c r="A9" s="78"/>
      <c r="B9" s="78"/>
      <c r="C9" s="79" t="s">
        <v>30</v>
      </c>
      <c r="D9" s="79" t="s">
        <v>31</v>
      </c>
      <c r="E9" s="78"/>
      <c r="F9" s="79" t="s">
        <v>32</v>
      </c>
      <c r="G9" s="79" t="s">
        <v>33</v>
      </c>
      <c r="H9" s="78"/>
      <c r="I9" s="78"/>
      <c r="J9" s="78"/>
      <c r="K9" s="110" t="s">
        <v>34</v>
      </c>
      <c r="L9" s="111">
        <f>COUNTIF(Activos!C2:C7,"Hardware")</f>
        <v>0</v>
      </c>
      <c r="M9" s="119" t="str">
        <f>IF(L7&gt;0,ROUND((L9/L7)*100,1)&amp;"%","0%")</f>
        <v>0%</v>
      </c>
      <c r="N9" s="78"/>
      <c r="O9" s="120" t="s">
        <v>35</v>
      </c>
      <c r="P9" s="121">
        <v>52</v>
      </c>
      <c r="Q9" s="118" t="s">
        <v>36</v>
      </c>
      <c r="R9" s="78"/>
      <c r="S9" s="78"/>
    </row>
    <row r="10" spans="1:19" ht="21.95" customHeight="1" x14ac:dyDescent="0.25">
      <c r="A10" s="78"/>
      <c r="B10" s="78"/>
      <c r="C10" s="79" t="s">
        <v>37</v>
      </c>
      <c r="D10" s="79" t="s">
        <v>38</v>
      </c>
      <c r="E10" s="78"/>
      <c r="F10" s="79" t="s">
        <v>39</v>
      </c>
      <c r="G10" s="78"/>
      <c r="H10" s="78"/>
      <c r="I10" s="78"/>
      <c r="J10" s="78"/>
      <c r="K10" s="110" t="s">
        <v>40</v>
      </c>
      <c r="L10" s="111">
        <f>COUNTIF(Activos!C2:C7,"OT")</f>
        <v>0</v>
      </c>
      <c r="M10" s="115" t="str">
        <f>IF(L7&gt;0,ROUND((L10/L7)*100,1)&amp;"%","0%")</f>
        <v>0%</v>
      </c>
      <c r="N10" s="78"/>
      <c r="O10" s="122" t="s">
        <v>41</v>
      </c>
      <c r="P10" s="123">
        <v>14</v>
      </c>
      <c r="Q10" s="118" t="s">
        <v>42</v>
      </c>
      <c r="R10" s="78"/>
      <c r="S10" s="78"/>
    </row>
    <row r="11" spans="1:19" ht="23.25" customHeight="1" x14ac:dyDescent="0.25">
      <c r="A11" s="78" t="s">
        <v>43</v>
      </c>
      <c r="B11" s="78"/>
      <c r="C11" s="78"/>
      <c r="D11" s="78"/>
      <c r="E11" s="78"/>
      <c r="F11" s="78"/>
      <c r="G11" s="78"/>
      <c r="H11" s="78"/>
      <c r="I11" s="78"/>
      <c r="J11" s="78"/>
      <c r="K11" s="110" t="s">
        <v>44</v>
      </c>
      <c r="L11" s="124">
        <f>COUNTA(Activos!U2:U7)</f>
        <v>1</v>
      </c>
      <c r="M11" s="125" t="str">
        <f>IF(L7&gt;0,ROUND((L11/L7)*100,1)&amp;"%","0%")</f>
        <v>16,7%</v>
      </c>
      <c r="N11" s="78"/>
      <c r="O11" s="113"/>
      <c r="P11" s="113"/>
      <c r="Q11" s="113"/>
      <c r="R11" s="78"/>
      <c r="S11" s="78"/>
    </row>
    <row r="12" spans="1:19" ht="27.95" customHeight="1" x14ac:dyDescent="0.25">
      <c r="A12" s="78"/>
      <c r="B12" s="78"/>
      <c r="C12" s="168" t="s">
        <v>45</v>
      </c>
      <c r="D12" s="169"/>
      <c r="E12" s="169"/>
      <c r="F12" s="169"/>
      <c r="G12" s="169"/>
      <c r="H12" s="169"/>
      <c r="I12" s="169"/>
      <c r="J12" s="170"/>
      <c r="K12" s="110" t="s">
        <v>46</v>
      </c>
      <c r="L12" s="126">
        <f>COUNTBLANK(Activos!U2:U7)</f>
        <v>5</v>
      </c>
      <c r="M12" s="127" t="str">
        <f>IF(L7&gt;0,ROUND((L12/L7)*100,1)&amp;"%","0%")</f>
        <v>83,3%</v>
      </c>
      <c r="N12" s="78"/>
      <c r="O12" s="147" t="s">
        <v>47</v>
      </c>
      <c r="P12" s="139"/>
      <c r="Q12" s="139"/>
      <c r="R12" s="78"/>
      <c r="S12" s="78"/>
    </row>
    <row r="13" spans="1:19" ht="21.95" customHeight="1" x14ac:dyDescent="0.25">
      <c r="A13" s="78"/>
      <c r="B13" s="78"/>
      <c r="C13" s="78"/>
      <c r="D13" s="78"/>
      <c r="E13" s="78"/>
      <c r="F13" s="78"/>
      <c r="G13" s="78"/>
      <c r="H13" s="78"/>
      <c r="I13" s="144" t="s">
        <v>48</v>
      </c>
      <c r="J13" s="80" t="s">
        <v>49</v>
      </c>
      <c r="K13" s="78"/>
      <c r="L13" s="78"/>
      <c r="M13" s="78"/>
      <c r="N13" s="78"/>
      <c r="O13" s="118" t="s">
        <v>50</v>
      </c>
      <c r="P13" s="128">
        <f>COUNTA(Activos!U2:U7)</f>
        <v>1</v>
      </c>
      <c r="Q13" s="129" t="e">
        <f>IF(L7&gt;0,ROUND((O13/L7)*100,1)&amp;"%","0%")</f>
        <v>#VALUE!</v>
      </c>
      <c r="R13" s="78"/>
      <c r="S13" s="78"/>
    </row>
    <row r="14" spans="1:19" ht="21.95" customHeight="1" x14ac:dyDescent="0.25">
      <c r="A14" s="78"/>
      <c r="B14" s="78"/>
      <c r="C14" s="78"/>
      <c r="D14" s="78"/>
      <c r="E14" s="78"/>
      <c r="F14" s="78"/>
      <c r="G14" s="78"/>
      <c r="H14" s="78"/>
      <c r="I14" s="144" t="s">
        <v>51</v>
      </c>
      <c r="J14" s="80" t="s">
        <v>52</v>
      </c>
      <c r="K14" s="145" t="s">
        <v>53</v>
      </c>
      <c r="L14" s="146"/>
      <c r="M14" s="146"/>
      <c r="N14" s="78"/>
      <c r="O14" s="118" t="s">
        <v>54</v>
      </c>
      <c r="P14" s="130">
        <f>COUNTA(Matriz_Riesgos!Z2:Z6)</f>
        <v>0</v>
      </c>
      <c r="Q14" s="118" t="s">
        <v>55</v>
      </c>
      <c r="R14" s="78"/>
      <c r="S14" s="78"/>
    </row>
    <row r="15" spans="1:19" ht="21.95" customHeight="1" x14ac:dyDescent="0.25">
      <c r="A15" s="78"/>
      <c r="B15" s="78"/>
      <c r="C15" s="78"/>
      <c r="D15" s="78"/>
      <c r="E15" s="78"/>
      <c r="F15" s="78"/>
      <c r="G15" s="78"/>
      <c r="H15" s="78"/>
      <c r="I15" s="144" t="s">
        <v>56</v>
      </c>
      <c r="J15" s="80" t="s">
        <v>57</v>
      </c>
      <c r="K15" s="78"/>
      <c r="L15" s="78"/>
      <c r="M15" s="78"/>
      <c r="N15" s="78"/>
      <c r="O15" s="113"/>
      <c r="P15" s="113"/>
      <c r="Q15" s="113"/>
      <c r="R15" s="78"/>
      <c r="S15" s="78"/>
    </row>
    <row r="16" spans="1:19" ht="21.95" customHeight="1" x14ac:dyDescent="0.25">
      <c r="A16" s="78"/>
      <c r="B16" s="78"/>
      <c r="C16" s="78"/>
      <c r="D16" s="78"/>
      <c r="E16" s="78"/>
      <c r="F16" s="78"/>
      <c r="G16" s="78"/>
      <c r="H16" s="78"/>
      <c r="I16" s="144" t="s">
        <v>58</v>
      </c>
      <c r="J16" s="80" t="s">
        <v>59</v>
      </c>
      <c r="K16" s="78"/>
      <c r="L16" s="78"/>
      <c r="M16" s="78"/>
      <c r="N16" s="78"/>
      <c r="O16" s="159" t="s">
        <v>60</v>
      </c>
      <c r="P16" s="139"/>
      <c r="Q16" s="139"/>
      <c r="R16" s="78"/>
      <c r="S16" s="78"/>
    </row>
    <row r="17" spans="1:19" ht="21.95" customHeight="1" x14ac:dyDescent="0.25">
      <c r="A17" s="78"/>
      <c r="B17" s="78"/>
      <c r="C17" s="78"/>
      <c r="D17" s="78"/>
      <c r="E17" s="78"/>
      <c r="F17" s="78"/>
      <c r="G17" s="78"/>
      <c r="H17" s="78"/>
      <c r="I17" s="144" t="s">
        <v>61</v>
      </c>
      <c r="J17" s="80" t="s">
        <v>62</v>
      </c>
      <c r="K17" s="78"/>
      <c r="L17" s="78"/>
      <c r="M17" s="78"/>
      <c r="N17" s="78"/>
      <c r="O17" s="78"/>
      <c r="P17" s="78"/>
      <c r="Q17" s="78"/>
      <c r="R17" s="78"/>
      <c r="S17" s="78"/>
    </row>
    <row r="18" spans="1:19" ht="21.95" customHeight="1" x14ac:dyDescent="0.25">
      <c r="A18" s="78"/>
      <c r="B18" s="78"/>
      <c r="C18" s="78"/>
      <c r="D18" s="78"/>
      <c r="E18" s="78"/>
      <c r="F18" s="78"/>
      <c r="G18" s="78"/>
      <c r="H18" s="78"/>
      <c r="I18" s="144" t="s">
        <v>63</v>
      </c>
      <c r="J18" s="80" t="s">
        <v>64</v>
      </c>
      <c r="K18" s="78"/>
      <c r="L18" s="78"/>
      <c r="M18" s="78"/>
      <c r="N18" s="78"/>
      <c r="O18" s="78"/>
      <c r="P18" s="78"/>
      <c r="Q18" s="78"/>
      <c r="R18" s="78"/>
      <c r="S18" s="78"/>
    </row>
    <row r="19" spans="1:19" ht="21.95" customHeight="1" x14ac:dyDescent="0.25">
      <c r="A19" s="78"/>
      <c r="B19" s="78"/>
      <c r="C19" s="78"/>
      <c r="D19" s="78"/>
      <c r="E19" s="78"/>
      <c r="F19" s="78"/>
      <c r="G19" s="78"/>
      <c r="H19" s="78"/>
      <c r="I19" s="144" t="s">
        <v>65</v>
      </c>
      <c r="J19" s="80" t="s">
        <v>66</v>
      </c>
      <c r="K19" s="78"/>
      <c r="L19" s="78"/>
      <c r="M19" s="78"/>
      <c r="N19" s="78"/>
      <c r="O19" s="78"/>
      <c r="P19" s="78"/>
      <c r="Q19" s="78"/>
      <c r="R19" s="78"/>
      <c r="S19" s="78"/>
    </row>
    <row r="20" spans="1:19" ht="24" customHeight="1" x14ac:dyDescent="0.25">
      <c r="A20" s="78"/>
      <c r="B20" s="78"/>
      <c r="C20" s="78"/>
      <c r="D20" s="78"/>
      <c r="E20" s="78"/>
      <c r="F20" s="78"/>
      <c r="G20" s="78"/>
      <c r="H20" s="78"/>
      <c r="I20" s="78"/>
      <c r="J20" s="78"/>
      <c r="K20" s="78"/>
      <c r="L20" s="78"/>
      <c r="M20" s="78"/>
      <c r="N20" s="78"/>
      <c r="O20" s="78"/>
      <c r="P20" s="78"/>
      <c r="Q20" s="78"/>
      <c r="R20" s="78"/>
      <c r="S20" s="78"/>
    </row>
    <row r="21" spans="1:19" ht="27.95" customHeight="1" x14ac:dyDescent="0.25">
      <c r="A21" s="78"/>
      <c r="B21" s="78"/>
      <c r="C21" s="171" t="s">
        <v>67</v>
      </c>
      <c r="D21" s="172"/>
      <c r="E21" s="172"/>
      <c r="F21" s="172"/>
      <c r="G21" s="172"/>
      <c r="H21" s="172"/>
      <c r="I21" s="172"/>
      <c r="J21" s="173"/>
      <c r="K21" s="78"/>
      <c r="L21" s="78"/>
      <c r="M21" s="78"/>
      <c r="N21" s="78"/>
      <c r="O21" s="78"/>
      <c r="P21" s="78"/>
      <c r="Q21" s="78"/>
      <c r="R21" s="78"/>
      <c r="S21" s="78"/>
    </row>
    <row r="22" spans="1:19" ht="21.95" customHeight="1" x14ac:dyDescent="0.25">
      <c r="A22" s="78"/>
      <c r="B22" s="78"/>
      <c r="C22" s="78"/>
      <c r="D22" s="78"/>
      <c r="E22" s="78"/>
      <c r="F22" s="78"/>
      <c r="G22" s="78"/>
      <c r="H22" s="78"/>
      <c r="I22" s="163" t="s">
        <v>68</v>
      </c>
      <c r="J22" s="80" t="s">
        <v>69</v>
      </c>
      <c r="K22" s="78"/>
      <c r="L22" s="78"/>
      <c r="M22" s="78"/>
      <c r="N22" s="78"/>
      <c r="O22" s="78"/>
      <c r="P22" s="78"/>
      <c r="Q22" s="78"/>
      <c r="R22" s="78"/>
      <c r="S22" s="78"/>
    </row>
    <row r="23" spans="1:19" ht="21.95" customHeight="1" x14ac:dyDescent="0.25">
      <c r="A23" s="78"/>
      <c r="B23" s="78"/>
      <c r="C23" s="78"/>
      <c r="D23" s="78"/>
      <c r="E23" s="78"/>
      <c r="F23" s="78"/>
      <c r="G23" s="78"/>
      <c r="H23" s="78"/>
      <c r="I23" s="163" t="s">
        <v>70</v>
      </c>
      <c r="J23" s="80" t="s">
        <v>71</v>
      </c>
      <c r="K23" s="78"/>
      <c r="L23" s="78"/>
      <c r="M23" s="78"/>
      <c r="N23" s="78"/>
      <c r="O23" s="78"/>
      <c r="P23" s="78"/>
      <c r="Q23" s="78"/>
      <c r="R23" s="78"/>
      <c r="S23" s="78"/>
    </row>
    <row r="24" spans="1:19" ht="21.95" customHeight="1" x14ac:dyDescent="0.25">
      <c r="A24" s="78"/>
      <c r="B24" s="78"/>
      <c r="C24" s="78"/>
      <c r="D24" s="78"/>
      <c r="E24" s="78"/>
      <c r="F24" s="78"/>
      <c r="G24" s="78"/>
      <c r="H24" s="78"/>
      <c r="I24" s="163" t="s">
        <v>72</v>
      </c>
      <c r="J24" s="80" t="s">
        <v>73</v>
      </c>
      <c r="K24" s="78"/>
      <c r="L24" s="78"/>
      <c r="M24" s="78"/>
      <c r="N24" s="78"/>
      <c r="O24" s="78"/>
      <c r="P24" s="78"/>
      <c r="Q24" s="78"/>
      <c r="R24" s="78"/>
      <c r="S24" s="78"/>
    </row>
    <row r="25" spans="1:19" ht="21.95" customHeight="1" x14ac:dyDescent="0.25">
      <c r="A25" s="78"/>
      <c r="B25" s="78"/>
      <c r="C25" s="78"/>
      <c r="D25" s="78"/>
      <c r="E25" s="78"/>
      <c r="F25" s="78"/>
      <c r="G25" s="78"/>
      <c r="H25" s="78"/>
      <c r="I25" s="163" t="s">
        <v>74</v>
      </c>
      <c r="J25" s="80" t="s">
        <v>75</v>
      </c>
      <c r="K25" s="78"/>
      <c r="L25" s="78"/>
      <c r="M25" s="78"/>
      <c r="N25" s="78"/>
      <c r="O25" s="78"/>
      <c r="P25" s="78"/>
      <c r="Q25" s="78"/>
      <c r="R25" s="78"/>
      <c r="S25" s="78"/>
    </row>
    <row r="26" spans="1:19" ht="21.95" customHeight="1" x14ac:dyDescent="0.25">
      <c r="A26" s="78"/>
      <c r="B26" s="78"/>
      <c r="C26" s="78"/>
      <c r="D26" s="78"/>
      <c r="E26" s="78"/>
      <c r="F26" s="78"/>
      <c r="G26" s="78"/>
      <c r="H26" s="78"/>
      <c r="I26" s="163" t="s">
        <v>76</v>
      </c>
      <c r="J26" s="80" t="s">
        <v>77</v>
      </c>
      <c r="K26" s="78"/>
      <c r="L26" s="78"/>
      <c r="M26" s="78"/>
      <c r="N26" s="78"/>
      <c r="O26" s="78"/>
      <c r="P26" s="78"/>
      <c r="Q26" s="78"/>
      <c r="R26" s="78"/>
      <c r="S26" s="78"/>
    </row>
    <row r="27" spans="1:19" ht="5.0999999999999996" customHeight="1" x14ac:dyDescent="0.25">
      <c r="A27" s="78"/>
      <c r="B27" s="78"/>
      <c r="C27" s="78"/>
      <c r="D27" s="78"/>
      <c r="E27" s="78"/>
      <c r="F27" s="78"/>
      <c r="G27" s="78"/>
      <c r="H27" s="78"/>
      <c r="I27" s="78"/>
      <c r="J27" s="78"/>
      <c r="K27" s="78"/>
      <c r="L27" s="78"/>
      <c r="M27" s="78"/>
      <c r="N27" s="78"/>
      <c r="O27" s="78"/>
      <c r="P27" s="78"/>
      <c r="Q27" s="78"/>
      <c r="R27" s="78"/>
      <c r="S27" s="78"/>
    </row>
    <row r="28" spans="1:19" ht="27.95" customHeight="1" x14ac:dyDescent="0.25">
      <c r="A28" s="78"/>
      <c r="B28" s="78"/>
      <c r="C28" s="160" t="s">
        <v>78</v>
      </c>
      <c r="D28" s="161"/>
      <c r="E28" s="161"/>
      <c r="F28" s="161"/>
      <c r="G28" s="161"/>
      <c r="H28" s="161"/>
      <c r="I28" s="161"/>
      <c r="J28" s="162"/>
      <c r="K28" s="78"/>
      <c r="L28" s="78"/>
      <c r="M28" s="78"/>
      <c r="N28" s="78"/>
      <c r="O28" s="78"/>
      <c r="P28" s="78"/>
      <c r="Q28" s="78"/>
      <c r="R28" s="78"/>
      <c r="S28" s="78"/>
    </row>
    <row r="29" spans="1:19" ht="21.95" customHeight="1" x14ac:dyDescent="0.25">
      <c r="A29" s="78"/>
      <c r="B29" s="78"/>
      <c r="C29" s="78"/>
      <c r="D29" s="78"/>
      <c r="E29" s="78"/>
      <c r="F29" s="78"/>
      <c r="G29" s="78"/>
      <c r="H29" s="78"/>
      <c r="I29" s="158" t="s">
        <v>79</v>
      </c>
      <c r="J29" s="80" t="s">
        <v>80</v>
      </c>
      <c r="K29" s="78"/>
      <c r="L29" s="78"/>
      <c r="M29" s="78"/>
      <c r="N29" s="78"/>
      <c r="O29" s="78"/>
      <c r="P29" s="78"/>
      <c r="Q29" s="78"/>
      <c r="R29" s="78"/>
      <c r="S29" s="78"/>
    </row>
    <row r="30" spans="1:19" ht="21.95" customHeight="1" x14ac:dyDescent="0.25">
      <c r="A30" s="78"/>
      <c r="B30" s="78"/>
      <c r="C30" s="78"/>
      <c r="D30" s="78"/>
      <c r="E30" s="78"/>
      <c r="F30" s="78"/>
      <c r="G30" s="78"/>
      <c r="H30" s="78"/>
      <c r="I30" s="158" t="s">
        <v>81</v>
      </c>
      <c r="J30" s="80" t="s">
        <v>82</v>
      </c>
      <c r="K30" s="78"/>
      <c r="L30" s="78"/>
      <c r="M30" s="78"/>
      <c r="N30" s="78"/>
      <c r="O30" s="78"/>
      <c r="P30" s="78"/>
      <c r="Q30" s="78"/>
      <c r="R30" s="78"/>
      <c r="S30" s="78"/>
    </row>
    <row r="31" spans="1:19" ht="21.95" customHeight="1" x14ac:dyDescent="0.25">
      <c r="A31" s="78"/>
      <c r="B31" s="78"/>
      <c r="C31" s="78"/>
      <c r="D31" s="78"/>
      <c r="E31" s="78"/>
      <c r="F31" s="78"/>
      <c r="G31" s="78"/>
      <c r="H31" s="78"/>
      <c r="I31" s="158" t="s">
        <v>83</v>
      </c>
      <c r="J31" s="80" t="s">
        <v>84</v>
      </c>
      <c r="K31" s="78"/>
      <c r="L31" s="78"/>
      <c r="M31" s="78"/>
      <c r="N31" s="78"/>
      <c r="O31" s="78"/>
      <c r="P31" s="78"/>
      <c r="Q31" s="78"/>
      <c r="R31" s="78"/>
      <c r="S31" s="78"/>
    </row>
    <row r="32" spans="1:19" ht="5.0999999999999996" customHeight="1" x14ac:dyDescent="0.25">
      <c r="A32" s="78" t="s">
        <v>85</v>
      </c>
      <c r="B32" s="78"/>
      <c r="C32" s="78" t="s">
        <v>86</v>
      </c>
      <c r="D32" s="78"/>
      <c r="E32" s="78" t="s">
        <v>87</v>
      </c>
      <c r="F32" s="78"/>
      <c r="G32" s="78"/>
      <c r="H32" s="78"/>
      <c r="I32" s="78"/>
      <c r="J32" s="78"/>
      <c r="K32" s="78"/>
      <c r="L32" s="78"/>
      <c r="M32" s="78"/>
      <c r="N32" s="78"/>
      <c r="O32" s="78"/>
      <c r="P32" s="78"/>
      <c r="Q32" s="78"/>
      <c r="R32" s="78"/>
      <c r="S32" s="78"/>
    </row>
    <row r="33" spans="1:19" ht="27.95" customHeight="1" x14ac:dyDescent="0.25">
      <c r="A33" s="78"/>
      <c r="B33" s="78"/>
      <c r="C33" s="141" t="s">
        <v>88</v>
      </c>
      <c r="D33" s="142"/>
      <c r="E33" s="142"/>
      <c r="F33" s="142"/>
      <c r="G33" s="142"/>
      <c r="H33" s="142"/>
      <c r="I33" s="142"/>
      <c r="J33" s="143"/>
      <c r="K33" s="78"/>
      <c r="L33" s="78"/>
      <c r="M33" s="78"/>
      <c r="N33" s="78"/>
      <c r="O33" s="78"/>
      <c r="P33" s="78"/>
      <c r="Q33" s="78"/>
      <c r="R33" s="78"/>
      <c r="S33" s="78"/>
    </row>
    <row r="34" spans="1:19" ht="21.95" customHeight="1" x14ac:dyDescent="0.25">
      <c r="A34" s="78"/>
      <c r="B34" s="78"/>
      <c r="C34" s="78"/>
      <c r="D34" s="78"/>
      <c r="E34" s="78"/>
      <c r="F34" s="78"/>
      <c r="G34" s="78"/>
      <c r="H34" s="78"/>
      <c r="I34" s="140" t="s">
        <v>89</v>
      </c>
      <c r="J34" s="80" t="s">
        <v>90</v>
      </c>
      <c r="K34" s="78" t="s">
        <v>91</v>
      </c>
      <c r="L34" s="78"/>
      <c r="M34" s="78"/>
      <c r="N34" s="78"/>
      <c r="O34" s="78"/>
      <c r="P34" s="78"/>
      <c r="Q34" s="78"/>
      <c r="R34" s="78"/>
      <c r="S34" s="78"/>
    </row>
    <row r="35" spans="1:19" ht="21.95" customHeight="1" x14ac:dyDescent="0.25">
      <c r="A35" s="78"/>
      <c r="B35" s="78"/>
      <c r="C35" s="78"/>
      <c r="D35" s="78"/>
      <c r="E35" s="78"/>
      <c r="F35" s="78"/>
      <c r="G35" s="78"/>
      <c r="H35" s="78"/>
      <c r="I35" s="140" t="s">
        <v>92</v>
      </c>
      <c r="J35" s="80" t="s">
        <v>93</v>
      </c>
      <c r="K35" s="78"/>
      <c r="L35" s="78"/>
      <c r="M35" s="78"/>
      <c r="N35" s="78"/>
      <c r="O35" s="78"/>
      <c r="P35" s="78"/>
      <c r="Q35" s="78"/>
      <c r="R35" s="78"/>
      <c r="S35" s="78"/>
    </row>
    <row r="36" spans="1:19" ht="21.95" customHeight="1" x14ac:dyDescent="0.25">
      <c r="A36" s="78"/>
      <c r="B36" s="78"/>
      <c r="C36" s="78"/>
      <c r="D36" s="78"/>
      <c r="E36" s="78"/>
      <c r="F36" s="78"/>
      <c r="G36" s="78"/>
      <c r="H36" s="78"/>
      <c r="I36" s="140" t="s">
        <v>94</v>
      </c>
      <c r="J36" s="80" t="s">
        <v>95</v>
      </c>
      <c r="K36" s="78"/>
      <c r="L36" s="78"/>
      <c r="M36" s="78"/>
      <c r="N36" s="78"/>
      <c r="O36" s="78"/>
      <c r="P36" s="78"/>
      <c r="Q36" s="78"/>
      <c r="R36" s="78"/>
      <c r="S36" s="78"/>
    </row>
    <row r="37" spans="1:19" ht="21.95" customHeight="1" x14ac:dyDescent="0.25">
      <c r="A37" s="78"/>
      <c r="B37" s="78"/>
      <c r="C37" s="78"/>
      <c r="D37" s="78"/>
      <c r="E37" s="78"/>
      <c r="F37" s="78"/>
      <c r="G37" s="78"/>
      <c r="H37" s="78"/>
      <c r="I37" s="140" t="s">
        <v>96</v>
      </c>
      <c r="J37" s="80" t="s">
        <v>97</v>
      </c>
      <c r="K37" s="78"/>
      <c r="L37" s="78"/>
      <c r="M37" s="78"/>
      <c r="N37" s="78"/>
      <c r="O37" s="78"/>
      <c r="P37" s="78"/>
      <c r="Q37" s="78"/>
      <c r="R37" s="78"/>
      <c r="S37" s="78"/>
    </row>
    <row r="38" spans="1:19" ht="5.0999999999999996" customHeight="1" x14ac:dyDescent="0.25">
      <c r="A38" s="78"/>
      <c r="B38" s="78"/>
      <c r="C38" s="78"/>
      <c r="D38" s="78"/>
      <c r="E38" s="78"/>
      <c r="F38" s="78"/>
      <c r="G38" s="78"/>
      <c r="H38" s="78"/>
      <c r="I38" s="78"/>
      <c r="J38" s="78"/>
      <c r="K38" s="78"/>
      <c r="L38" s="78"/>
      <c r="M38" s="78"/>
      <c r="N38" s="78"/>
      <c r="O38" s="78"/>
      <c r="P38" s="78"/>
      <c r="Q38" s="78"/>
      <c r="R38" s="78"/>
      <c r="S38" s="78"/>
    </row>
    <row r="39" spans="1:19" ht="27.95" customHeight="1" x14ac:dyDescent="0.25">
      <c r="A39" s="78"/>
      <c r="B39" s="78"/>
      <c r="C39" s="175" t="s">
        <v>98</v>
      </c>
      <c r="D39" s="176"/>
      <c r="E39" s="176"/>
      <c r="F39" s="176"/>
      <c r="G39" s="176"/>
      <c r="H39" s="176"/>
      <c r="I39" s="176"/>
      <c r="J39" s="177"/>
      <c r="K39" s="78"/>
      <c r="L39" s="78"/>
      <c r="M39" s="78"/>
      <c r="N39" s="78"/>
      <c r="O39" s="78"/>
      <c r="P39" s="78"/>
      <c r="Q39" s="78"/>
      <c r="R39" s="78"/>
      <c r="S39" s="78"/>
    </row>
    <row r="40" spans="1:19" ht="21.95" customHeight="1" x14ac:dyDescent="0.25">
      <c r="A40" s="78"/>
      <c r="B40" s="78"/>
      <c r="C40" s="155" t="s">
        <v>99</v>
      </c>
      <c r="D40" s="156"/>
      <c r="E40" s="157"/>
      <c r="F40" s="78"/>
      <c r="G40" s="155" t="s">
        <v>100</v>
      </c>
      <c r="H40" s="156"/>
      <c r="I40" s="156"/>
      <c r="J40" s="157"/>
      <c r="K40" s="78"/>
      <c r="L40" s="78"/>
      <c r="M40" s="78"/>
      <c r="N40" s="78"/>
      <c r="O40" s="78"/>
      <c r="P40" s="78"/>
      <c r="Q40" s="78"/>
      <c r="R40" s="78"/>
      <c r="S40" s="78"/>
    </row>
    <row r="41" spans="1:19" ht="8.1" customHeight="1" x14ac:dyDescent="0.25">
      <c r="A41" s="78"/>
      <c r="B41" s="78"/>
      <c r="C41" s="78"/>
      <c r="D41" s="78"/>
      <c r="E41" s="78"/>
      <c r="F41" s="78"/>
      <c r="G41" s="78"/>
      <c r="H41" s="78"/>
      <c r="I41" s="78"/>
      <c r="J41" s="78"/>
      <c r="K41" s="78"/>
      <c r="L41" s="78"/>
      <c r="M41" s="78"/>
      <c r="N41" s="78"/>
      <c r="O41" s="78"/>
      <c r="P41" s="78"/>
      <c r="Q41" s="78"/>
      <c r="R41" s="78"/>
      <c r="S41" s="78"/>
    </row>
    <row r="42" spans="1:19" ht="30" customHeight="1" x14ac:dyDescent="0.25">
      <c r="A42" s="78"/>
      <c r="B42" s="78"/>
      <c r="C42" s="152" t="s">
        <v>101</v>
      </c>
      <c r="D42" s="153"/>
      <c r="E42" s="153"/>
      <c r="F42" s="153"/>
      <c r="G42" s="153"/>
      <c r="H42" s="153"/>
      <c r="I42" s="153"/>
      <c r="J42" s="154"/>
      <c r="K42" s="78"/>
      <c r="L42" s="78"/>
      <c r="M42" s="78"/>
      <c r="N42" s="78"/>
      <c r="O42" s="78"/>
      <c r="P42" s="78"/>
      <c r="Q42" s="78"/>
      <c r="R42" s="78"/>
      <c r="S42" s="78"/>
    </row>
    <row r="43" spans="1:19" x14ac:dyDescent="0.25">
      <c r="A43" s="78"/>
      <c r="B43" s="78"/>
      <c r="C43" s="78"/>
      <c r="D43" s="78"/>
      <c r="E43" s="78"/>
      <c r="F43" s="78"/>
      <c r="G43" s="78"/>
      <c r="H43" s="78"/>
      <c r="I43" s="78"/>
      <c r="J43" s="78"/>
      <c r="K43" s="78"/>
      <c r="L43" s="78"/>
      <c r="M43" s="78"/>
      <c r="N43" s="78"/>
      <c r="O43" s="78"/>
      <c r="P43" s="78"/>
      <c r="Q43" s="78"/>
      <c r="R43" s="78"/>
      <c r="S43" s="78"/>
    </row>
    <row r="44" spans="1:19" x14ac:dyDescent="0.25">
      <c r="A44" s="78"/>
      <c r="B44" s="78"/>
      <c r="C44" s="78"/>
      <c r="D44" s="78"/>
      <c r="E44" s="78"/>
      <c r="F44" s="78"/>
      <c r="G44" s="78"/>
      <c r="H44" s="78"/>
      <c r="I44" s="78"/>
      <c r="J44" s="78"/>
      <c r="K44" s="78"/>
      <c r="L44" s="78"/>
      <c r="M44" s="78"/>
      <c r="N44" s="78"/>
      <c r="O44" s="78"/>
      <c r="P44" s="78"/>
      <c r="Q44" s="78"/>
      <c r="R44" s="78"/>
      <c r="S44" s="78"/>
    </row>
    <row r="45" spans="1:19" x14ac:dyDescent="0.25">
      <c r="A45" s="78"/>
      <c r="B45" s="131" t="s">
        <v>102</v>
      </c>
      <c r="C45" s="78"/>
      <c r="D45" s="78"/>
      <c r="E45" s="78"/>
      <c r="F45" s="78"/>
      <c r="G45" s="78"/>
      <c r="H45" s="78"/>
      <c r="I45" s="78"/>
      <c r="J45" s="78"/>
      <c r="K45" s="78"/>
      <c r="L45" s="78"/>
      <c r="M45" s="78"/>
      <c r="N45" s="78"/>
      <c r="O45" s="78"/>
      <c r="P45" s="78"/>
      <c r="Q45" s="78"/>
      <c r="R45" s="78"/>
      <c r="S45" s="78"/>
    </row>
    <row r="46" spans="1:19" x14ac:dyDescent="0.25">
      <c r="A46" s="78"/>
      <c r="B46" s="131" t="s">
        <v>103</v>
      </c>
      <c r="C46" s="78"/>
      <c r="D46" s="78"/>
      <c r="E46" s="78"/>
      <c r="F46" s="78"/>
      <c r="G46" s="78"/>
      <c r="H46" s="78"/>
      <c r="I46" s="78"/>
      <c r="J46" s="78"/>
      <c r="K46" s="78"/>
      <c r="L46" s="78"/>
      <c r="M46" s="78"/>
      <c r="N46" s="78"/>
      <c r="O46" s="78"/>
      <c r="P46" s="78"/>
      <c r="Q46" s="78"/>
      <c r="R46" s="78"/>
      <c r="S46" s="78"/>
    </row>
    <row r="47" spans="1:19" x14ac:dyDescent="0.25">
      <c r="A47" s="78"/>
      <c r="B47" s="132" t="s">
        <v>104</v>
      </c>
      <c r="C47" s="78"/>
      <c r="D47" s="78"/>
      <c r="E47" s="78"/>
      <c r="F47" s="78"/>
      <c r="G47" s="78"/>
      <c r="H47" s="78"/>
      <c r="I47" s="78"/>
      <c r="J47" s="78"/>
      <c r="K47" s="78"/>
      <c r="L47" s="78"/>
      <c r="M47" s="78"/>
      <c r="N47" s="78"/>
      <c r="O47" s="78"/>
      <c r="P47" s="78"/>
      <c r="Q47" s="78"/>
      <c r="R47" s="78"/>
      <c r="S47" s="78"/>
    </row>
    <row r="48" spans="1:19" x14ac:dyDescent="0.25">
      <c r="A48" s="78"/>
      <c r="B48" s="78"/>
      <c r="C48" s="78"/>
      <c r="D48" s="78"/>
      <c r="E48" s="78"/>
      <c r="F48" s="78"/>
      <c r="G48" s="78"/>
      <c r="H48" s="78"/>
      <c r="I48" s="78"/>
      <c r="J48" s="78"/>
      <c r="K48" s="78"/>
      <c r="L48" s="78"/>
      <c r="M48" s="78"/>
      <c r="N48" s="78"/>
      <c r="O48" s="78"/>
      <c r="P48" s="78"/>
      <c r="Q48" s="78"/>
      <c r="R48" s="78"/>
      <c r="S48" s="78"/>
    </row>
    <row r="49" spans="1:19" x14ac:dyDescent="0.25">
      <c r="A49" s="78"/>
      <c r="B49" s="78"/>
      <c r="C49" s="78"/>
      <c r="D49" s="78"/>
      <c r="E49" s="78"/>
      <c r="F49" s="78"/>
      <c r="G49" s="78"/>
      <c r="H49" s="78"/>
      <c r="I49" s="78"/>
      <c r="J49" s="78"/>
      <c r="K49" s="78"/>
      <c r="L49" s="78"/>
      <c r="M49" s="78"/>
      <c r="N49" s="78"/>
      <c r="O49" s="78"/>
      <c r="P49" s="78"/>
      <c r="Q49" s="78"/>
      <c r="R49" s="78"/>
      <c r="S49" s="78"/>
    </row>
    <row r="50" spans="1:19" x14ac:dyDescent="0.25">
      <c r="A50" s="78"/>
      <c r="B50" s="78"/>
      <c r="C50" s="78"/>
      <c r="D50" s="78"/>
      <c r="E50" s="78"/>
      <c r="F50" s="78"/>
      <c r="G50" s="78"/>
      <c r="H50" s="78"/>
      <c r="I50" s="78"/>
      <c r="J50" s="78"/>
      <c r="K50" s="78"/>
      <c r="L50" s="78"/>
      <c r="M50" s="78"/>
      <c r="N50" s="78"/>
      <c r="O50" s="78"/>
      <c r="P50" s="78"/>
      <c r="Q50" s="78"/>
      <c r="R50" s="78"/>
      <c r="S50" s="78"/>
    </row>
  </sheetData>
  <mergeCells count="36">
    <mergeCell ref="C4:J4"/>
    <mergeCell ref="G40:J40"/>
    <mergeCell ref="I31"/>
    <mergeCell ref="I34"/>
    <mergeCell ref="C1:J1"/>
    <mergeCell ref="I30"/>
    <mergeCell ref="I15"/>
    <mergeCell ref="I36"/>
    <mergeCell ref="C12:J12"/>
    <mergeCell ref="C21:J21"/>
    <mergeCell ref="I26"/>
    <mergeCell ref="C2:J2"/>
    <mergeCell ref="I25"/>
    <mergeCell ref="I16"/>
    <mergeCell ref="C39:J39"/>
    <mergeCell ref="I22"/>
    <mergeCell ref="C42:J42"/>
    <mergeCell ref="C40:E40"/>
    <mergeCell ref="I29"/>
    <mergeCell ref="I19"/>
    <mergeCell ref="O16:Q16"/>
    <mergeCell ref="I37"/>
    <mergeCell ref="I18"/>
    <mergeCell ref="C28:J28"/>
    <mergeCell ref="I24"/>
    <mergeCell ref="I17"/>
    <mergeCell ref="I23"/>
    <mergeCell ref="O5:Q5"/>
    <mergeCell ref="I35"/>
    <mergeCell ref="C33:J33"/>
    <mergeCell ref="I13"/>
    <mergeCell ref="K14:M14"/>
    <mergeCell ref="O12:Q12"/>
    <mergeCell ref="O6:Q6"/>
    <mergeCell ref="K5:M5"/>
    <mergeCell ref="I14"/>
  </mergeCells>
  <hyperlinks>
    <hyperlink ref="C5" location="Activos!A1" display="📦 Inventario de Activos" xr:uid="{00000000-0004-0000-0000-000000000000}"/>
    <hyperlink ref="D5" location="Config_Categorias!A1" display="🏷️ Clasificación de Activos" xr:uid="{00000000-0004-0000-0000-000001000000}"/>
    <hyperlink ref="F5" location="Activos!A1" display="💰 Valoración de Activos" xr:uid="{00000000-0004-0000-0000-000002000000}"/>
    <hyperlink ref="G5" location="Matriz_Riesgos!A1" display="⚠️ Identificación de Riesgos" xr:uid="{00000000-0004-0000-0000-000003000000}"/>
    <hyperlink ref="C6" location="Analisis_Riesgos!A1" display="📊 Análisis de Riesgos" xr:uid="{00000000-0004-0000-0000-000004000000}"/>
    <hyperlink ref="D6" location="Matriz_Riesgos!A1" display="🎯 Evaluación de Riesgos" xr:uid="{00000000-0004-0000-0000-000005000000}"/>
    <hyperlink ref="F6" location="Plan_Tratamiento!A1" display="🛡️ Plan de Tratamiento" xr:uid="{00000000-0004-0000-0000-000006000000}"/>
    <hyperlink ref="G6" location="Plan_Tratamiento!A1" display="📈 Seguimiento Tratamiento" xr:uid="{00000000-0004-0000-0000-000007000000}"/>
    <hyperlink ref="C7" location="Controles_ISO27001!A1" display="✅ Controles Implementados" xr:uid="{00000000-0004-0000-0000-000008000000}"/>
    <hyperlink ref="D7" location="SoA!A1" display="📋 Declaración Aplicabilidad" xr:uid="{00000000-0004-0000-0000-000009000000}"/>
    <hyperlink ref="F7" location="Politicas_Seguridad!A1" display="📜 Políticas de Seguridad" xr:uid="{00000000-0004-0000-0000-00000A000000}"/>
    <hyperlink ref="G7" location="Procedimientos!A1" display="⚙️ Procedimientos Operativos" xr:uid="{00000000-0004-0000-0000-00000B000000}"/>
    <hyperlink ref="C8" location="Comite_Seguridad!A1" display="👥 Roles y Responsabilidades" xr:uid="{00000000-0004-0000-0000-00000C000000}"/>
    <hyperlink ref="D8" location="Metricas_KPI!A1" display="📊 Indicadores KPI" xr:uid="{00000000-0004-0000-0000-00000D000000}"/>
    <hyperlink ref="F8" location="Auditorias!A1" display="🔍 Auditoría Interna" xr:uid="{00000000-0004-0000-0000-00000E000000}"/>
    <hyperlink ref="G8" location="Revision_Direccion!A1" display="👔 Revisión Dirección" xr:uid="{00000000-0004-0000-0000-00000F000000}"/>
    <hyperlink ref="C9" location="Gestion_Incidentes!A1" display="🚨 Incidentes de Seguridad" xr:uid="{00000000-0004-0000-0000-000010000000}"/>
    <hyperlink ref="D9" location="Log_Acciones!A1" display="🔄 Gestión de Cambios" xr:uid="{00000000-0004-0000-0000-000011000000}"/>
    <hyperlink ref="F9" location="Plan_Formacion!A1" display="🎓 Capacitación" xr:uid="{00000000-0004-0000-0000-000012000000}"/>
    <hyperlink ref="G9" location="Controles_ISO27001!A1" display="⚖️ Cumplimiento Legal" xr:uid="{00000000-0004-0000-0000-000013000000}"/>
    <hyperlink ref="C10" location="Plan_Tratamiento!A1" display="♻️ Mejora Continua" xr:uid="{00000000-0004-0000-0000-000014000000}"/>
    <hyperlink ref="D10" location="Dashboard!A1" display="📊 Dashboard Ejecutivo" xr:uid="{00000000-0004-0000-0000-000015000000}"/>
    <hyperlink ref="F10" location="Instrucciones!A1" display="📖 Instrucciones" xr:uid="{00000000-0004-0000-0000-000016000000}"/>
    <hyperlink ref="O16" location="MITRE_Ataques!A1" display="🔗 Ver Hojas MITRE" xr:uid="{00000000-0004-0000-0000-000017000000}"/>
    <hyperlink ref="I22" location="Dashboard!A1" display="#Dashboard!A1" xr:uid="{00000000-0004-0000-0000-000018000000}"/>
    <hyperlink ref="A32" location="Instrucciones!A1" display="▶ Botón:" xr:uid="{00000000-0004-0000-0000-000019000000}"/>
    <hyperlink ref="C32" location="Control_Documentos!A1" display="#Control_Documentos!A1" xr:uid="{00000000-0004-0000-0000-00001A000000}"/>
    <hyperlink ref="E32" location="NDA_Proveedores!A1" display="Verifica integridad de fórmulas y enlaces entre hojas (mantenimiento trimestral)." xr:uid="{00000000-0004-0000-0000-00001B000000}"/>
  </hyperlinks>
  <printOptions gridLines="1"/>
  <pageMargins left="0.5" right="0.5" top="0.5" bottom="0.5" header="0.29921259842519687" footer="0.29921259842519687"/>
  <pageSetup scale="46" fitToHeight="0" orientation="landscape" r:id="rId1"/>
  <headerFooter>
    <oddHeader>&amp;L&amp;"Segoe UI,Bold"&amp;14Panel_Control&amp;R&amp;"Segoe UI"&amp;10Fecha: &amp;D</oddHeader>
    <oddFooter>&amp;L&amp;"Segoe UI"&amp;9SGSI - ISO 27001:2022&amp;R&amp;"Segoe UI"&amp;9Página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96" r:id="rId4" name="Button 72">
              <controlPr defaultSize="0" print="0" autoFill="0" autoPict="0" macro="[0]!IngresarNuevoActivo">
                <anchor moveWithCells="1" sizeWithCells="1">
                  <from>
                    <xdr:col>8</xdr:col>
                    <xdr:colOff>19050</xdr:colOff>
                    <xdr:row>12</xdr:row>
                    <xdr:rowOff>19050</xdr:rowOff>
                  </from>
                  <to>
                    <xdr:col>8</xdr:col>
                    <xdr:colOff>1638300</xdr:colOff>
                    <xdr:row>12</xdr:row>
                    <xdr:rowOff>247650</xdr:rowOff>
                  </to>
                </anchor>
              </controlPr>
            </control>
          </mc:Choice>
        </mc:AlternateContent>
        <mc:AlternateContent xmlns:mc="http://schemas.openxmlformats.org/markup-compatibility/2006">
          <mc:Choice Requires="x14">
            <control shapeId="1097" r:id="rId5" name="Button 73">
              <controlPr defaultSize="0" print="0" autoFill="0" autoPict="0" macro="[0]!GenerarReporteActivos">
                <anchor moveWithCells="1" sizeWithCells="1">
                  <from>
                    <xdr:col>8</xdr:col>
                    <xdr:colOff>19050</xdr:colOff>
                    <xdr:row>13</xdr:row>
                    <xdr:rowOff>19050</xdr:rowOff>
                  </from>
                  <to>
                    <xdr:col>8</xdr:col>
                    <xdr:colOff>1638300</xdr:colOff>
                    <xdr:row>13</xdr:row>
                    <xdr:rowOff>247650</xdr:rowOff>
                  </to>
                </anchor>
              </controlPr>
            </control>
          </mc:Choice>
        </mc:AlternateContent>
        <mc:AlternateContent xmlns:mc="http://schemas.openxmlformats.org/markup-compatibility/2006">
          <mc:Choice Requires="x14">
            <control shapeId="1098" r:id="rId6" name="Button 74">
              <controlPr defaultSize="0" print="0" autoFill="0" autoPict="0" macro="[0]!ExportarActivosCSV">
                <anchor moveWithCells="1" sizeWithCells="1">
                  <from>
                    <xdr:col>8</xdr:col>
                    <xdr:colOff>19050</xdr:colOff>
                    <xdr:row>14</xdr:row>
                    <xdr:rowOff>19050</xdr:rowOff>
                  </from>
                  <to>
                    <xdr:col>8</xdr:col>
                    <xdr:colOff>1638300</xdr:colOff>
                    <xdr:row>14</xdr:row>
                    <xdr:rowOff>247650</xdr:rowOff>
                  </to>
                </anchor>
              </controlPr>
            </control>
          </mc:Choice>
        </mc:AlternateContent>
        <mc:AlternateContent xmlns:mc="http://schemas.openxmlformats.org/markup-compatibility/2006">
          <mc:Choice Requires="x14">
            <control shapeId="1099" r:id="rId7" name="Button 75">
              <controlPr defaultSize="0" print="0" autoFill="0" autoPict="0" macro="[0]!ActualizarPropietarios">
                <anchor moveWithCells="1" sizeWithCells="1">
                  <from>
                    <xdr:col>8</xdr:col>
                    <xdr:colOff>19050</xdr:colOff>
                    <xdr:row>15</xdr:row>
                    <xdr:rowOff>19050</xdr:rowOff>
                  </from>
                  <to>
                    <xdr:col>8</xdr:col>
                    <xdr:colOff>1638300</xdr:colOff>
                    <xdr:row>15</xdr:row>
                    <xdr:rowOff>247650</xdr:rowOff>
                  </to>
                </anchor>
              </controlPr>
            </control>
          </mc:Choice>
        </mc:AlternateContent>
        <mc:AlternateContent xmlns:mc="http://schemas.openxmlformats.org/markup-compatibility/2006">
          <mc:Choice Requires="x14">
            <control shapeId="1100" r:id="rId8" name="Button 76">
              <controlPr defaultSize="0" print="0" autoFill="0" autoPict="0" macro="[0]!CalcularValorActivo">
                <anchor moveWithCells="1" sizeWithCells="1">
                  <from>
                    <xdr:col>8</xdr:col>
                    <xdr:colOff>19050</xdr:colOff>
                    <xdr:row>16</xdr:row>
                    <xdr:rowOff>19050</xdr:rowOff>
                  </from>
                  <to>
                    <xdr:col>8</xdr:col>
                    <xdr:colOff>1638300</xdr:colOff>
                    <xdr:row>16</xdr:row>
                    <xdr:rowOff>247650</xdr:rowOff>
                  </to>
                </anchor>
              </controlPr>
            </control>
          </mc:Choice>
        </mc:AlternateContent>
        <mc:AlternateContent xmlns:mc="http://schemas.openxmlformats.org/markup-compatibility/2006">
          <mc:Choice Requires="x14">
            <control shapeId="1101" r:id="rId9" name="Button 77">
              <controlPr defaultSize="0" print="0" autoFill="0" autoPict="0" macro="[0]!ValidarActivosDuplicados">
                <anchor moveWithCells="1" sizeWithCells="1">
                  <from>
                    <xdr:col>8</xdr:col>
                    <xdr:colOff>19050</xdr:colOff>
                    <xdr:row>17</xdr:row>
                    <xdr:rowOff>19050</xdr:rowOff>
                  </from>
                  <to>
                    <xdr:col>8</xdr:col>
                    <xdr:colOff>1638300</xdr:colOff>
                    <xdr:row>17</xdr:row>
                    <xdr:rowOff>247650</xdr:rowOff>
                  </to>
                </anchor>
              </controlPr>
            </control>
          </mc:Choice>
        </mc:AlternateContent>
        <mc:AlternateContent xmlns:mc="http://schemas.openxmlformats.org/markup-compatibility/2006">
          <mc:Choice Requires="x14">
            <control shapeId="1102" r:id="rId10" name="Button 78">
              <controlPr defaultSize="0" print="0" autoFill="0" autoPict="0" macro="[0]!EliminarActivo">
                <anchor moveWithCells="1" sizeWithCells="1">
                  <from>
                    <xdr:col>8</xdr:col>
                    <xdr:colOff>19050</xdr:colOff>
                    <xdr:row>18</xdr:row>
                    <xdr:rowOff>19050</xdr:rowOff>
                  </from>
                  <to>
                    <xdr:col>8</xdr:col>
                    <xdr:colOff>1638300</xdr:colOff>
                    <xdr:row>18</xdr:row>
                    <xdr:rowOff>247650</xdr:rowOff>
                  </to>
                </anchor>
              </controlPr>
            </control>
          </mc:Choice>
        </mc:AlternateContent>
        <mc:AlternateContent xmlns:mc="http://schemas.openxmlformats.org/markup-compatibility/2006">
          <mc:Choice Requires="x14">
            <control shapeId="1103" r:id="rId11" name="Button 79">
              <controlPr defaultSize="0" print="0" autoFill="0" autoPict="0" macro="[0]!IngresarNuevoRiesgo">
                <anchor moveWithCells="1" sizeWithCells="1">
                  <from>
                    <xdr:col>8</xdr:col>
                    <xdr:colOff>19050</xdr:colOff>
                    <xdr:row>21</xdr:row>
                    <xdr:rowOff>19050</xdr:rowOff>
                  </from>
                  <to>
                    <xdr:col>8</xdr:col>
                    <xdr:colOff>1638300</xdr:colOff>
                    <xdr:row>21</xdr:row>
                    <xdr:rowOff>247650</xdr:rowOff>
                  </to>
                </anchor>
              </controlPr>
            </control>
          </mc:Choice>
        </mc:AlternateContent>
        <mc:AlternateContent xmlns:mc="http://schemas.openxmlformats.org/markup-compatibility/2006">
          <mc:Choice Requires="x14">
            <control shapeId="1104" r:id="rId12" name="Button 80">
              <controlPr defaultSize="0" print="0" autoFill="0" autoPict="0" macro="[0]!CalcularRiesgoInherente">
                <anchor moveWithCells="1" sizeWithCells="1">
                  <from>
                    <xdr:col>8</xdr:col>
                    <xdr:colOff>19050</xdr:colOff>
                    <xdr:row>22</xdr:row>
                    <xdr:rowOff>19050</xdr:rowOff>
                  </from>
                  <to>
                    <xdr:col>8</xdr:col>
                    <xdr:colOff>1638300</xdr:colOff>
                    <xdr:row>22</xdr:row>
                    <xdr:rowOff>247650</xdr:rowOff>
                  </to>
                </anchor>
              </controlPr>
            </control>
          </mc:Choice>
        </mc:AlternateContent>
        <mc:AlternateContent xmlns:mc="http://schemas.openxmlformats.org/markup-compatibility/2006">
          <mc:Choice Requires="x14">
            <control shapeId="1105" r:id="rId13" name="Button 81">
              <controlPr defaultSize="0" print="0" autoFill="0" autoPict="0" macro="[0]!GenerarMapaCalor">
                <anchor moveWithCells="1" sizeWithCells="1">
                  <from>
                    <xdr:col>8</xdr:col>
                    <xdr:colOff>19050</xdr:colOff>
                    <xdr:row>23</xdr:row>
                    <xdr:rowOff>19050</xdr:rowOff>
                  </from>
                  <to>
                    <xdr:col>8</xdr:col>
                    <xdr:colOff>1638300</xdr:colOff>
                    <xdr:row>23</xdr:row>
                    <xdr:rowOff>247650</xdr:rowOff>
                  </to>
                </anchor>
              </controlPr>
            </control>
          </mc:Choice>
        </mc:AlternateContent>
        <mc:AlternateContent xmlns:mc="http://schemas.openxmlformats.org/markup-compatibility/2006">
          <mc:Choice Requires="x14">
            <control shapeId="1106" r:id="rId14" name="Button 82">
              <controlPr defaultSize="0" print="0" autoFill="0" autoPict="0" macro="[0]!ActualizarRiesgoResidual">
                <anchor moveWithCells="1" sizeWithCells="1">
                  <from>
                    <xdr:col>8</xdr:col>
                    <xdr:colOff>19050</xdr:colOff>
                    <xdr:row>24</xdr:row>
                    <xdr:rowOff>19050</xdr:rowOff>
                  </from>
                  <to>
                    <xdr:col>8</xdr:col>
                    <xdr:colOff>1638300</xdr:colOff>
                    <xdr:row>24</xdr:row>
                    <xdr:rowOff>247650</xdr:rowOff>
                  </to>
                </anchor>
              </controlPr>
            </control>
          </mc:Choice>
        </mc:AlternateContent>
        <mc:AlternateContent xmlns:mc="http://schemas.openxmlformats.org/markup-compatibility/2006">
          <mc:Choice Requires="x14">
            <control shapeId="1107" r:id="rId15" name="Button 83">
              <controlPr defaultSize="0" print="0" autoFill="0" autoPict="0" macro="[0]!ColorearRiesgos">
                <anchor moveWithCells="1" sizeWithCells="1">
                  <from>
                    <xdr:col>8</xdr:col>
                    <xdr:colOff>19050</xdr:colOff>
                    <xdr:row>25</xdr:row>
                    <xdr:rowOff>19050</xdr:rowOff>
                  </from>
                  <to>
                    <xdr:col>8</xdr:col>
                    <xdr:colOff>1638300</xdr:colOff>
                    <xdr:row>25</xdr:row>
                    <xdr:rowOff>247650</xdr:rowOff>
                  </to>
                </anchor>
              </controlPr>
            </control>
          </mc:Choice>
        </mc:AlternateContent>
        <mc:AlternateContent xmlns:mc="http://schemas.openxmlformats.org/markup-compatibility/2006">
          <mc:Choice Requires="x14">
            <control shapeId="1108" r:id="rId16" name="Button 84">
              <controlPr defaultSize="0" print="0" autoFill="0" autoPict="0" macro="[0]!IngresarNuevoTratamiento">
                <anchor moveWithCells="1" sizeWithCells="1">
                  <from>
                    <xdr:col>8</xdr:col>
                    <xdr:colOff>19050</xdr:colOff>
                    <xdr:row>28</xdr:row>
                    <xdr:rowOff>19050</xdr:rowOff>
                  </from>
                  <to>
                    <xdr:col>8</xdr:col>
                    <xdr:colOff>1638300</xdr:colOff>
                    <xdr:row>28</xdr:row>
                    <xdr:rowOff>247650</xdr:rowOff>
                  </to>
                </anchor>
              </controlPr>
            </control>
          </mc:Choice>
        </mc:AlternateContent>
        <mc:AlternateContent xmlns:mc="http://schemas.openxmlformats.org/markup-compatibility/2006">
          <mc:Choice Requires="x14">
            <control shapeId="1109" r:id="rId17" name="Button 85">
              <controlPr defaultSize="0" print="0" autoFill="0" autoPict="0" macro="[0]!ActualizarEstadoTratamiento">
                <anchor moveWithCells="1" sizeWithCells="1">
                  <from>
                    <xdr:col>8</xdr:col>
                    <xdr:colOff>19050</xdr:colOff>
                    <xdr:row>29</xdr:row>
                    <xdr:rowOff>19050</xdr:rowOff>
                  </from>
                  <to>
                    <xdr:col>8</xdr:col>
                    <xdr:colOff>1638300</xdr:colOff>
                    <xdr:row>29</xdr:row>
                    <xdr:rowOff>247650</xdr:rowOff>
                  </to>
                </anchor>
              </controlPr>
            </control>
          </mc:Choice>
        </mc:AlternateContent>
        <mc:AlternateContent xmlns:mc="http://schemas.openxmlformats.org/markup-compatibility/2006">
          <mc:Choice Requires="x14">
            <control shapeId="1110" r:id="rId18" name="Button 86">
              <controlPr defaultSize="0" print="0" autoFill="0" autoPict="0" macro="[0]!GenerarInformeTratamiento">
                <anchor moveWithCells="1" sizeWithCells="1">
                  <from>
                    <xdr:col>8</xdr:col>
                    <xdr:colOff>19050</xdr:colOff>
                    <xdr:row>30</xdr:row>
                    <xdr:rowOff>19050</xdr:rowOff>
                  </from>
                  <to>
                    <xdr:col>8</xdr:col>
                    <xdr:colOff>1638300</xdr:colOff>
                    <xdr:row>30</xdr:row>
                    <xdr:rowOff>247650</xdr:rowOff>
                  </to>
                </anchor>
              </controlPr>
            </control>
          </mc:Choice>
        </mc:AlternateContent>
        <mc:AlternateContent xmlns:mc="http://schemas.openxmlformats.org/markup-compatibility/2006">
          <mc:Choice Requires="x14">
            <control shapeId="1111" r:id="rId19" name="Button 87">
              <controlPr defaultSize="0" print="0" autoFill="0" autoPict="0" macro="[0]!ActualizarDashboard">
                <anchor moveWithCells="1" sizeWithCells="1">
                  <from>
                    <xdr:col>8</xdr:col>
                    <xdr:colOff>19050</xdr:colOff>
                    <xdr:row>33</xdr:row>
                    <xdr:rowOff>19050</xdr:rowOff>
                  </from>
                  <to>
                    <xdr:col>8</xdr:col>
                    <xdr:colOff>1638300</xdr:colOff>
                    <xdr:row>33</xdr:row>
                    <xdr:rowOff>247650</xdr:rowOff>
                  </to>
                </anchor>
              </controlPr>
            </control>
          </mc:Choice>
        </mc:AlternateContent>
        <mc:AlternateContent xmlns:mc="http://schemas.openxmlformats.org/markup-compatibility/2006">
          <mc:Choice Requires="x14">
            <control shapeId="1112" r:id="rId20" name="Button 88">
              <controlPr defaultSize="0" print="0" autoFill="0" autoPict="0" macro="[0]!ExportarReporteCompleto">
                <anchor moveWithCells="1" sizeWithCells="1">
                  <from>
                    <xdr:col>8</xdr:col>
                    <xdr:colOff>19050</xdr:colOff>
                    <xdr:row>34</xdr:row>
                    <xdr:rowOff>19050</xdr:rowOff>
                  </from>
                  <to>
                    <xdr:col>8</xdr:col>
                    <xdr:colOff>1638300</xdr:colOff>
                    <xdr:row>34</xdr:row>
                    <xdr:rowOff>247650</xdr:rowOff>
                  </to>
                </anchor>
              </controlPr>
            </control>
          </mc:Choice>
        </mc:AlternateContent>
        <mc:AlternateContent xmlns:mc="http://schemas.openxmlformats.org/markup-compatibility/2006">
          <mc:Choice Requires="x14">
            <control shapeId="1113" r:id="rId21" name="Button 89">
              <controlPr defaultSize="0" print="0" autoFill="0" autoPict="0" macro="[0]!ExportarActivosPDF">
                <anchor moveWithCells="1" sizeWithCells="1">
                  <from>
                    <xdr:col>8</xdr:col>
                    <xdr:colOff>19050</xdr:colOff>
                    <xdr:row>35</xdr:row>
                    <xdr:rowOff>19050</xdr:rowOff>
                  </from>
                  <to>
                    <xdr:col>8</xdr:col>
                    <xdr:colOff>1638300</xdr:colOff>
                    <xdr:row>35</xdr:row>
                    <xdr:rowOff>247650</xdr:rowOff>
                  </to>
                </anchor>
              </controlPr>
            </control>
          </mc:Choice>
        </mc:AlternateContent>
        <mc:AlternateContent xmlns:mc="http://schemas.openxmlformats.org/markup-compatibility/2006">
          <mc:Choice Requires="x14">
            <control shapeId="1114" r:id="rId22" name="Button 90">
              <controlPr defaultSize="0" print="0" autoFill="0" autoPict="0" macro="[0]!ValidarCumplimientoISO">
                <anchor moveWithCells="1" sizeWithCells="1">
                  <from>
                    <xdr:col>8</xdr:col>
                    <xdr:colOff>19050</xdr:colOff>
                    <xdr:row>36</xdr:row>
                    <xdr:rowOff>19050</xdr:rowOff>
                  </from>
                  <to>
                    <xdr:col>8</xdr:col>
                    <xdr:colOff>1638300</xdr:colOff>
                    <xdr:row>36</xdr:row>
                    <xdr:rowOff>247650</xdr:rowOff>
                  </to>
                </anchor>
              </controlPr>
            </control>
          </mc:Choice>
        </mc:AlternateContent>
        <mc:AlternateContent xmlns:mc="http://schemas.openxmlformats.org/markup-compatibility/2006">
          <mc:Choice Requires="x14">
            <control shapeId="1115" r:id="rId23" name="Button 91">
              <controlPr defaultSize="0" print="0" autoFill="0" autoPict="0" macro="[0]!VerTecnicasMITRE">
                <anchor moveWithCells="1" sizeWithCells="1">
                  <from>
                    <xdr:col>14</xdr:col>
                    <xdr:colOff>19050</xdr:colOff>
                    <xdr:row>17</xdr:row>
                    <xdr:rowOff>19050</xdr:rowOff>
                  </from>
                  <to>
                    <xdr:col>14</xdr:col>
                    <xdr:colOff>1171575</xdr:colOff>
                    <xdr:row>17</xdr:row>
                    <xdr:rowOff>247650</xdr:rowOff>
                  </to>
                </anchor>
              </controlPr>
            </control>
          </mc:Choice>
        </mc:AlternateContent>
        <mc:AlternateContent xmlns:mc="http://schemas.openxmlformats.org/markup-compatibility/2006">
          <mc:Choice Requires="x14">
            <control shapeId="1116" r:id="rId24" name="Button 92">
              <controlPr defaultSize="0" print="0" autoFill="0" autoPict="0" macro="[0]!VerMitigacionesMITRE">
                <anchor moveWithCells="1" sizeWithCells="1">
                  <from>
                    <xdr:col>14</xdr:col>
                    <xdr:colOff>19050</xdr:colOff>
                    <xdr:row>18</xdr:row>
                    <xdr:rowOff>19050</xdr:rowOff>
                  </from>
                  <to>
                    <xdr:col>14</xdr:col>
                    <xdr:colOff>1171575</xdr:colOff>
                    <xdr:row>18</xdr:row>
                    <xdr:rowOff>247650</xdr:rowOff>
                  </to>
                </anchor>
              </controlPr>
            </control>
          </mc:Choice>
        </mc:AlternateContent>
        <mc:AlternateContent xmlns:mc="http://schemas.openxmlformats.org/markup-compatibility/2006">
          <mc:Choice Requires="x14">
            <control shapeId="1117" r:id="rId25" name="Button 93">
              <controlPr defaultSize="0" print="0" autoFill="0" autoPict="0" macro="[0]!VerAssetsMITRE">
                <anchor moveWithCells="1" sizeWithCells="1">
                  <from>
                    <xdr:col>14</xdr:col>
                    <xdr:colOff>19050</xdr:colOff>
                    <xdr:row>19</xdr:row>
                    <xdr:rowOff>19050</xdr:rowOff>
                  </from>
                  <to>
                    <xdr:col>14</xdr:col>
                    <xdr:colOff>1171575</xdr:colOff>
                    <xdr:row>19</xdr:row>
                    <xdr:rowOff>276225</xdr:rowOff>
                  </to>
                </anchor>
              </controlPr>
            </control>
          </mc:Choice>
        </mc:AlternateContent>
        <mc:AlternateContent xmlns:mc="http://schemas.openxmlformats.org/markup-compatibility/2006">
          <mc:Choice Requires="x14">
            <control shapeId="1118" r:id="rId26" name="Button 94">
              <controlPr defaultSize="0" print="0" autoFill="0" autoPict="0" macro="[0]!GenerarMapaMITRE">
                <anchor moveWithCells="1" sizeWithCells="1">
                  <from>
                    <xdr:col>14</xdr:col>
                    <xdr:colOff>19050</xdr:colOff>
                    <xdr:row>20</xdr:row>
                    <xdr:rowOff>19050</xdr:rowOff>
                  </from>
                  <to>
                    <xdr:col>14</xdr:col>
                    <xdr:colOff>1171575</xdr:colOff>
                    <xdr:row>20</xdr:row>
                    <xdr:rowOff>323850</xdr:rowOff>
                  </to>
                </anchor>
              </controlPr>
            </control>
          </mc:Choice>
        </mc:AlternateContent>
        <mc:AlternateContent xmlns:mc="http://schemas.openxmlformats.org/markup-compatibility/2006">
          <mc:Choice Requires="x14">
            <control shapeId="1119" r:id="rId27" name="Button 95">
              <controlPr defaultSize="0" print="0" autoFill="0" autoPict="0" macro="[0]!MostrarInfoSistema">
                <anchor moveWithCells="1" sizeWithCells="1">
                  <from>
                    <xdr:col>2</xdr:col>
                    <xdr:colOff>19050</xdr:colOff>
                    <xdr:row>39</xdr:row>
                    <xdr:rowOff>19050</xdr:rowOff>
                  </from>
                  <to>
                    <xdr:col>4</xdr:col>
                    <xdr:colOff>104775</xdr:colOff>
                    <xdr:row>39</xdr:row>
                    <xdr:rowOff>247650</xdr:rowOff>
                  </to>
                </anchor>
              </controlPr>
            </control>
          </mc:Choice>
        </mc:AlternateContent>
        <mc:AlternateContent xmlns:mc="http://schemas.openxmlformats.org/markup-compatibility/2006">
          <mc:Choice Requires="x14">
            <control shapeId="1120" r:id="rId28" name="Button 96">
              <controlPr defaultSize="0" print="0" autoFill="0" autoPict="0" macro="[0]!ValidarEstructuraExcel">
                <anchor moveWithCells="1" sizeWithCells="1">
                  <from>
                    <xdr:col>6</xdr:col>
                    <xdr:colOff>19050</xdr:colOff>
                    <xdr:row>39</xdr:row>
                    <xdr:rowOff>19050</xdr:rowOff>
                  </from>
                  <to>
                    <xdr:col>9</xdr:col>
                    <xdr:colOff>2305050</xdr:colOff>
                    <xdr:row>39</xdr:row>
                    <xdr:rowOff>247650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46"/>
  <dimension ref="A1:L84"/>
  <sheetViews>
    <sheetView workbookViewId="0"/>
  </sheetViews>
  <sheetFormatPr baseColWidth="10" defaultColWidth="9.140625" defaultRowHeight="15" x14ac:dyDescent="0.25"/>
  <cols>
    <col min="1" max="1" width="12" customWidth="1"/>
    <col min="2" max="2" width="35" customWidth="1"/>
    <col min="3" max="3" width="25" customWidth="1"/>
    <col min="4" max="4" width="50" customWidth="1"/>
    <col min="5" max="5" width="20" customWidth="1"/>
    <col min="6" max="6" width="40" customWidth="1"/>
    <col min="7" max="7" width="45" customWidth="1"/>
    <col min="8" max="8" width="30" customWidth="1"/>
    <col min="9" max="10" width="25" customWidth="1"/>
    <col min="11" max="11" width="15" customWidth="1"/>
    <col min="12" max="12" width="10" customWidth="1"/>
  </cols>
  <sheetData>
    <row r="1" spans="1:12" ht="30" customHeight="1" x14ac:dyDescent="0.25">
      <c r="A1" s="97" t="s">
        <v>105</v>
      </c>
      <c r="B1" s="97" t="s">
        <v>106</v>
      </c>
      <c r="C1" s="97" t="s">
        <v>107</v>
      </c>
      <c r="D1" s="97" t="s">
        <v>108</v>
      </c>
      <c r="E1" s="97" t="s">
        <v>109</v>
      </c>
      <c r="F1" s="97" t="s">
        <v>110</v>
      </c>
      <c r="G1" s="97" t="s">
        <v>111</v>
      </c>
      <c r="H1" s="97" t="s">
        <v>112</v>
      </c>
      <c r="I1" s="97" t="s">
        <v>113</v>
      </c>
      <c r="J1" s="97" t="s">
        <v>114</v>
      </c>
      <c r="K1" s="97" t="s">
        <v>115</v>
      </c>
      <c r="L1" s="97" t="s">
        <v>116</v>
      </c>
    </row>
    <row r="2" spans="1:12" ht="180" customHeight="1" x14ac:dyDescent="0.25">
      <c r="A2" s="98" t="s">
        <v>117</v>
      </c>
      <c r="B2" s="98" t="s">
        <v>118</v>
      </c>
      <c r="C2" s="98" t="s">
        <v>119</v>
      </c>
      <c r="D2" s="98" t="s">
        <v>120</v>
      </c>
      <c r="E2" s="98" t="s">
        <v>121</v>
      </c>
      <c r="F2" s="98"/>
      <c r="G2" s="98" t="s">
        <v>122</v>
      </c>
      <c r="H2" s="98"/>
      <c r="I2" s="98"/>
      <c r="J2" s="98"/>
      <c r="K2" s="98" t="s">
        <v>123</v>
      </c>
      <c r="L2" s="98" t="s">
        <v>124</v>
      </c>
    </row>
    <row r="3" spans="1:12" ht="360" customHeight="1" x14ac:dyDescent="0.25">
      <c r="A3" s="98" t="s">
        <v>125</v>
      </c>
      <c r="B3" s="98" t="s">
        <v>126</v>
      </c>
      <c r="C3" s="98" t="s">
        <v>127</v>
      </c>
      <c r="D3" s="98" t="s">
        <v>128</v>
      </c>
      <c r="E3" s="98" t="s">
        <v>121</v>
      </c>
      <c r="F3" s="98"/>
      <c r="G3" s="98" t="s">
        <v>129</v>
      </c>
      <c r="H3" s="98"/>
      <c r="I3" s="98"/>
      <c r="J3" s="98"/>
      <c r="K3" s="98" t="s">
        <v>130</v>
      </c>
      <c r="L3" s="98" t="s">
        <v>131</v>
      </c>
    </row>
    <row r="4" spans="1:12" ht="409.5" customHeight="1" x14ac:dyDescent="0.25">
      <c r="A4" s="98" t="s">
        <v>132</v>
      </c>
      <c r="B4" s="98" t="s">
        <v>133</v>
      </c>
      <c r="C4" s="98" t="s">
        <v>119</v>
      </c>
      <c r="D4" s="98" t="s">
        <v>134</v>
      </c>
      <c r="E4" s="98" t="s">
        <v>121</v>
      </c>
      <c r="F4" s="98"/>
      <c r="G4" s="98" t="s">
        <v>135</v>
      </c>
      <c r="H4" s="98"/>
      <c r="I4" s="98"/>
      <c r="J4" s="98"/>
      <c r="K4" s="98" t="s">
        <v>130</v>
      </c>
      <c r="L4" s="98" t="s">
        <v>136</v>
      </c>
    </row>
    <row r="5" spans="1:12" ht="135" customHeight="1" x14ac:dyDescent="0.25">
      <c r="A5" s="98" t="s">
        <v>137</v>
      </c>
      <c r="B5" s="98" t="s">
        <v>138</v>
      </c>
      <c r="C5" s="98" t="s">
        <v>127</v>
      </c>
      <c r="D5" s="98" t="s">
        <v>139</v>
      </c>
      <c r="E5" s="98" t="s">
        <v>121</v>
      </c>
      <c r="F5" s="98"/>
      <c r="G5" s="98" t="s">
        <v>140</v>
      </c>
      <c r="H5" s="98"/>
      <c r="I5" s="98"/>
      <c r="J5" s="98"/>
      <c r="K5" s="98" t="s">
        <v>141</v>
      </c>
      <c r="L5" s="98" t="s">
        <v>142</v>
      </c>
    </row>
    <row r="6" spans="1:12" ht="405" customHeight="1" x14ac:dyDescent="0.25">
      <c r="A6" s="98" t="s">
        <v>143</v>
      </c>
      <c r="B6" s="98" t="s">
        <v>144</v>
      </c>
      <c r="C6" s="98" t="s">
        <v>145</v>
      </c>
      <c r="D6" s="98" t="s">
        <v>146</v>
      </c>
      <c r="E6" s="98"/>
      <c r="F6" s="98"/>
      <c r="G6" s="98" t="s">
        <v>147</v>
      </c>
      <c r="H6" s="98"/>
      <c r="I6" s="98"/>
      <c r="J6" s="98"/>
      <c r="K6" s="98" t="s">
        <v>141</v>
      </c>
      <c r="L6" s="98" t="s">
        <v>124</v>
      </c>
    </row>
    <row r="7" spans="1:12" ht="150" customHeight="1" x14ac:dyDescent="0.25">
      <c r="A7" s="98" t="s">
        <v>148</v>
      </c>
      <c r="B7" s="98" t="s">
        <v>149</v>
      </c>
      <c r="C7" s="98" t="s">
        <v>119</v>
      </c>
      <c r="D7" s="98" t="s">
        <v>150</v>
      </c>
      <c r="E7" s="98" t="s">
        <v>121</v>
      </c>
      <c r="F7" s="98"/>
      <c r="G7" s="98" t="s">
        <v>151</v>
      </c>
      <c r="H7" s="98"/>
      <c r="I7" s="98"/>
      <c r="J7" s="98"/>
      <c r="K7" s="98" t="s">
        <v>141</v>
      </c>
      <c r="L7" s="98" t="s">
        <v>142</v>
      </c>
    </row>
    <row r="8" spans="1:12" ht="270" customHeight="1" x14ac:dyDescent="0.25">
      <c r="A8" s="98" t="s">
        <v>152</v>
      </c>
      <c r="B8" s="98" t="s">
        <v>153</v>
      </c>
      <c r="C8" s="98" t="s">
        <v>119</v>
      </c>
      <c r="D8" s="98" t="s">
        <v>154</v>
      </c>
      <c r="E8" s="98" t="s">
        <v>121</v>
      </c>
      <c r="F8" s="98"/>
      <c r="G8" s="98" t="s">
        <v>155</v>
      </c>
      <c r="H8" s="98"/>
      <c r="I8" s="98"/>
      <c r="J8" s="98"/>
      <c r="K8" s="98" t="s">
        <v>130</v>
      </c>
      <c r="L8" s="98" t="s">
        <v>124</v>
      </c>
    </row>
    <row r="9" spans="1:12" ht="405" customHeight="1" x14ac:dyDescent="0.25">
      <c r="A9" s="98" t="s">
        <v>156</v>
      </c>
      <c r="B9" s="98" t="s">
        <v>157</v>
      </c>
      <c r="C9" s="98" t="s">
        <v>119</v>
      </c>
      <c r="D9" s="98" t="s">
        <v>158</v>
      </c>
      <c r="E9" s="98" t="s">
        <v>121</v>
      </c>
      <c r="F9" s="98"/>
      <c r="G9" s="98" t="s">
        <v>159</v>
      </c>
      <c r="H9" s="98"/>
      <c r="I9" s="98"/>
      <c r="J9" s="98"/>
      <c r="K9" s="98" t="s">
        <v>130</v>
      </c>
      <c r="L9" s="98" t="s">
        <v>142</v>
      </c>
    </row>
    <row r="10" spans="1:12" ht="270" customHeight="1" x14ac:dyDescent="0.25">
      <c r="A10" s="98" t="s">
        <v>160</v>
      </c>
      <c r="B10" s="98" t="s">
        <v>161</v>
      </c>
      <c r="C10" s="98" t="s">
        <v>162</v>
      </c>
      <c r="D10" s="98" t="s">
        <v>163</v>
      </c>
      <c r="E10" s="98" t="s">
        <v>121</v>
      </c>
      <c r="F10" s="98"/>
      <c r="G10" s="98" t="s">
        <v>164</v>
      </c>
      <c r="H10" s="98"/>
      <c r="I10" s="98"/>
      <c r="J10" s="98"/>
      <c r="K10" s="98" t="s">
        <v>130</v>
      </c>
      <c r="L10" s="98" t="s">
        <v>142</v>
      </c>
    </row>
    <row r="11" spans="1:12" ht="409.5" customHeight="1" x14ac:dyDescent="0.25">
      <c r="A11" s="98" t="s">
        <v>165</v>
      </c>
      <c r="B11" s="98" t="s">
        <v>166</v>
      </c>
      <c r="C11" s="98" t="s">
        <v>119</v>
      </c>
      <c r="D11" s="98" t="s">
        <v>167</v>
      </c>
      <c r="E11" s="98" t="s">
        <v>121</v>
      </c>
      <c r="F11" s="98"/>
      <c r="G11" s="98" t="s">
        <v>168</v>
      </c>
      <c r="H11" s="98"/>
      <c r="I11" s="98"/>
      <c r="J11" s="98"/>
      <c r="K11" s="98" t="s">
        <v>130</v>
      </c>
      <c r="L11" s="98" t="s">
        <v>124</v>
      </c>
    </row>
    <row r="12" spans="1:12" ht="409.5" customHeight="1" x14ac:dyDescent="0.25">
      <c r="A12" s="98" t="s">
        <v>169</v>
      </c>
      <c r="B12" s="98" t="s">
        <v>170</v>
      </c>
      <c r="C12" s="98" t="s">
        <v>171</v>
      </c>
      <c r="D12" s="98" t="s">
        <v>172</v>
      </c>
      <c r="E12" s="98" t="s">
        <v>121</v>
      </c>
      <c r="F12" s="98"/>
      <c r="G12" s="98" t="s">
        <v>173</v>
      </c>
      <c r="H12" s="98"/>
      <c r="I12" s="98"/>
      <c r="J12" s="98"/>
      <c r="K12" s="98" t="s">
        <v>130</v>
      </c>
      <c r="L12" s="98" t="s">
        <v>124</v>
      </c>
    </row>
    <row r="13" spans="1:12" ht="255" customHeight="1" x14ac:dyDescent="0.25">
      <c r="A13" s="98" t="s">
        <v>174</v>
      </c>
      <c r="B13" s="98" t="s">
        <v>175</v>
      </c>
      <c r="C13" s="98" t="s">
        <v>145</v>
      </c>
      <c r="D13" s="98" t="s">
        <v>176</v>
      </c>
      <c r="E13" s="98" t="s">
        <v>121</v>
      </c>
      <c r="F13" s="98"/>
      <c r="G13" s="98" t="s">
        <v>177</v>
      </c>
      <c r="H13" s="98"/>
      <c r="I13" s="98"/>
      <c r="J13" s="98"/>
      <c r="K13" s="98" t="s">
        <v>130</v>
      </c>
      <c r="L13" s="98" t="s">
        <v>142</v>
      </c>
    </row>
    <row r="14" spans="1:12" ht="285" customHeight="1" x14ac:dyDescent="0.25">
      <c r="A14" s="98" t="s">
        <v>178</v>
      </c>
      <c r="B14" s="98" t="s">
        <v>179</v>
      </c>
      <c r="C14" s="98" t="s">
        <v>180</v>
      </c>
      <c r="D14" s="98" t="s">
        <v>181</v>
      </c>
      <c r="E14" s="98" t="s">
        <v>121</v>
      </c>
      <c r="F14" s="98"/>
      <c r="G14" s="98" t="s">
        <v>182</v>
      </c>
      <c r="H14" s="98"/>
      <c r="I14" s="98"/>
      <c r="J14" s="98"/>
      <c r="K14" s="98" t="s">
        <v>130</v>
      </c>
      <c r="L14" s="98" t="s">
        <v>142</v>
      </c>
    </row>
    <row r="15" spans="1:12" ht="285" customHeight="1" x14ac:dyDescent="0.25">
      <c r="A15" s="98" t="s">
        <v>183</v>
      </c>
      <c r="B15" s="98" t="s">
        <v>184</v>
      </c>
      <c r="C15" s="98" t="s">
        <v>180</v>
      </c>
      <c r="D15" s="98" t="s">
        <v>185</v>
      </c>
      <c r="E15" s="98" t="s">
        <v>121</v>
      </c>
      <c r="F15" s="98"/>
      <c r="G15" s="98" t="s">
        <v>186</v>
      </c>
      <c r="H15" s="98"/>
      <c r="I15" s="98"/>
      <c r="J15" s="98"/>
      <c r="K15" s="98" t="s">
        <v>130</v>
      </c>
      <c r="L15" s="98" t="s">
        <v>142</v>
      </c>
    </row>
    <row r="16" spans="1:12" ht="409.5" customHeight="1" x14ac:dyDescent="0.25">
      <c r="A16" s="98" t="s">
        <v>187</v>
      </c>
      <c r="B16" s="98" t="s">
        <v>188</v>
      </c>
      <c r="C16" s="98" t="s">
        <v>189</v>
      </c>
      <c r="D16" s="98" t="s">
        <v>190</v>
      </c>
      <c r="E16" s="98" t="s">
        <v>121</v>
      </c>
      <c r="F16" s="98"/>
      <c r="G16" s="98" t="s">
        <v>191</v>
      </c>
      <c r="H16" s="98"/>
      <c r="I16" s="98"/>
      <c r="J16" s="98"/>
      <c r="K16" s="98" t="s">
        <v>130</v>
      </c>
      <c r="L16" s="98" t="s">
        <v>142</v>
      </c>
    </row>
    <row r="17" spans="1:12" ht="315" customHeight="1" x14ac:dyDescent="0.25">
      <c r="A17" s="98" t="s">
        <v>192</v>
      </c>
      <c r="B17" s="98" t="s">
        <v>193</v>
      </c>
      <c r="C17" s="98" t="s">
        <v>119</v>
      </c>
      <c r="D17" s="98" t="s">
        <v>194</v>
      </c>
      <c r="E17" s="98" t="s">
        <v>121</v>
      </c>
      <c r="F17" s="98"/>
      <c r="G17" s="98" t="s">
        <v>195</v>
      </c>
      <c r="H17" s="98"/>
      <c r="I17" s="98"/>
      <c r="J17" s="98"/>
      <c r="K17" s="98" t="s">
        <v>130</v>
      </c>
      <c r="L17" s="98" t="s">
        <v>124</v>
      </c>
    </row>
    <row r="18" spans="1:12" ht="360" customHeight="1" x14ac:dyDescent="0.25">
      <c r="A18" s="98" t="s">
        <v>196</v>
      </c>
      <c r="B18" s="98" t="s">
        <v>197</v>
      </c>
      <c r="C18" s="98" t="s">
        <v>127</v>
      </c>
      <c r="D18" s="98" t="s">
        <v>198</v>
      </c>
      <c r="E18" s="98" t="s">
        <v>121</v>
      </c>
      <c r="F18" s="98"/>
      <c r="G18" s="98" t="s">
        <v>199</v>
      </c>
      <c r="H18" s="98"/>
      <c r="I18" s="98"/>
      <c r="J18" s="98"/>
      <c r="K18" s="98" t="s">
        <v>130</v>
      </c>
      <c r="L18" s="98" t="s">
        <v>136</v>
      </c>
    </row>
    <row r="19" spans="1:12" ht="210" customHeight="1" x14ac:dyDescent="0.25">
      <c r="A19" s="98" t="s">
        <v>200</v>
      </c>
      <c r="B19" s="98" t="s">
        <v>201</v>
      </c>
      <c r="C19" s="98" t="s">
        <v>127</v>
      </c>
      <c r="D19" s="98" t="s">
        <v>202</v>
      </c>
      <c r="E19" s="98" t="s">
        <v>121</v>
      </c>
      <c r="F19" s="98"/>
      <c r="G19" s="98" t="s">
        <v>203</v>
      </c>
      <c r="H19" s="98"/>
      <c r="I19" s="98"/>
      <c r="J19" s="98"/>
      <c r="K19" s="98" t="s">
        <v>141</v>
      </c>
      <c r="L19" s="98" t="s">
        <v>124</v>
      </c>
    </row>
    <row r="20" spans="1:12" ht="240" customHeight="1" x14ac:dyDescent="0.25">
      <c r="A20" s="98" t="s">
        <v>204</v>
      </c>
      <c r="B20" s="98" t="s">
        <v>205</v>
      </c>
      <c r="C20" s="98" t="s">
        <v>206</v>
      </c>
      <c r="D20" s="98" t="s">
        <v>207</v>
      </c>
      <c r="E20" s="98" t="s">
        <v>121</v>
      </c>
      <c r="F20" s="98"/>
      <c r="G20" s="98" t="s">
        <v>208</v>
      </c>
      <c r="H20" s="98"/>
      <c r="I20" s="98"/>
      <c r="J20" s="98"/>
      <c r="K20" s="98" t="s">
        <v>130</v>
      </c>
      <c r="L20" s="98" t="s">
        <v>124</v>
      </c>
    </row>
    <row r="21" spans="1:12" ht="240" customHeight="1" x14ac:dyDescent="0.25">
      <c r="A21" s="98" t="s">
        <v>209</v>
      </c>
      <c r="B21" s="98" t="s">
        <v>210</v>
      </c>
      <c r="C21" s="98" t="s">
        <v>189</v>
      </c>
      <c r="D21" s="98" t="s">
        <v>211</v>
      </c>
      <c r="E21" s="98" t="s">
        <v>121</v>
      </c>
      <c r="F21" s="98"/>
      <c r="G21" s="98" t="s">
        <v>212</v>
      </c>
      <c r="H21" s="98"/>
      <c r="I21" s="98"/>
      <c r="J21" s="98"/>
      <c r="K21" s="98" t="s">
        <v>141</v>
      </c>
      <c r="L21" s="98" t="s">
        <v>142</v>
      </c>
    </row>
    <row r="22" spans="1:12" ht="409.5" customHeight="1" x14ac:dyDescent="0.25">
      <c r="A22" s="98" t="s">
        <v>213</v>
      </c>
      <c r="B22" s="98" t="s">
        <v>214</v>
      </c>
      <c r="C22" s="98" t="s">
        <v>119</v>
      </c>
      <c r="D22" s="98" t="s">
        <v>215</v>
      </c>
      <c r="E22" s="98" t="s">
        <v>121</v>
      </c>
      <c r="F22" s="98"/>
      <c r="G22" s="98" t="s">
        <v>216</v>
      </c>
      <c r="H22" s="98"/>
      <c r="I22" s="98"/>
      <c r="J22" s="98"/>
      <c r="K22" s="98" t="s">
        <v>141</v>
      </c>
      <c r="L22" s="98" t="s">
        <v>142</v>
      </c>
    </row>
    <row r="23" spans="1:12" ht="255" customHeight="1" x14ac:dyDescent="0.25">
      <c r="A23" s="98" t="s">
        <v>217</v>
      </c>
      <c r="B23" s="98" t="s">
        <v>218</v>
      </c>
      <c r="C23" s="98" t="s">
        <v>189</v>
      </c>
      <c r="D23" s="98" t="s">
        <v>219</v>
      </c>
      <c r="E23" s="98" t="s">
        <v>121</v>
      </c>
      <c r="F23" s="98"/>
      <c r="G23" s="98" t="s">
        <v>220</v>
      </c>
      <c r="H23" s="98"/>
      <c r="I23" s="98"/>
      <c r="J23" s="98"/>
      <c r="K23" s="98" t="s">
        <v>141</v>
      </c>
      <c r="L23" s="98" t="s">
        <v>142</v>
      </c>
    </row>
    <row r="24" spans="1:12" ht="409.5" customHeight="1" x14ac:dyDescent="0.25">
      <c r="A24" s="98" t="s">
        <v>221</v>
      </c>
      <c r="B24" s="98" t="s">
        <v>222</v>
      </c>
      <c r="C24" s="98" t="s">
        <v>127</v>
      </c>
      <c r="D24" s="98" t="s">
        <v>223</v>
      </c>
      <c r="E24" s="98" t="s">
        <v>121</v>
      </c>
      <c r="F24" s="98"/>
      <c r="G24" s="98" t="s">
        <v>224</v>
      </c>
      <c r="H24" s="98"/>
      <c r="I24" s="98"/>
      <c r="J24" s="98"/>
      <c r="K24" s="98" t="s">
        <v>130</v>
      </c>
      <c r="L24" s="98" t="s">
        <v>124</v>
      </c>
    </row>
    <row r="25" spans="1:12" ht="240" customHeight="1" x14ac:dyDescent="0.25">
      <c r="A25" s="98" t="s">
        <v>225</v>
      </c>
      <c r="B25" s="98" t="s">
        <v>226</v>
      </c>
      <c r="C25" s="98" t="s">
        <v>119</v>
      </c>
      <c r="D25" s="98" t="s">
        <v>227</v>
      </c>
      <c r="E25" s="98" t="s">
        <v>121</v>
      </c>
      <c r="F25" s="98"/>
      <c r="G25" s="98" t="s">
        <v>228</v>
      </c>
      <c r="H25" s="98"/>
      <c r="I25" s="98"/>
      <c r="J25" s="98"/>
      <c r="K25" s="98" t="s">
        <v>130</v>
      </c>
      <c r="L25" s="98" t="s">
        <v>142</v>
      </c>
    </row>
    <row r="26" spans="1:12" ht="409.5" customHeight="1" x14ac:dyDescent="0.25">
      <c r="A26" s="98" t="s">
        <v>229</v>
      </c>
      <c r="B26" s="98" t="s">
        <v>230</v>
      </c>
      <c r="C26" s="98" t="s">
        <v>231</v>
      </c>
      <c r="D26" s="98" t="s">
        <v>232</v>
      </c>
      <c r="E26" s="98" t="s">
        <v>121</v>
      </c>
      <c r="F26" s="98"/>
      <c r="G26" s="98" t="s">
        <v>233</v>
      </c>
      <c r="H26" s="98"/>
      <c r="I26" s="98"/>
      <c r="J26" s="98"/>
      <c r="K26" s="98" t="s">
        <v>130</v>
      </c>
      <c r="L26" s="98" t="s">
        <v>124</v>
      </c>
    </row>
    <row r="27" spans="1:12" ht="90" customHeight="1" x14ac:dyDescent="0.25">
      <c r="A27" s="98" t="s">
        <v>234</v>
      </c>
      <c r="B27" s="98" t="s">
        <v>235</v>
      </c>
      <c r="C27" s="98" t="s">
        <v>145</v>
      </c>
      <c r="D27" s="98" t="s">
        <v>236</v>
      </c>
      <c r="E27" s="98" t="s">
        <v>121</v>
      </c>
      <c r="F27" s="98"/>
      <c r="G27" s="98" t="s">
        <v>237</v>
      </c>
      <c r="H27" s="98"/>
      <c r="I27" s="98"/>
      <c r="J27" s="98"/>
      <c r="K27" s="98" t="s">
        <v>130</v>
      </c>
      <c r="L27" s="98" t="s">
        <v>142</v>
      </c>
    </row>
    <row r="28" spans="1:12" ht="285" customHeight="1" x14ac:dyDescent="0.25">
      <c r="A28" s="98" t="s">
        <v>238</v>
      </c>
      <c r="B28" s="98" t="s">
        <v>239</v>
      </c>
      <c r="C28" s="98" t="s">
        <v>231</v>
      </c>
      <c r="D28" s="98" t="s">
        <v>240</v>
      </c>
      <c r="E28" s="98" t="s">
        <v>121</v>
      </c>
      <c r="F28" s="98"/>
      <c r="G28" s="98" t="s">
        <v>241</v>
      </c>
      <c r="H28" s="98"/>
      <c r="I28" s="98"/>
      <c r="J28" s="98"/>
      <c r="K28" s="98" t="s">
        <v>130</v>
      </c>
      <c r="L28" s="98" t="s">
        <v>124</v>
      </c>
    </row>
    <row r="29" spans="1:12" ht="270" customHeight="1" x14ac:dyDescent="0.25">
      <c r="A29" s="98" t="s">
        <v>242</v>
      </c>
      <c r="B29" s="98" t="s">
        <v>243</v>
      </c>
      <c r="C29" s="98" t="s">
        <v>244</v>
      </c>
      <c r="D29" s="98" t="s">
        <v>245</v>
      </c>
      <c r="E29" s="98" t="s">
        <v>121</v>
      </c>
      <c r="F29" s="98"/>
      <c r="G29" s="98" t="s">
        <v>246</v>
      </c>
      <c r="H29" s="98"/>
      <c r="I29" s="98"/>
      <c r="J29" s="98"/>
      <c r="K29" s="98" t="s">
        <v>130</v>
      </c>
      <c r="L29" s="98" t="s">
        <v>142</v>
      </c>
    </row>
    <row r="30" spans="1:12" ht="409.5" customHeight="1" x14ac:dyDescent="0.25">
      <c r="A30" s="98" t="s">
        <v>247</v>
      </c>
      <c r="B30" s="98" t="s">
        <v>248</v>
      </c>
      <c r="C30" s="98" t="s">
        <v>249</v>
      </c>
      <c r="D30" s="98" t="s">
        <v>250</v>
      </c>
      <c r="E30" s="98" t="s">
        <v>121</v>
      </c>
      <c r="F30" s="98"/>
      <c r="G30" s="98" t="s">
        <v>251</v>
      </c>
      <c r="H30" s="98"/>
      <c r="I30" s="98"/>
      <c r="J30" s="98"/>
      <c r="K30" s="98" t="s">
        <v>130</v>
      </c>
      <c r="L30" s="98" t="s">
        <v>142</v>
      </c>
    </row>
    <row r="31" spans="1:12" ht="300" customHeight="1" x14ac:dyDescent="0.25">
      <c r="A31" s="98" t="s">
        <v>252</v>
      </c>
      <c r="B31" s="98" t="s">
        <v>253</v>
      </c>
      <c r="C31" s="98" t="s">
        <v>254</v>
      </c>
      <c r="D31" s="98" t="s">
        <v>255</v>
      </c>
      <c r="E31" s="98" t="s">
        <v>121</v>
      </c>
      <c r="F31" s="98"/>
      <c r="G31" s="98" t="s">
        <v>256</v>
      </c>
      <c r="H31" s="98"/>
      <c r="I31" s="98"/>
      <c r="J31" s="98"/>
      <c r="K31" s="98" t="s">
        <v>130</v>
      </c>
      <c r="L31" s="98" t="s">
        <v>124</v>
      </c>
    </row>
    <row r="32" spans="1:12" ht="409.5" customHeight="1" x14ac:dyDescent="0.25">
      <c r="A32" s="98" t="s">
        <v>257</v>
      </c>
      <c r="B32" s="98" t="s">
        <v>258</v>
      </c>
      <c r="C32" s="98" t="s">
        <v>231</v>
      </c>
      <c r="D32" s="98" t="s">
        <v>259</v>
      </c>
      <c r="E32" s="98" t="s">
        <v>121</v>
      </c>
      <c r="F32" s="98"/>
      <c r="G32" s="98" t="s">
        <v>260</v>
      </c>
      <c r="H32" s="98"/>
      <c r="I32" s="98"/>
      <c r="J32" s="98"/>
      <c r="K32" s="98" t="s">
        <v>130</v>
      </c>
      <c r="L32" s="98" t="s">
        <v>142</v>
      </c>
    </row>
    <row r="33" spans="1:12" ht="225" customHeight="1" x14ac:dyDescent="0.25">
      <c r="A33" s="98" t="s">
        <v>261</v>
      </c>
      <c r="B33" s="98" t="s">
        <v>262</v>
      </c>
      <c r="C33" s="98" t="s">
        <v>145</v>
      </c>
      <c r="D33" s="98" t="s">
        <v>263</v>
      </c>
      <c r="E33" s="98" t="s">
        <v>121</v>
      </c>
      <c r="F33" s="98"/>
      <c r="G33" s="98" t="s">
        <v>264</v>
      </c>
      <c r="H33" s="98"/>
      <c r="I33" s="98"/>
      <c r="J33" s="98"/>
      <c r="K33" s="98" t="s">
        <v>130</v>
      </c>
      <c r="L33" s="98" t="s">
        <v>142</v>
      </c>
    </row>
    <row r="34" spans="1:12" ht="375" customHeight="1" x14ac:dyDescent="0.25">
      <c r="A34" s="98" t="s">
        <v>265</v>
      </c>
      <c r="B34" s="98" t="s">
        <v>266</v>
      </c>
      <c r="C34" s="98" t="s">
        <v>267</v>
      </c>
      <c r="D34" s="98" t="s">
        <v>268</v>
      </c>
      <c r="E34" s="98" t="s">
        <v>121</v>
      </c>
      <c r="F34" s="98"/>
      <c r="G34" s="98" t="s">
        <v>269</v>
      </c>
      <c r="H34" s="98"/>
      <c r="I34" s="98"/>
      <c r="J34" s="98"/>
      <c r="K34" s="98" t="s">
        <v>130</v>
      </c>
      <c r="L34" s="98" t="s">
        <v>124</v>
      </c>
    </row>
    <row r="35" spans="1:12" ht="225" customHeight="1" x14ac:dyDescent="0.25">
      <c r="A35" s="98" t="s">
        <v>270</v>
      </c>
      <c r="B35" s="98" t="s">
        <v>271</v>
      </c>
      <c r="C35" s="98" t="s">
        <v>272</v>
      </c>
      <c r="D35" s="98" t="s">
        <v>273</v>
      </c>
      <c r="E35" s="98" t="s">
        <v>121</v>
      </c>
      <c r="F35" s="98"/>
      <c r="G35" s="98" t="s">
        <v>274</v>
      </c>
      <c r="H35" s="98"/>
      <c r="I35" s="98"/>
      <c r="J35" s="98"/>
      <c r="K35" s="98" t="s">
        <v>141</v>
      </c>
      <c r="L35" s="98" t="s">
        <v>136</v>
      </c>
    </row>
    <row r="36" spans="1:12" ht="360" customHeight="1" x14ac:dyDescent="0.25">
      <c r="A36" s="98" t="s">
        <v>275</v>
      </c>
      <c r="B36" s="98" t="s">
        <v>276</v>
      </c>
      <c r="C36" s="98" t="s">
        <v>127</v>
      </c>
      <c r="D36" s="98" t="s">
        <v>277</v>
      </c>
      <c r="E36" s="98" t="s">
        <v>121</v>
      </c>
      <c r="F36" s="98"/>
      <c r="G36" s="98" t="s">
        <v>278</v>
      </c>
      <c r="H36" s="98"/>
      <c r="I36" s="98"/>
      <c r="J36" s="98"/>
      <c r="K36" s="98" t="s">
        <v>130</v>
      </c>
      <c r="L36" s="98" t="s">
        <v>142</v>
      </c>
    </row>
    <row r="37" spans="1:12" ht="90" customHeight="1" x14ac:dyDescent="0.25">
      <c r="A37" s="98" t="s">
        <v>279</v>
      </c>
      <c r="B37" s="98" t="s">
        <v>280</v>
      </c>
      <c r="C37" s="98" t="s">
        <v>244</v>
      </c>
      <c r="D37" s="98" t="s">
        <v>281</v>
      </c>
      <c r="E37" s="98" t="s">
        <v>121</v>
      </c>
      <c r="F37" s="98"/>
      <c r="G37" s="98" t="s">
        <v>282</v>
      </c>
      <c r="H37" s="98"/>
      <c r="I37" s="98"/>
      <c r="J37" s="98"/>
      <c r="K37" s="98" t="s">
        <v>123</v>
      </c>
      <c r="L37" s="98" t="s">
        <v>124</v>
      </c>
    </row>
    <row r="38" spans="1:12" ht="409.5" customHeight="1" x14ac:dyDescent="0.25">
      <c r="A38" s="98" t="s">
        <v>283</v>
      </c>
      <c r="B38" s="98" t="s">
        <v>284</v>
      </c>
      <c r="C38" s="98" t="s">
        <v>231</v>
      </c>
      <c r="D38" s="98" t="s">
        <v>285</v>
      </c>
      <c r="E38" s="98" t="s">
        <v>121</v>
      </c>
      <c r="F38" s="98"/>
      <c r="G38" s="98" t="s">
        <v>286</v>
      </c>
      <c r="H38" s="98"/>
      <c r="I38" s="98"/>
      <c r="J38" s="98"/>
      <c r="K38" s="98" t="s">
        <v>130</v>
      </c>
      <c r="L38" s="98" t="s">
        <v>124</v>
      </c>
    </row>
    <row r="39" spans="1:12" ht="195" customHeight="1" x14ac:dyDescent="0.25">
      <c r="A39" s="98" t="s">
        <v>287</v>
      </c>
      <c r="B39" s="98" t="s">
        <v>288</v>
      </c>
      <c r="C39" s="98" t="s">
        <v>206</v>
      </c>
      <c r="D39" s="98" t="s">
        <v>289</v>
      </c>
      <c r="E39" s="98" t="s">
        <v>121</v>
      </c>
      <c r="F39" s="98"/>
      <c r="G39" s="98" t="s">
        <v>290</v>
      </c>
      <c r="H39" s="98"/>
      <c r="I39" s="98"/>
      <c r="J39" s="98"/>
      <c r="K39" s="98" t="s">
        <v>130</v>
      </c>
      <c r="L39" s="98" t="s">
        <v>142</v>
      </c>
    </row>
    <row r="40" spans="1:12" ht="210" customHeight="1" x14ac:dyDescent="0.25">
      <c r="A40" s="98" t="s">
        <v>291</v>
      </c>
      <c r="B40" s="98" t="s">
        <v>292</v>
      </c>
      <c r="C40" s="98" t="s">
        <v>189</v>
      </c>
      <c r="D40" s="98" t="s">
        <v>293</v>
      </c>
      <c r="E40" s="98" t="s">
        <v>121</v>
      </c>
      <c r="F40" s="98"/>
      <c r="G40" s="98" t="s">
        <v>294</v>
      </c>
      <c r="H40" s="98"/>
      <c r="I40" s="98"/>
      <c r="J40" s="98"/>
      <c r="K40" s="98" t="s">
        <v>141</v>
      </c>
      <c r="L40" s="98" t="s">
        <v>124</v>
      </c>
    </row>
    <row r="41" spans="1:12" ht="255" customHeight="1" x14ac:dyDescent="0.25">
      <c r="A41" s="98" t="s">
        <v>295</v>
      </c>
      <c r="B41" s="98" t="s">
        <v>296</v>
      </c>
      <c r="C41" s="98" t="s">
        <v>189</v>
      </c>
      <c r="D41" s="98" t="s">
        <v>297</v>
      </c>
      <c r="E41" s="98" t="s">
        <v>121</v>
      </c>
      <c r="F41" s="98"/>
      <c r="G41" s="98" t="s">
        <v>298</v>
      </c>
      <c r="H41" s="98"/>
      <c r="I41" s="98"/>
      <c r="J41" s="98"/>
      <c r="K41" s="98" t="s">
        <v>141</v>
      </c>
      <c r="L41" s="98" t="s">
        <v>124</v>
      </c>
    </row>
    <row r="42" spans="1:12" ht="409.5" customHeight="1" x14ac:dyDescent="0.25">
      <c r="A42" s="98" t="s">
        <v>299</v>
      </c>
      <c r="B42" s="98" t="s">
        <v>300</v>
      </c>
      <c r="C42" s="98" t="s">
        <v>189</v>
      </c>
      <c r="D42" s="98" t="s">
        <v>301</v>
      </c>
      <c r="E42" s="98" t="s">
        <v>121</v>
      </c>
      <c r="F42" s="98"/>
      <c r="G42" s="98" t="s">
        <v>302</v>
      </c>
      <c r="H42" s="98"/>
      <c r="I42" s="98"/>
      <c r="J42" s="98"/>
      <c r="K42" s="98" t="s">
        <v>130</v>
      </c>
      <c r="L42" s="98" t="s">
        <v>124</v>
      </c>
    </row>
    <row r="43" spans="1:12" ht="315" customHeight="1" x14ac:dyDescent="0.25">
      <c r="A43" s="98" t="s">
        <v>303</v>
      </c>
      <c r="B43" s="98" t="s">
        <v>304</v>
      </c>
      <c r="C43" s="98" t="s">
        <v>189</v>
      </c>
      <c r="D43" s="98" t="s">
        <v>305</v>
      </c>
      <c r="E43" s="98" t="s">
        <v>121</v>
      </c>
      <c r="F43" s="98"/>
      <c r="G43" s="98" t="s">
        <v>306</v>
      </c>
      <c r="H43" s="98"/>
      <c r="I43" s="98"/>
      <c r="J43" s="98"/>
      <c r="K43" s="98" t="s">
        <v>130</v>
      </c>
      <c r="L43" s="98" t="s">
        <v>124</v>
      </c>
    </row>
    <row r="44" spans="1:12" ht="330" customHeight="1" x14ac:dyDescent="0.25">
      <c r="A44" s="98" t="s">
        <v>307</v>
      </c>
      <c r="B44" s="98" t="s">
        <v>308</v>
      </c>
      <c r="C44" s="98" t="s">
        <v>189</v>
      </c>
      <c r="D44" s="98" t="s">
        <v>309</v>
      </c>
      <c r="E44" s="98" t="s">
        <v>121</v>
      </c>
      <c r="F44" s="98"/>
      <c r="G44" s="98" t="s">
        <v>310</v>
      </c>
      <c r="H44" s="98"/>
      <c r="I44" s="98"/>
      <c r="J44" s="98"/>
      <c r="K44" s="98" t="s">
        <v>130</v>
      </c>
      <c r="L44" s="98" t="s">
        <v>124</v>
      </c>
    </row>
    <row r="45" spans="1:12" ht="150" customHeight="1" x14ac:dyDescent="0.25">
      <c r="A45" s="98" t="s">
        <v>311</v>
      </c>
      <c r="B45" s="98" t="s">
        <v>312</v>
      </c>
      <c r="C45" s="98" t="s">
        <v>189</v>
      </c>
      <c r="D45" s="98" t="s">
        <v>313</v>
      </c>
      <c r="E45" s="98" t="s">
        <v>121</v>
      </c>
      <c r="F45" s="98"/>
      <c r="G45" s="98" t="s">
        <v>314</v>
      </c>
      <c r="H45" s="98"/>
      <c r="I45" s="98"/>
      <c r="J45" s="98"/>
      <c r="K45" s="98" t="s">
        <v>141</v>
      </c>
      <c r="L45" s="98" t="s">
        <v>124</v>
      </c>
    </row>
    <row r="46" spans="1:12" ht="315" customHeight="1" x14ac:dyDescent="0.25">
      <c r="A46" s="98" t="s">
        <v>315</v>
      </c>
      <c r="B46" s="98" t="s">
        <v>316</v>
      </c>
      <c r="C46" s="98" t="s">
        <v>119</v>
      </c>
      <c r="D46" s="98" t="s">
        <v>317</v>
      </c>
      <c r="E46" s="98" t="s">
        <v>121</v>
      </c>
      <c r="F46" s="98"/>
      <c r="G46" s="98" t="s">
        <v>318</v>
      </c>
      <c r="H46" s="98"/>
      <c r="I46" s="98"/>
      <c r="J46" s="98"/>
      <c r="K46" s="98" t="s">
        <v>141</v>
      </c>
      <c r="L46" s="98" t="s">
        <v>142</v>
      </c>
    </row>
    <row r="47" spans="1:12" ht="409.5" customHeight="1" x14ac:dyDescent="0.25">
      <c r="A47" s="98" t="s">
        <v>319</v>
      </c>
      <c r="B47" s="98" t="s">
        <v>320</v>
      </c>
      <c r="C47" s="98" t="s">
        <v>189</v>
      </c>
      <c r="D47" s="98" t="s">
        <v>321</v>
      </c>
      <c r="E47" s="98" t="s">
        <v>121</v>
      </c>
      <c r="F47" s="98"/>
      <c r="G47" s="98" t="s">
        <v>322</v>
      </c>
      <c r="H47" s="98"/>
      <c r="I47" s="98"/>
      <c r="J47" s="98"/>
      <c r="K47" s="98" t="s">
        <v>130</v>
      </c>
      <c r="L47" s="98" t="s">
        <v>124</v>
      </c>
    </row>
    <row r="48" spans="1:12" ht="225" customHeight="1" x14ac:dyDescent="0.25">
      <c r="A48" s="98" t="s">
        <v>323</v>
      </c>
      <c r="B48" s="98" t="s">
        <v>324</v>
      </c>
      <c r="C48" s="98" t="s">
        <v>189</v>
      </c>
      <c r="D48" s="98" t="s">
        <v>325</v>
      </c>
      <c r="E48" s="98" t="s">
        <v>121</v>
      </c>
      <c r="F48" s="98"/>
      <c r="G48" s="98" t="s">
        <v>326</v>
      </c>
      <c r="H48" s="98"/>
      <c r="I48" s="98"/>
      <c r="J48" s="98"/>
      <c r="K48" s="98" t="s">
        <v>141</v>
      </c>
      <c r="L48" s="98" t="s">
        <v>124</v>
      </c>
    </row>
    <row r="49" spans="1:12" ht="270" customHeight="1" x14ac:dyDescent="0.25">
      <c r="A49" s="98" t="s">
        <v>327</v>
      </c>
      <c r="B49" s="98" t="s">
        <v>328</v>
      </c>
      <c r="C49" s="98" t="s">
        <v>244</v>
      </c>
      <c r="D49" s="98" t="s">
        <v>329</v>
      </c>
      <c r="E49" s="98" t="s">
        <v>121</v>
      </c>
      <c r="F49" s="98"/>
      <c r="G49" s="98" t="s">
        <v>330</v>
      </c>
      <c r="H49" s="98"/>
      <c r="I49" s="98"/>
      <c r="J49" s="98"/>
      <c r="K49" s="98" t="s">
        <v>130</v>
      </c>
      <c r="L49" s="98" t="s">
        <v>142</v>
      </c>
    </row>
    <row r="50" spans="1:12" ht="409.5" customHeight="1" x14ac:dyDescent="0.25">
      <c r="A50" s="98" t="s">
        <v>331</v>
      </c>
      <c r="B50" s="98" t="s">
        <v>332</v>
      </c>
      <c r="C50" s="98" t="s">
        <v>119</v>
      </c>
      <c r="D50" s="98" t="s">
        <v>333</v>
      </c>
      <c r="E50" s="98" t="s">
        <v>121</v>
      </c>
      <c r="F50" s="98"/>
      <c r="G50" s="98" t="s">
        <v>334</v>
      </c>
      <c r="H50" s="98"/>
      <c r="I50" s="98"/>
      <c r="J50" s="98"/>
      <c r="K50" s="98" t="s">
        <v>130</v>
      </c>
      <c r="L50" s="98" t="s">
        <v>136</v>
      </c>
    </row>
    <row r="51" spans="1:12" ht="390" customHeight="1" x14ac:dyDescent="0.25">
      <c r="A51" s="98" t="s">
        <v>335</v>
      </c>
      <c r="B51" s="98" t="s">
        <v>336</v>
      </c>
      <c r="C51" s="98" t="s">
        <v>145</v>
      </c>
      <c r="D51" s="98" t="s">
        <v>337</v>
      </c>
      <c r="E51" s="98" t="s">
        <v>121</v>
      </c>
      <c r="F51" s="98"/>
      <c r="G51" s="98" t="s">
        <v>338</v>
      </c>
      <c r="H51" s="98"/>
      <c r="I51" s="98"/>
      <c r="J51" s="98"/>
      <c r="K51" s="98" t="s">
        <v>130</v>
      </c>
      <c r="L51" s="98" t="s">
        <v>136</v>
      </c>
    </row>
    <row r="52" spans="1:12" ht="345" customHeight="1" x14ac:dyDescent="0.25">
      <c r="A52" s="98" t="s">
        <v>339</v>
      </c>
      <c r="B52" s="98" t="s">
        <v>340</v>
      </c>
      <c r="C52" s="98" t="s">
        <v>162</v>
      </c>
      <c r="D52" s="98" t="s">
        <v>341</v>
      </c>
      <c r="E52" s="98" t="s">
        <v>121</v>
      </c>
      <c r="F52" s="98"/>
      <c r="G52" s="98" t="s">
        <v>342</v>
      </c>
      <c r="H52" s="98"/>
      <c r="I52" s="98"/>
      <c r="J52" s="98"/>
      <c r="K52" s="98" t="s">
        <v>130</v>
      </c>
      <c r="L52" s="98" t="s">
        <v>343</v>
      </c>
    </row>
    <row r="53" spans="1:12" ht="300" customHeight="1" x14ac:dyDescent="0.25">
      <c r="A53" s="98" t="s">
        <v>344</v>
      </c>
      <c r="B53" s="98" t="s">
        <v>345</v>
      </c>
      <c r="C53" s="98" t="s">
        <v>346</v>
      </c>
      <c r="D53" s="98" t="s">
        <v>347</v>
      </c>
      <c r="E53" s="98" t="s">
        <v>121</v>
      </c>
      <c r="F53" s="98"/>
      <c r="G53" s="98" t="s">
        <v>348</v>
      </c>
      <c r="H53" s="98"/>
      <c r="I53" s="98"/>
      <c r="J53" s="98"/>
      <c r="K53" s="98" t="s">
        <v>141</v>
      </c>
      <c r="L53" s="98" t="s">
        <v>136</v>
      </c>
    </row>
    <row r="54" spans="1:12" ht="409.5" customHeight="1" x14ac:dyDescent="0.25">
      <c r="A54" s="98" t="s">
        <v>349</v>
      </c>
      <c r="B54" s="98" t="s">
        <v>350</v>
      </c>
      <c r="C54" s="98" t="s">
        <v>351</v>
      </c>
      <c r="D54" s="98" t="s">
        <v>352</v>
      </c>
      <c r="E54" s="98" t="s">
        <v>121</v>
      </c>
      <c r="F54" s="98"/>
      <c r="G54" s="98" t="s">
        <v>353</v>
      </c>
      <c r="H54" s="98"/>
      <c r="I54" s="98"/>
      <c r="J54" s="98"/>
      <c r="K54" s="98" t="s">
        <v>130</v>
      </c>
      <c r="L54" s="98" t="s">
        <v>142</v>
      </c>
    </row>
    <row r="55" spans="1:12" ht="105" customHeight="1" x14ac:dyDescent="0.25">
      <c r="A55" s="98" t="s">
        <v>354</v>
      </c>
      <c r="B55" s="98" t="s">
        <v>355</v>
      </c>
      <c r="C55" s="98" t="s">
        <v>127</v>
      </c>
      <c r="D55" s="98" t="s">
        <v>356</v>
      </c>
      <c r="E55" s="98" t="s">
        <v>121</v>
      </c>
      <c r="F55" s="98"/>
      <c r="G55" s="98" t="s">
        <v>357</v>
      </c>
      <c r="H55" s="98"/>
      <c r="I55" s="98"/>
      <c r="J55" s="98"/>
      <c r="K55" s="98" t="s">
        <v>123</v>
      </c>
      <c r="L55" s="98" t="s">
        <v>124</v>
      </c>
    </row>
    <row r="56" spans="1:12" ht="255" customHeight="1" x14ac:dyDescent="0.25">
      <c r="A56" s="98" t="s">
        <v>358</v>
      </c>
      <c r="B56" s="98" t="s">
        <v>359</v>
      </c>
      <c r="C56" s="98" t="s">
        <v>145</v>
      </c>
      <c r="D56" s="98" t="s">
        <v>360</v>
      </c>
      <c r="E56" s="98" t="s">
        <v>121</v>
      </c>
      <c r="F56" s="98"/>
      <c r="G56" s="98" t="s">
        <v>361</v>
      </c>
      <c r="H56" s="98"/>
      <c r="I56" s="98"/>
      <c r="J56" s="98"/>
      <c r="K56" s="98" t="s">
        <v>130</v>
      </c>
      <c r="L56" s="98" t="s">
        <v>124</v>
      </c>
    </row>
    <row r="57" spans="1:12" ht="195" customHeight="1" x14ac:dyDescent="0.25">
      <c r="A57" s="98" t="s">
        <v>362</v>
      </c>
      <c r="B57" s="98" t="s">
        <v>363</v>
      </c>
      <c r="C57" s="98" t="s">
        <v>364</v>
      </c>
      <c r="D57" s="98" t="s">
        <v>365</v>
      </c>
      <c r="E57" s="98" t="s">
        <v>121</v>
      </c>
      <c r="F57" s="98"/>
      <c r="G57" s="98" t="s">
        <v>366</v>
      </c>
      <c r="H57" s="98"/>
      <c r="I57" s="98"/>
      <c r="J57" s="98"/>
      <c r="K57" s="98" t="s">
        <v>141</v>
      </c>
      <c r="L57" s="98" t="s">
        <v>136</v>
      </c>
    </row>
    <row r="58" spans="1:12" ht="300" customHeight="1" x14ac:dyDescent="0.25">
      <c r="A58" s="98" t="s">
        <v>367</v>
      </c>
      <c r="B58" s="98" t="s">
        <v>368</v>
      </c>
      <c r="C58" s="98" t="s">
        <v>364</v>
      </c>
      <c r="D58" s="98" t="s">
        <v>369</v>
      </c>
      <c r="E58" s="98" t="s">
        <v>121</v>
      </c>
      <c r="F58" s="98"/>
      <c r="G58" s="98" t="s">
        <v>370</v>
      </c>
      <c r="H58" s="98"/>
      <c r="I58" s="98"/>
      <c r="J58" s="98"/>
      <c r="K58" s="98" t="s">
        <v>130</v>
      </c>
      <c r="L58" s="98" t="s">
        <v>124</v>
      </c>
    </row>
    <row r="59" spans="1:12" ht="225" customHeight="1" x14ac:dyDescent="0.25">
      <c r="A59" s="98" t="s">
        <v>371</v>
      </c>
      <c r="B59" s="98" t="s">
        <v>372</v>
      </c>
      <c r="C59" s="98" t="s">
        <v>127</v>
      </c>
      <c r="D59" s="98" t="s">
        <v>373</v>
      </c>
      <c r="E59" s="98" t="s">
        <v>121</v>
      </c>
      <c r="F59" s="98"/>
      <c r="G59" s="98" t="s">
        <v>374</v>
      </c>
      <c r="H59" s="98"/>
      <c r="I59" s="98"/>
      <c r="J59" s="98"/>
      <c r="K59" s="98" t="s">
        <v>130</v>
      </c>
      <c r="L59" s="98" t="s">
        <v>142</v>
      </c>
    </row>
    <row r="60" spans="1:12" ht="409.5" customHeight="1" x14ac:dyDescent="0.25">
      <c r="A60" s="98" t="s">
        <v>375</v>
      </c>
      <c r="B60" s="98" t="s">
        <v>376</v>
      </c>
      <c r="C60" s="98" t="s">
        <v>206</v>
      </c>
      <c r="D60" s="98" t="s">
        <v>377</v>
      </c>
      <c r="E60" s="98" t="s">
        <v>121</v>
      </c>
      <c r="F60" s="98"/>
      <c r="G60" s="98" t="s">
        <v>378</v>
      </c>
      <c r="H60" s="98"/>
      <c r="I60" s="98"/>
      <c r="J60" s="98"/>
      <c r="K60" s="98" t="s">
        <v>130</v>
      </c>
      <c r="L60" s="98" t="s">
        <v>142</v>
      </c>
    </row>
    <row r="61" spans="1:12" ht="135" customHeight="1" x14ac:dyDescent="0.25">
      <c r="A61" s="98" t="s">
        <v>379</v>
      </c>
      <c r="B61" s="98" t="s">
        <v>380</v>
      </c>
      <c r="C61" s="98" t="s">
        <v>127</v>
      </c>
      <c r="D61" s="98" t="s">
        <v>381</v>
      </c>
      <c r="E61" s="98" t="s">
        <v>121</v>
      </c>
      <c r="F61" s="98"/>
      <c r="G61" s="98" t="s">
        <v>382</v>
      </c>
      <c r="H61" s="98"/>
      <c r="I61" s="98"/>
      <c r="J61" s="98"/>
      <c r="K61" s="98" t="s">
        <v>123</v>
      </c>
      <c r="L61" s="98" t="s">
        <v>124</v>
      </c>
    </row>
    <row r="62" spans="1:12" ht="330" customHeight="1" x14ac:dyDescent="0.25">
      <c r="A62" s="98" t="s">
        <v>383</v>
      </c>
      <c r="B62" s="98" t="s">
        <v>384</v>
      </c>
      <c r="C62" s="98" t="s">
        <v>346</v>
      </c>
      <c r="D62" s="98" t="s">
        <v>385</v>
      </c>
      <c r="E62" s="98" t="s">
        <v>121</v>
      </c>
      <c r="F62" s="98"/>
      <c r="G62" s="98" t="s">
        <v>386</v>
      </c>
      <c r="H62" s="98"/>
      <c r="I62" s="98"/>
      <c r="J62" s="98"/>
      <c r="K62" s="98" t="s">
        <v>141</v>
      </c>
      <c r="L62" s="98" t="s">
        <v>124</v>
      </c>
    </row>
    <row r="63" spans="1:12" ht="409.5" customHeight="1" x14ac:dyDescent="0.25">
      <c r="A63" s="98" t="s">
        <v>387</v>
      </c>
      <c r="B63" s="98" t="s">
        <v>388</v>
      </c>
      <c r="C63" s="98" t="s">
        <v>254</v>
      </c>
      <c r="D63" s="98" t="s">
        <v>389</v>
      </c>
      <c r="E63" s="98" t="s">
        <v>121</v>
      </c>
      <c r="F63" s="98"/>
      <c r="G63" s="98" t="s">
        <v>390</v>
      </c>
      <c r="H63" s="98"/>
      <c r="I63" s="98"/>
      <c r="J63" s="98"/>
      <c r="K63" s="98" t="s">
        <v>130</v>
      </c>
      <c r="L63" s="98" t="s">
        <v>142</v>
      </c>
    </row>
    <row r="64" spans="1:12" ht="120" customHeight="1" x14ac:dyDescent="0.25">
      <c r="A64" s="98" t="s">
        <v>391</v>
      </c>
      <c r="B64" s="98" t="s">
        <v>392</v>
      </c>
      <c r="C64" s="98" t="s">
        <v>364</v>
      </c>
      <c r="D64" s="98" t="s">
        <v>393</v>
      </c>
      <c r="E64" s="98" t="s">
        <v>121</v>
      </c>
      <c r="F64" s="98"/>
      <c r="G64" s="98" t="s">
        <v>394</v>
      </c>
      <c r="H64" s="98"/>
      <c r="I64" s="98"/>
      <c r="J64" s="98"/>
      <c r="K64" s="98" t="s">
        <v>130</v>
      </c>
      <c r="L64" s="98" t="s">
        <v>142</v>
      </c>
    </row>
    <row r="65" spans="1:12" ht="315" customHeight="1" x14ac:dyDescent="0.25">
      <c r="A65" s="98" t="s">
        <v>395</v>
      </c>
      <c r="B65" s="98" t="s">
        <v>396</v>
      </c>
      <c r="C65" s="98" t="s">
        <v>364</v>
      </c>
      <c r="D65" s="98" t="s">
        <v>397</v>
      </c>
      <c r="E65" s="98" t="s">
        <v>121</v>
      </c>
      <c r="F65" s="98"/>
      <c r="G65" s="98" t="s">
        <v>398</v>
      </c>
      <c r="H65" s="98"/>
      <c r="I65" s="98"/>
      <c r="J65" s="98"/>
      <c r="K65" s="98" t="s">
        <v>130</v>
      </c>
      <c r="L65" s="98" t="s">
        <v>142</v>
      </c>
    </row>
    <row r="66" spans="1:12" ht="409.5" customHeight="1" x14ac:dyDescent="0.25">
      <c r="A66" s="98" t="s">
        <v>399</v>
      </c>
      <c r="B66" s="98" t="s">
        <v>400</v>
      </c>
      <c r="C66" s="98" t="s">
        <v>231</v>
      </c>
      <c r="D66" s="98" t="s">
        <v>401</v>
      </c>
      <c r="E66" s="98" t="s">
        <v>121</v>
      </c>
      <c r="F66" s="98"/>
      <c r="G66" s="98" t="s">
        <v>402</v>
      </c>
      <c r="H66" s="98"/>
      <c r="I66" s="98"/>
      <c r="J66" s="98"/>
      <c r="K66" s="98" t="s">
        <v>141</v>
      </c>
      <c r="L66" s="98" t="s">
        <v>124</v>
      </c>
    </row>
    <row r="67" spans="1:12" ht="255" customHeight="1" x14ac:dyDescent="0.25">
      <c r="A67" s="98" t="s">
        <v>403</v>
      </c>
      <c r="B67" s="98" t="s">
        <v>404</v>
      </c>
      <c r="C67" s="98" t="s">
        <v>231</v>
      </c>
      <c r="D67" s="98" t="s">
        <v>405</v>
      </c>
      <c r="E67" s="98" t="s">
        <v>121</v>
      </c>
      <c r="F67" s="98"/>
      <c r="G67" s="98" t="s">
        <v>406</v>
      </c>
      <c r="H67" s="98"/>
      <c r="I67" s="98"/>
      <c r="J67" s="98"/>
      <c r="K67" s="98" t="s">
        <v>130</v>
      </c>
      <c r="L67" s="98" t="s">
        <v>136</v>
      </c>
    </row>
    <row r="68" spans="1:12" ht="345" customHeight="1" x14ac:dyDescent="0.25">
      <c r="A68" s="98" t="s">
        <v>407</v>
      </c>
      <c r="B68" s="98" t="s">
        <v>408</v>
      </c>
      <c r="C68" s="98" t="s">
        <v>409</v>
      </c>
      <c r="D68" s="98" t="s">
        <v>410</v>
      </c>
      <c r="E68" s="98" t="s">
        <v>121</v>
      </c>
      <c r="F68" s="98"/>
      <c r="G68" s="98" t="s">
        <v>411</v>
      </c>
      <c r="H68" s="98"/>
      <c r="I68" s="98"/>
      <c r="J68" s="98"/>
      <c r="K68" s="98" t="s">
        <v>130</v>
      </c>
      <c r="L68" s="98" t="s">
        <v>142</v>
      </c>
    </row>
    <row r="69" spans="1:12" ht="195" customHeight="1" x14ac:dyDescent="0.25">
      <c r="A69" s="98" t="s">
        <v>412</v>
      </c>
      <c r="B69" s="98" t="s">
        <v>413</v>
      </c>
      <c r="C69" s="98" t="s">
        <v>127</v>
      </c>
      <c r="D69" s="98" t="s">
        <v>414</v>
      </c>
      <c r="E69" s="98" t="s">
        <v>121</v>
      </c>
      <c r="F69" s="98"/>
      <c r="G69" s="98" t="s">
        <v>415</v>
      </c>
      <c r="H69" s="98"/>
      <c r="I69" s="98"/>
      <c r="J69" s="98"/>
      <c r="K69" s="98" t="s">
        <v>123</v>
      </c>
      <c r="L69" s="98" t="s">
        <v>124</v>
      </c>
    </row>
    <row r="70" spans="1:12" ht="360" customHeight="1" x14ac:dyDescent="0.25">
      <c r="A70" s="98" t="s">
        <v>416</v>
      </c>
      <c r="B70" s="98" t="s">
        <v>417</v>
      </c>
      <c r="C70" s="98" t="s">
        <v>145</v>
      </c>
      <c r="D70" s="98" t="s">
        <v>418</v>
      </c>
      <c r="E70" s="98" t="s">
        <v>121</v>
      </c>
      <c r="F70" s="98"/>
      <c r="G70" s="98" t="s">
        <v>419</v>
      </c>
      <c r="H70" s="98"/>
      <c r="I70" s="98"/>
      <c r="J70" s="98"/>
      <c r="K70" s="98" t="s">
        <v>130</v>
      </c>
      <c r="L70" s="98" t="s">
        <v>124</v>
      </c>
    </row>
    <row r="71" spans="1:12" ht="150" customHeight="1" x14ac:dyDescent="0.25">
      <c r="A71" s="98" t="s">
        <v>420</v>
      </c>
      <c r="B71" s="98" t="s">
        <v>421</v>
      </c>
      <c r="C71" s="98" t="s">
        <v>119</v>
      </c>
      <c r="D71" s="98" t="s">
        <v>422</v>
      </c>
      <c r="E71" s="98" t="s">
        <v>121</v>
      </c>
      <c r="F71" s="98"/>
      <c r="G71" s="98" t="s">
        <v>423</v>
      </c>
      <c r="H71" s="98"/>
      <c r="I71" s="98"/>
      <c r="J71" s="98"/>
      <c r="K71" s="98" t="s">
        <v>141</v>
      </c>
      <c r="L71" s="98" t="s">
        <v>142</v>
      </c>
    </row>
    <row r="72" spans="1:12" ht="315" customHeight="1" x14ac:dyDescent="0.25">
      <c r="A72" s="98" t="s">
        <v>424</v>
      </c>
      <c r="B72" s="98" t="s">
        <v>425</v>
      </c>
      <c r="C72" s="98" t="s">
        <v>231</v>
      </c>
      <c r="D72" s="98" t="s">
        <v>426</v>
      </c>
      <c r="E72" s="98" t="s">
        <v>121</v>
      </c>
      <c r="F72" s="98"/>
      <c r="G72" s="98" t="s">
        <v>427</v>
      </c>
      <c r="H72" s="98"/>
      <c r="I72" s="98"/>
      <c r="J72" s="98"/>
      <c r="K72" s="98" t="s">
        <v>130</v>
      </c>
      <c r="L72" s="98" t="s">
        <v>142</v>
      </c>
    </row>
    <row r="73" spans="1:12" ht="300" customHeight="1" x14ac:dyDescent="0.25">
      <c r="A73" s="98" t="s">
        <v>428</v>
      </c>
      <c r="B73" s="98" t="s">
        <v>429</v>
      </c>
      <c r="C73" s="98" t="s">
        <v>430</v>
      </c>
      <c r="D73" s="98" t="s">
        <v>431</v>
      </c>
      <c r="E73" s="98" t="s">
        <v>121</v>
      </c>
      <c r="F73" s="98"/>
      <c r="G73" s="98" t="s">
        <v>432</v>
      </c>
      <c r="H73" s="98"/>
      <c r="I73" s="98"/>
      <c r="J73" s="98"/>
      <c r="K73" s="98" t="s">
        <v>130</v>
      </c>
      <c r="L73" s="98" t="s">
        <v>136</v>
      </c>
    </row>
    <row r="74" spans="1:12" ht="150" customHeight="1" x14ac:dyDescent="0.25">
      <c r="A74" s="98" t="s">
        <v>433</v>
      </c>
      <c r="B74" s="98" t="s">
        <v>434</v>
      </c>
      <c r="C74" s="98" t="s">
        <v>180</v>
      </c>
      <c r="D74" s="98" t="s">
        <v>435</v>
      </c>
      <c r="E74" s="98" t="s">
        <v>121</v>
      </c>
      <c r="F74" s="98"/>
      <c r="G74" s="98" t="s">
        <v>436</v>
      </c>
      <c r="H74" s="98"/>
      <c r="I74" s="98"/>
      <c r="J74" s="98"/>
      <c r="K74" s="98" t="s">
        <v>123</v>
      </c>
      <c r="L74" s="98" t="s">
        <v>124</v>
      </c>
    </row>
    <row r="75" spans="1:12" ht="409.5" customHeight="1" x14ac:dyDescent="0.25">
      <c r="A75" s="98" t="s">
        <v>437</v>
      </c>
      <c r="B75" s="98" t="s">
        <v>438</v>
      </c>
      <c r="C75" s="98" t="s">
        <v>231</v>
      </c>
      <c r="D75" s="98" t="s">
        <v>439</v>
      </c>
      <c r="E75" s="98" t="s">
        <v>121</v>
      </c>
      <c r="F75" s="98"/>
      <c r="G75" s="98" t="s">
        <v>440</v>
      </c>
      <c r="H75" s="98"/>
      <c r="I75" s="98"/>
      <c r="J75" s="98"/>
      <c r="K75" s="98" t="s">
        <v>130</v>
      </c>
      <c r="L75" s="98" t="s">
        <v>142</v>
      </c>
    </row>
    <row r="76" spans="1:12" ht="409.5" customHeight="1" x14ac:dyDescent="0.25">
      <c r="A76" s="98" t="s">
        <v>441</v>
      </c>
      <c r="B76" s="98" t="s">
        <v>442</v>
      </c>
      <c r="C76" s="98" t="s">
        <v>244</v>
      </c>
      <c r="D76" s="98" t="s">
        <v>443</v>
      </c>
      <c r="E76" s="98" t="s">
        <v>121</v>
      </c>
      <c r="F76" s="98"/>
      <c r="G76" s="98" t="s">
        <v>444</v>
      </c>
      <c r="H76" s="98"/>
      <c r="I76" s="98"/>
      <c r="J76" s="98"/>
      <c r="K76" s="98" t="s">
        <v>141</v>
      </c>
      <c r="L76" s="98" t="s">
        <v>124</v>
      </c>
    </row>
    <row r="77" spans="1:12" ht="255" customHeight="1" x14ac:dyDescent="0.25">
      <c r="A77" s="98" t="s">
        <v>445</v>
      </c>
      <c r="B77" s="98" t="s">
        <v>446</v>
      </c>
      <c r="C77" s="98" t="s">
        <v>447</v>
      </c>
      <c r="D77" s="98" t="s">
        <v>448</v>
      </c>
      <c r="E77" s="98" t="s">
        <v>121</v>
      </c>
      <c r="F77" s="98"/>
      <c r="G77" s="98" t="s">
        <v>449</v>
      </c>
      <c r="H77" s="98"/>
      <c r="I77" s="98"/>
      <c r="J77" s="98"/>
      <c r="K77" s="98" t="s">
        <v>130</v>
      </c>
      <c r="L77" s="98" t="s">
        <v>142</v>
      </c>
    </row>
    <row r="78" spans="1:12" ht="135" customHeight="1" x14ac:dyDescent="0.25">
      <c r="A78" s="98" t="s">
        <v>450</v>
      </c>
      <c r="B78" s="98" t="s">
        <v>451</v>
      </c>
      <c r="C78" s="98" t="s">
        <v>189</v>
      </c>
      <c r="D78" s="98" t="s">
        <v>452</v>
      </c>
      <c r="E78" s="98" t="s">
        <v>121</v>
      </c>
      <c r="F78" s="98"/>
      <c r="G78" s="98" t="s">
        <v>453</v>
      </c>
      <c r="H78" s="98"/>
      <c r="I78" s="98"/>
      <c r="J78" s="98"/>
      <c r="K78" s="98" t="s">
        <v>123</v>
      </c>
      <c r="L78" s="98" t="s">
        <v>124</v>
      </c>
    </row>
    <row r="79" spans="1:12" ht="409.5" customHeight="1" x14ac:dyDescent="0.25">
      <c r="A79" s="98" t="s">
        <v>454</v>
      </c>
      <c r="B79" s="98" t="s">
        <v>455</v>
      </c>
      <c r="C79" s="98" t="s">
        <v>231</v>
      </c>
      <c r="D79" s="98" t="s">
        <v>456</v>
      </c>
      <c r="E79" s="98" t="s">
        <v>121</v>
      </c>
      <c r="F79" s="98"/>
      <c r="G79" s="98" t="s">
        <v>457</v>
      </c>
      <c r="H79" s="98"/>
      <c r="I79" s="98"/>
      <c r="J79" s="98"/>
      <c r="K79" s="98" t="s">
        <v>141</v>
      </c>
      <c r="L79" s="98" t="s">
        <v>136</v>
      </c>
    </row>
    <row r="80" spans="1:12" ht="330" customHeight="1" x14ac:dyDescent="0.25">
      <c r="A80" s="98" t="s">
        <v>458</v>
      </c>
      <c r="B80" s="98" t="s">
        <v>459</v>
      </c>
      <c r="C80" s="98" t="s">
        <v>162</v>
      </c>
      <c r="D80" s="98" t="s">
        <v>460</v>
      </c>
      <c r="E80" s="98" t="s">
        <v>121</v>
      </c>
      <c r="F80" s="98"/>
      <c r="G80" s="98" t="s">
        <v>461</v>
      </c>
      <c r="H80" s="98"/>
      <c r="I80" s="98"/>
      <c r="J80" s="98"/>
      <c r="K80" s="98" t="s">
        <v>130</v>
      </c>
      <c r="L80" s="98" t="s">
        <v>136</v>
      </c>
    </row>
    <row r="81" spans="1:12" ht="330" customHeight="1" x14ac:dyDescent="0.25">
      <c r="A81" s="98" t="s">
        <v>462</v>
      </c>
      <c r="B81" s="98" t="s">
        <v>463</v>
      </c>
      <c r="C81" s="98" t="s">
        <v>145</v>
      </c>
      <c r="D81" s="98" t="s">
        <v>464</v>
      </c>
      <c r="E81" s="98" t="s">
        <v>121</v>
      </c>
      <c r="F81" s="98"/>
      <c r="G81" s="98" t="s">
        <v>465</v>
      </c>
      <c r="H81" s="98"/>
      <c r="I81" s="98"/>
      <c r="J81" s="98"/>
      <c r="K81" s="98" t="s">
        <v>141</v>
      </c>
      <c r="L81" s="98" t="s">
        <v>142</v>
      </c>
    </row>
    <row r="82" spans="1:12" ht="409.5" customHeight="1" x14ac:dyDescent="0.25">
      <c r="A82" s="98" t="s">
        <v>466</v>
      </c>
      <c r="B82" s="98" t="s">
        <v>467</v>
      </c>
      <c r="C82" s="98" t="s">
        <v>267</v>
      </c>
      <c r="D82" s="98" t="s">
        <v>468</v>
      </c>
      <c r="E82" s="98" t="s">
        <v>121</v>
      </c>
      <c r="F82" s="98"/>
      <c r="G82" s="98" t="s">
        <v>469</v>
      </c>
      <c r="H82" s="98"/>
      <c r="I82" s="98"/>
      <c r="J82" s="98"/>
      <c r="K82" s="98" t="s">
        <v>141</v>
      </c>
      <c r="L82" s="98" t="s">
        <v>142</v>
      </c>
    </row>
    <row r="83" spans="1:12" ht="375" customHeight="1" x14ac:dyDescent="0.25">
      <c r="A83" s="98" t="s">
        <v>470</v>
      </c>
      <c r="B83" s="98" t="s">
        <v>471</v>
      </c>
      <c r="C83" s="98" t="s">
        <v>231</v>
      </c>
      <c r="D83" s="98" t="s">
        <v>472</v>
      </c>
      <c r="E83" s="98" t="s">
        <v>121</v>
      </c>
      <c r="F83" s="98"/>
      <c r="G83" s="98" t="s">
        <v>473</v>
      </c>
      <c r="H83" s="98"/>
      <c r="I83" s="98"/>
      <c r="J83" s="98"/>
      <c r="K83" s="98" t="s">
        <v>141</v>
      </c>
      <c r="L83" s="98" t="s">
        <v>136</v>
      </c>
    </row>
    <row r="84" spans="1:12" ht="409.5" customHeight="1" x14ac:dyDescent="0.25">
      <c r="A84" s="98" t="s">
        <v>474</v>
      </c>
      <c r="B84" s="98" t="s">
        <v>475</v>
      </c>
      <c r="C84" s="98" t="s">
        <v>476</v>
      </c>
      <c r="D84" s="98" t="s">
        <v>477</v>
      </c>
      <c r="E84" s="98" t="s">
        <v>121</v>
      </c>
      <c r="F84" s="98"/>
      <c r="G84" s="98" t="s">
        <v>478</v>
      </c>
      <c r="H84" s="98"/>
      <c r="I84" s="98"/>
      <c r="J84" s="98"/>
      <c r="K84" s="98" t="s">
        <v>130</v>
      </c>
      <c r="L84" s="98" t="s">
        <v>142</v>
      </c>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47"/>
  <dimension ref="A1:D53"/>
  <sheetViews>
    <sheetView workbookViewId="0"/>
  </sheetViews>
  <sheetFormatPr baseColWidth="10" defaultColWidth="9.140625" defaultRowHeight="15" x14ac:dyDescent="0.25"/>
  <cols>
    <col min="1" max="1" width="12" customWidth="1"/>
    <col min="2" max="2" width="35" customWidth="1"/>
    <col min="3" max="3" width="60" customWidth="1"/>
    <col min="4" max="4" width="40" customWidth="1"/>
  </cols>
  <sheetData>
    <row r="1" spans="1:4" x14ac:dyDescent="0.25">
      <c r="A1" s="97" t="s">
        <v>105</v>
      </c>
      <c r="B1" s="97" t="s">
        <v>479</v>
      </c>
      <c r="C1" s="97" t="s">
        <v>108</v>
      </c>
      <c r="D1" s="97" t="s">
        <v>480</v>
      </c>
    </row>
    <row r="2" spans="1:4" ht="150" customHeight="1" x14ac:dyDescent="0.25">
      <c r="A2" s="98" t="s">
        <v>481</v>
      </c>
      <c r="B2" s="98" t="s">
        <v>482</v>
      </c>
      <c r="C2" s="98" t="s">
        <v>483</v>
      </c>
      <c r="D2" s="98"/>
    </row>
    <row r="3" spans="1:4" ht="30" customHeight="1" x14ac:dyDescent="0.25">
      <c r="A3" s="98" t="s">
        <v>484</v>
      </c>
      <c r="B3" s="98" t="s">
        <v>485</v>
      </c>
      <c r="C3" s="98" t="s">
        <v>486</v>
      </c>
      <c r="D3" s="98"/>
    </row>
    <row r="4" spans="1:4" ht="30" customHeight="1" x14ac:dyDescent="0.25">
      <c r="A4" s="98" t="s">
        <v>487</v>
      </c>
      <c r="B4" s="98" t="s">
        <v>488</v>
      </c>
      <c r="C4" s="98" t="s">
        <v>489</v>
      </c>
      <c r="D4" s="98"/>
    </row>
    <row r="5" spans="1:4" ht="105" customHeight="1" x14ac:dyDescent="0.25">
      <c r="A5" s="98" t="s">
        <v>490</v>
      </c>
      <c r="B5" s="98" t="s">
        <v>491</v>
      </c>
      <c r="C5" s="98" t="s">
        <v>492</v>
      </c>
      <c r="D5" s="98"/>
    </row>
    <row r="6" spans="1:4" ht="45" customHeight="1" x14ac:dyDescent="0.25">
      <c r="A6" s="98" t="s">
        <v>493</v>
      </c>
      <c r="B6" s="98" t="s">
        <v>494</v>
      </c>
      <c r="C6" s="98" t="s">
        <v>495</v>
      </c>
      <c r="D6" s="98"/>
    </row>
    <row r="7" spans="1:4" ht="30" customHeight="1" x14ac:dyDescent="0.25">
      <c r="A7" s="98" t="s">
        <v>496</v>
      </c>
      <c r="B7" s="98" t="s">
        <v>497</v>
      </c>
      <c r="C7" s="98" t="s">
        <v>498</v>
      </c>
      <c r="D7" s="98"/>
    </row>
    <row r="8" spans="1:4" ht="120" customHeight="1" x14ac:dyDescent="0.25">
      <c r="A8" s="98" t="s">
        <v>499</v>
      </c>
      <c r="B8" s="98" t="s">
        <v>500</v>
      </c>
      <c r="C8" s="98" t="s">
        <v>501</v>
      </c>
      <c r="D8" s="98"/>
    </row>
    <row r="9" spans="1:4" ht="150" customHeight="1" x14ac:dyDescent="0.25">
      <c r="A9" s="98" t="s">
        <v>502</v>
      </c>
      <c r="B9" s="98" t="s">
        <v>503</v>
      </c>
      <c r="C9" s="98" t="s">
        <v>504</v>
      </c>
      <c r="D9" s="98"/>
    </row>
    <row r="10" spans="1:4" ht="30" customHeight="1" x14ac:dyDescent="0.25">
      <c r="A10" s="98" t="s">
        <v>505</v>
      </c>
      <c r="B10" s="98" t="s">
        <v>506</v>
      </c>
      <c r="C10" s="98" t="s">
        <v>507</v>
      </c>
      <c r="D10" s="98"/>
    </row>
    <row r="11" spans="1:4" ht="30" customHeight="1" x14ac:dyDescent="0.25">
      <c r="A11" s="98" t="s">
        <v>508</v>
      </c>
      <c r="B11" s="98" t="s">
        <v>509</v>
      </c>
      <c r="C11" s="98" t="s">
        <v>510</v>
      </c>
      <c r="D11" s="98"/>
    </row>
    <row r="12" spans="1:4" ht="90" customHeight="1" x14ac:dyDescent="0.25">
      <c r="A12" s="98" t="s">
        <v>511</v>
      </c>
      <c r="B12" s="98" t="s">
        <v>512</v>
      </c>
      <c r="C12" s="98" t="s">
        <v>513</v>
      </c>
      <c r="D12" s="98"/>
    </row>
    <row r="13" spans="1:4" ht="135" customHeight="1" x14ac:dyDescent="0.25">
      <c r="A13" s="98" t="s">
        <v>514</v>
      </c>
      <c r="B13" s="98" t="s">
        <v>515</v>
      </c>
      <c r="C13" s="98" t="s">
        <v>516</v>
      </c>
      <c r="D13" s="98"/>
    </row>
    <row r="14" spans="1:4" ht="135" customHeight="1" x14ac:dyDescent="0.25">
      <c r="A14" s="98" t="s">
        <v>517</v>
      </c>
      <c r="B14" s="98" t="s">
        <v>518</v>
      </c>
      <c r="C14" s="98" t="s">
        <v>519</v>
      </c>
      <c r="D14" s="98"/>
    </row>
    <row r="15" spans="1:4" ht="30" customHeight="1" x14ac:dyDescent="0.25">
      <c r="A15" s="98" t="s">
        <v>520</v>
      </c>
      <c r="B15" s="98" t="s">
        <v>521</v>
      </c>
      <c r="C15" s="98" t="s">
        <v>522</v>
      </c>
      <c r="D15" s="98"/>
    </row>
    <row r="16" spans="1:4" ht="30" customHeight="1" x14ac:dyDescent="0.25">
      <c r="A16" s="98" t="s">
        <v>523</v>
      </c>
      <c r="B16" s="98" t="s">
        <v>524</v>
      </c>
      <c r="C16" s="98" t="s">
        <v>525</v>
      </c>
      <c r="D16" s="98"/>
    </row>
    <row r="17" spans="1:4" x14ac:dyDescent="0.25">
      <c r="A17" s="98" t="s">
        <v>526</v>
      </c>
      <c r="B17" s="98" t="s">
        <v>527</v>
      </c>
      <c r="C17" s="98" t="s">
        <v>528</v>
      </c>
      <c r="D17" s="98"/>
    </row>
    <row r="18" spans="1:4" ht="30" customHeight="1" x14ac:dyDescent="0.25">
      <c r="A18" s="98" t="s">
        <v>529</v>
      </c>
      <c r="B18" s="98" t="s">
        <v>530</v>
      </c>
      <c r="C18" s="98" t="s">
        <v>531</v>
      </c>
      <c r="D18" s="98"/>
    </row>
    <row r="19" spans="1:4" ht="30" customHeight="1" x14ac:dyDescent="0.25">
      <c r="A19" s="98" t="s">
        <v>532</v>
      </c>
      <c r="B19" s="98" t="s">
        <v>533</v>
      </c>
      <c r="C19" s="98" t="s">
        <v>534</v>
      </c>
      <c r="D19" s="98"/>
    </row>
    <row r="20" spans="1:4" ht="255" customHeight="1" x14ac:dyDescent="0.25">
      <c r="A20" s="98" t="s">
        <v>535</v>
      </c>
      <c r="B20" s="98" t="s">
        <v>536</v>
      </c>
      <c r="C20" s="98" t="s">
        <v>537</v>
      </c>
      <c r="D20" s="98"/>
    </row>
    <row r="21" spans="1:4" ht="300" customHeight="1" x14ac:dyDescent="0.25">
      <c r="A21" s="98" t="s">
        <v>538</v>
      </c>
      <c r="B21" s="98" t="s">
        <v>539</v>
      </c>
      <c r="C21" s="98" t="s">
        <v>540</v>
      </c>
      <c r="D21" s="98"/>
    </row>
    <row r="22" spans="1:4" ht="45" customHeight="1" x14ac:dyDescent="0.25">
      <c r="A22" s="98" t="s">
        <v>541</v>
      </c>
      <c r="B22" s="98" t="s">
        <v>542</v>
      </c>
      <c r="C22" s="98" t="s">
        <v>543</v>
      </c>
      <c r="D22" s="98"/>
    </row>
    <row r="23" spans="1:4" ht="30" customHeight="1" x14ac:dyDescent="0.25">
      <c r="A23" s="98" t="s">
        <v>544</v>
      </c>
      <c r="B23" s="98" t="s">
        <v>545</v>
      </c>
      <c r="C23" s="98" t="s">
        <v>546</v>
      </c>
      <c r="D23" s="98"/>
    </row>
    <row r="24" spans="1:4" ht="75" customHeight="1" x14ac:dyDescent="0.25">
      <c r="A24" s="98" t="s">
        <v>547</v>
      </c>
      <c r="B24" s="98" t="s">
        <v>548</v>
      </c>
      <c r="C24" s="98" t="s">
        <v>549</v>
      </c>
      <c r="D24" s="98"/>
    </row>
    <row r="25" spans="1:4" ht="105" customHeight="1" x14ac:dyDescent="0.25">
      <c r="A25" s="98" t="s">
        <v>550</v>
      </c>
      <c r="B25" s="98" t="s">
        <v>551</v>
      </c>
      <c r="C25" s="98" t="s">
        <v>552</v>
      </c>
      <c r="D25" s="98"/>
    </row>
    <row r="26" spans="1:4" ht="45" customHeight="1" x14ac:dyDescent="0.25">
      <c r="A26" s="98" t="s">
        <v>553</v>
      </c>
      <c r="B26" s="98" t="s">
        <v>554</v>
      </c>
      <c r="C26" s="98" t="s">
        <v>555</v>
      </c>
      <c r="D26" s="98"/>
    </row>
    <row r="27" spans="1:4" ht="90" customHeight="1" x14ac:dyDescent="0.25">
      <c r="A27" s="98" t="s">
        <v>556</v>
      </c>
      <c r="B27" s="98" t="s">
        <v>557</v>
      </c>
      <c r="C27" s="98" t="s">
        <v>558</v>
      </c>
      <c r="D27" s="98"/>
    </row>
    <row r="28" spans="1:4" ht="105" customHeight="1" x14ac:dyDescent="0.25">
      <c r="A28" s="98" t="s">
        <v>559</v>
      </c>
      <c r="B28" s="98" t="s">
        <v>560</v>
      </c>
      <c r="C28" s="98" t="s">
        <v>561</v>
      </c>
      <c r="D28" s="98"/>
    </row>
    <row r="29" spans="1:4" ht="75" customHeight="1" x14ac:dyDescent="0.25">
      <c r="A29" s="98" t="s">
        <v>562</v>
      </c>
      <c r="B29" s="98" t="s">
        <v>563</v>
      </c>
      <c r="C29" s="98" t="s">
        <v>564</v>
      </c>
      <c r="D29" s="98"/>
    </row>
    <row r="30" spans="1:4" ht="195" customHeight="1" x14ac:dyDescent="0.25">
      <c r="A30" s="98" t="s">
        <v>565</v>
      </c>
      <c r="B30" s="98" t="s">
        <v>566</v>
      </c>
      <c r="C30" s="98" t="s">
        <v>567</v>
      </c>
      <c r="D30" s="98"/>
    </row>
    <row r="31" spans="1:4" ht="45" customHeight="1" x14ac:dyDescent="0.25">
      <c r="A31" s="98" t="s">
        <v>568</v>
      </c>
      <c r="B31" s="98" t="s">
        <v>569</v>
      </c>
      <c r="C31" s="98" t="s">
        <v>570</v>
      </c>
      <c r="D31" s="98"/>
    </row>
    <row r="32" spans="1:4" ht="75" customHeight="1" x14ac:dyDescent="0.25">
      <c r="A32" s="98" t="s">
        <v>571</v>
      </c>
      <c r="B32" s="98" t="s">
        <v>572</v>
      </c>
      <c r="C32" s="98" t="s">
        <v>573</v>
      </c>
      <c r="D32" s="98"/>
    </row>
    <row r="33" spans="1:4" ht="75" customHeight="1" x14ac:dyDescent="0.25">
      <c r="A33" s="98" t="s">
        <v>574</v>
      </c>
      <c r="B33" s="98" t="s">
        <v>575</v>
      </c>
      <c r="C33" s="98" t="s">
        <v>576</v>
      </c>
      <c r="D33" s="98"/>
    </row>
    <row r="34" spans="1:4" x14ac:dyDescent="0.25">
      <c r="A34" s="98" t="s">
        <v>577</v>
      </c>
      <c r="B34" s="98" t="s">
        <v>578</v>
      </c>
      <c r="C34" s="98" t="s">
        <v>579</v>
      </c>
      <c r="D34" s="98"/>
    </row>
    <row r="35" spans="1:4" ht="30" customHeight="1" x14ac:dyDescent="0.25">
      <c r="A35" s="98" t="s">
        <v>580</v>
      </c>
      <c r="B35" s="98" t="s">
        <v>581</v>
      </c>
      <c r="C35" s="98" t="s">
        <v>582</v>
      </c>
      <c r="D35" s="98"/>
    </row>
    <row r="36" spans="1:4" ht="30" customHeight="1" x14ac:dyDescent="0.25">
      <c r="A36" s="98" t="s">
        <v>583</v>
      </c>
      <c r="B36" s="98" t="s">
        <v>584</v>
      </c>
      <c r="C36" s="98" t="s">
        <v>585</v>
      </c>
      <c r="D36" s="98"/>
    </row>
    <row r="37" spans="1:4" ht="30" customHeight="1" x14ac:dyDescent="0.25">
      <c r="A37" s="98" t="s">
        <v>586</v>
      </c>
      <c r="B37" s="98" t="s">
        <v>587</v>
      </c>
      <c r="C37" s="98" t="s">
        <v>588</v>
      </c>
      <c r="D37" s="98"/>
    </row>
    <row r="38" spans="1:4" ht="60" customHeight="1" x14ac:dyDescent="0.25">
      <c r="A38" s="98" t="s">
        <v>589</v>
      </c>
      <c r="B38" s="98" t="s">
        <v>590</v>
      </c>
      <c r="C38" s="98" t="s">
        <v>591</v>
      </c>
      <c r="D38" s="98"/>
    </row>
    <row r="39" spans="1:4" ht="30" customHeight="1" x14ac:dyDescent="0.25">
      <c r="A39" s="98" t="s">
        <v>592</v>
      </c>
      <c r="B39" s="98" t="s">
        <v>593</v>
      </c>
      <c r="C39" s="98" t="s">
        <v>594</v>
      </c>
      <c r="D39" s="98"/>
    </row>
    <row r="40" spans="1:4" ht="30" customHeight="1" x14ac:dyDescent="0.25">
      <c r="A40" s="98" t="s">
        <v>595</v>
      </c>
      <c r="B40" s="98" t="s">
        <v>596</v>
      </c>
      <c r="C40" s="98" t="s">
        <v>597</v>
      </c>
      <c r="D40" s="98"/>
    </row>
    <row r="41" spans="1:4" ht="30" customHeight="1" x14ac:dyDescent="0.25">
      <c r="A41" s="98" t="s">
        <v>598</v>
      </c>
      <c r="B41" s="98" t="s">
        <v>599</v>
      </c>
      <c r="C41" s="98" t="s">
        <v>600</v>
      </c>
      <c r="D41" s="98"/>
    </row>
    <row r="42" spans="1:4" ht="135" customHeight="1" x14ac:dyDescent="0.25">
      <c r="A42" s="98" t="s">
        <v>601</v>
      </c>
      <c r="B42" s="98" t="s">
        <v>602</v>
      </c>
      <c r="C42" s="98" t="s">
        <v>603</v>
      </c>
      <c r="D42" s="98"/>
    </row>
    <row r="43" spans="1:4" ht="45" customHeight="1" x14ac:dyDescent="0.25">
      <c r="A43" s="98" t="s">
        <v>604</v>
      </c>
      <c r="B43" s="98" t="s">
        <v>605</v>
      </c>
      <c r="C43" s="98" t="s">
        <v>606</v>
      </c>
      <c r="D43" s="98"/>
    </row>
    <row r="44" spans="1:4" ht="75" customHeight="1" x14ac:dyDescent="0.25">
      <c r="A44" s="98" t="s">
        <v>607</v>
      </c>
      <c r="B44" s="98" t="s">
        <v>608</v>
      </c>
      <c r="C44" s="98" t="s">
        <v>609</v>
      </c>
      <c r="D44" s="98"/>
    </row>
    <row r="45" spans="1:4" ht="105" customHeight="1" x14ac:dyDescent="0.25">
      <c r="A45" s="98" t="s">
        <v>610</v>
      </c>
      <c r="B45" s="98" t="s">
        <v>611</v>
      </c>
      <c r="C45" s="98" t="s">
        <v>612</v>
      </c>
      <c r="D45" s="98"/>
    </row>
    <row r="46" spans="1:4" ht="60" customHeight="1" x14ac:dyDescent="0.25">
      <c r="A46" s="98" t="s">
        <v>613</v>
      </c>
      <c r="B46" s="98" t="s">
        <v>614</v>
      </c>
      <c r="C46" s="98" t="s">
        <v>615</v>
      </c>
      <c r="D46" s="98"/>
    </row>
    <row r="47" spans="1:4" ht="45" customHeight="1" x14ac:dyDescent="0.25">
      <c r="A47" s="98" t="s">
        <v>616</v>
      </c>
      <c r="B47" s="98" t="s">
        <v>617</v>
      </c>
      <c r="C47" s="98" t="s">
        <v>618</v>
      </c>
      <c r="D47" s="98"/>
    </row>
    <row r="48" spans="1:4" ht="45" customHeight="1" x14ac:dyDescent="0.25">
      <c r="A48" s="98" t="s">
        <v>619</v>
      </c>
      <c r="B48" s="98" t="s">
        <v>620</v>
      </c>
      <c r="C48" s="98" t="s">
        <v>621</v>
      </c>
      <c r="D48" s="98"/>
    </row>
    <row r="49" spans="1:4" ht="30" customHeight="1" x14ac:dyDescent="0.25">
      <c r="A49" s="98" t="s">
        <v>622</v>
      </c>
      <c r="B49" s="98" t="s">
        <v>623</v>
      </c>
      <c r="C49" s="98" t="s">
        <v>624</v>
      </c>
      <c r="D49" s="98"/>
    </row>
    <row r="50" spans="1:4" ht="45" customHeight="1" x14ac:dyDescent="0.25">
      <c r="A50" s="98" t="s">
        <v>625</v>
      </c>
      <c r="B50" s="98" t="s">
        <v>626</v>
      </c>
      <c r="C50" s="98" t="s">
        <v>627</v>
      </c>
      <c r="D50" s="98"/>
    </row>
    <row r="51" spans="1:4" ht="135" customHeight="1" x14ac:dyDescent="0.25">
      <c r="A51" s="98" t="s">
        <v>628</v>
      </c>
      <c r="B51" s="98" t="s">
        <v>629</v>
      </c>
      <c r="C51" s="98" t="s">
        <v>630</v>
      </c>
      <c r="D51" s="98"/>
    </row>
    <row r="52" spans="1:4" ht="30" customHeight="1" x14ac:dyDescent="0.25">
      <c r="A52" s="98" t="s">
        <v>631</v>
      </c>
      <c r="B52" s="98" t="s">
        <v>632</v>
      </c>
      <c r="C52" s="98" t="s">
        <v>633</v>
      </c>
      <c r="D52" s="98"/>
    </row>
    <row r="53" spans="1:4" ht="30" customHeight="1" x14ac:dyDescent="0.25">
      <c r="A53" s="98" t="s">
        <v>634</v>
      </c>
      <c r="B53" s="98" t="s">
        <v>635</v>
      </c>
      <c r="C53" s="98" t="s">
        <v>636</v>
      </c>
      <c r="D53" s="98"/>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8"/>
  <dimension ref="A1:J15"/>
  <sheetViews>
    <sheetView workbookViewId="0"/>
  </sheetViews>
  <sheetFormatPr baseColWidth="10" defaultColWidth="9.140625" defaultRowHeight="15" x14ac:dyDescent="0.25"/>
  <cols>
    <col min="1" max="1" width="10.7109375" bestFit="1" customWidth="1"/>
    <col min="2" max="2" width="34.28515625" bestFit="1" customWidth="1"/>
    <col min="3" max="3" width="60" customWidth="1"/>
    <col min="4" max="4" width="24.28515625" bestFit="1" customWidth="1"/>
  </cols>
  <sheetData>
    <row r="1" spans="1:10" ht="18.75" x14ac:dyDescent="0.25">
      <c r="A1" s="133" t="s">
        <v>637</v>
      </c>
      <c r="B1" s="134" t="s">
        <v>638</v>
      </c>
      <c r="C1" s="134" t="s">
        <v>108</v>
      </c>
      <c r="D1" s="134" t="s">
        <v>639</v>
      </c>
      <c r="E1" s="135"/>
      <c r="F1" s="135"/>
      <c r="G1" s="135"/>
      <c r="H1" s="135"/>
      <c r="I1" s="135"/>
      <c r="J1" s="135"/>
    </row>
    <row r="2" spans="1:10" ht="105" customHeight="1" x14ac:dyDescent="0.25">
      <c r="A2" s="98" t="s">
        <v>640</v>
      </c>
      <c r="B2" s="98" t="s">
        <v>641</v>
      </c>
      <c r="C2" s="98" t="s">
        <v>642</v>
      </c>
      <c r="D2" s="98"/>
    </row>
    <row r="3" spans="1:10" ht="120" customHeight="1" x14ac:dyDescent="0.25">
      <c r="A3" s="98" t="s">
        <v>643</v>
      </c>
      <c r="B3" s="98" t="s">
        <v>644</v>
      </c>
      <c r="C3" s="98" t="s">
        <v>645</v>
      </c>
      <c r="D3" s="98"/>
    </row>
    <row r="4" spans="1:10" ht="345" customHeight="1" x14ac:dyDescent="0.25">
      <c r="A4" s="98" t="s">
        <v>646</v>
      </c>
      <c r="B4" s="98" t="s">
        <v>647</v>
      </c>
      <c r="C4" s="98" t="s">
        <v>648</v>
      </c>
      <c r="D4" s="98"/>
    </row>
    <row r="5" spans="1:10" ht="180" customHeight="1" x14ac:dyDescent="0.25">
      <c r="A5" s="98" t="s">
        <v>649</v>
      </c>
      <c r="B5" s="98" t="s">
        <v>650</v>
      </c>
      <c r="C5" s="98" t="s">
        <v>651</v>
      </c>
      <c r="D5" s="98"/>
    </row>
    <row r="6" spans="1:10" ht="120" customHeight="1" x14ac:dyDescent="0.25">
      <c r="A6" s="98" t="s">
        <v>652</v>
      </c>
      <c r="B6" s="98" t="s">
        <v>653</v>
      </c>
      <c r="C6" s="98" t="s">
        <v>654</v>
      </c>
      <c r="D6" s="98"/>
    </row>
    <row r="7" spans="1:10" ht="150" customHeight="1" x14ac:dyDescent="0.25">
      <c r="A7" s="98" t="s">
        <v>655</v>
      </c>
      <c r="B7" s="98" t="s">
        <v>656</v>
      </c>
      <c r="C7" s="98" t="s">
        <v>657</v>
      </c>
      <c r="D7" s="98"/>
    </row>
    <row r="8" spans="1:10" ht="135" customHeight="1" x14ac:dyDescent="0.25">
      <c r="A8" s="98" t="s">
        <v>658</v>
      </c>
      <c r="B8" s="98" t="s">
        <v>659</v>
      </c>
      <c r="C8" s="98" t="s">
        <v>660</v>
      </c>
      <c r="D8" s="98"/>
    </row>
    <row r="9" spans="1:10" ht="165" customHeight="1" x14ac:dyDescent="0.25">
      <c r="A9" s="98" t="s">
        <v>661</v>
      </c>
      <c r="B9" s="98" t="s">
        <v>662</v>
      </c>
      <c r="C9" s="98" t="s">
        <v>663</v>
      </c>
      <c r="D9" s="98"/>
    </row>
    <row r="10" spans="1:10" ht="195" customHeight="1" x14ac:dyDescent="0.25">
      <c r="A10" s="98" t="s">
        <v>664</v>
      </c>
      <c r="B10" s="98" t="s">
        <v>665</v>
      </c>
      <c r="C10" s="98" t="s">
        <v>666</v>
      </c>
      <c r="D10" s="98"/>
    </row>
    <row r="11" spans="1:10" ht="135" customHeight="1" x14ac:dyDescent="0.25">
      <c r="A11" s="98" t="s">
        <v>667</v>
      </c>
      <c r="B11" s="98" t="s">
        <v>668</v>
      </c>
      <c r="C11" s="98" t="s">
        <v>669</v>
      </c>
      <c r="D11" s="98"/>
    </row>
    <row r="12" spans="1:10" ht="60" customHeight="1" x14ac:dyDescent="0.25">
      <c r="A12" s="98" t="s">
        <v>670</v>
      </c>
      <c r="B12" s="98" t="s">
        <v>671</v>
      </c>
      <c r="C12" s="98" t="s">
        <v>672</v>
      </c>
      <c r="D12" s="98"/>
    </row>
    <row r="13" spans="1:10" ht="105" customHeight="1" x14ac:dyDescent="0.25">
      <c r="A13" s="98" t="s">
        <v>673</v>
      </c>
      <c r="B13" s="98" t="s">
        <v>674</v>
      </c>
      <c r="C13" s="98" t="s">
        <v>675</v>
      </c>
      <c r="D13" s="98"/>
    </row>
    <row r="14" spans="1:10" ht="135" customHeight="1" x14ac:dyDescent="0.25">
      <c r="A14" s="98" t="s">
        <v>676</v>
      </c>
      <c r="B14" s="98" t="s">
        <v>677</v>
      </c>
      <c r="C14" s="98" t="s">
        <v>678</v>
      </c>
      <c r="D14" s="98"/>
    </row>
    <row r="15" spans="1:10" ht="165" customHeight="1" x14ac:dyDescent="0.25">
      <c r="A15" s="98" t="s">
        <v>679</v>
      </c>
      <c r="B15" s="98" t="s">
        <v>680</v>
      </c>
      <c r="C15" s="98" t="s">
        <v>681</v>
      </c>
      <c r="D15" s="98"/>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9"/>
  <dimension ref="A1:K39"/>
  <sheetViews>
    <sheetView workbookViewId="0">
      <selection sqref="A1:K1"/>
    </sheetView>
  </sheetViews>
  <sheetFormatPr baseColWidth="10" defaultColWidth="9.140625" defaultRowHeight="15" x14ac:dyDescent="0.25"/>
  <cols>
    <col min="1" max="1" width="20" customWidth="1"/>
    <col min="2" max="3" width="35" customWidth="1"/>
    <col min="4" max="5" width="10" customWidth="1"/>
    <col min="6" max="11" width="12" customWidth="1"/>
  </cols>
  <sheetData>
    <row r="1" spans="1:11" ht="30" customHeight="1" x14ac:dyDescent="0.25">
      <c r="A1" s="178" t="s">
        <v>682</v>
      </c>
      <c r="B1" s="146"/>
      <c r="C1" s="146"/>
      <c r="D1" s="146"/>
      <c r="E1" s="146"/>
      <c r="F1" s="146"/>
      <c r="G1" s="146"/>
      <c r="H1" s="146"/>
      <c r="I1" s="146"/>
      <c r="J1" s="146"/>
      <c r="K1" s="146"/>
    </row>
    <row r="2" spans="1:11" x14ac:dyDescent="0.25">
      <c r="A2" s="180" t="s">
        <v>683</v>
      </c>
      <c r="B2" s="146"/>
      <c r="C2" s="146"/>
      <c r="D2" s="146"/>
      <c r="E2" s="146"/>
      <c r="F2" s="146"/>
      <c r="G2" s="146"/>
      <c r="H2" s="146"/>
      <c r="I2" s="146"/>
      <c r="J2" s="146"/>
      <c r="K2" s="146"/>
    </row>
    <row r="4" spans="1:11" ht="24.95" customHeight="1" x14ac:dyDescent="0.25">
      <c r="A4" s="184" t="s">
        <v>684</v>
      </c>
      <c r="B4" s="146"/>
      <c r="C4" s="146"/>
      <c r="D4" s="146"/>
      <c r="E4" s="146"/>
      <c r="F4" s="146"/>
      <c r="G4" s="146"/>
      <c r="H4" s="146"/>
      <c r="I4" s="146"/>
      <c r="J4" s="146"/>
      <c r="K4" s="146"/>
    </row>
    <row r="5" spans="1:11" ht="30" customHeight="1" x14ac:dyDescent="0.25">
      <c r="A5" s="100" t="s">
        <v>685</v>
      </c>
      <c r="B5" s="100" t="s">
        <v>686</v>
      </c>
      <c r="C5" s="100" t="s">
        <v>687</v>
      </c>
      <c r="D5" s="100" t="s">
        <v>688</v>
      </c>
      <c r="E5" s="100" t="s">
        <v>689</v>
      </c>
      <c r="F5" s="100" t="s">
        <v>690</v>
      </c>
      <c r="G5" s="100" t="s">
        <v>688</v>
      </c>
      <c r="H5" s="100" t="s">
        <v>691</v>
      </c>
      <c r="I5" s="100" t="s">
        <v>692</v>
      </c>
      <c r="J5" s="100" t="s">
        <v>688</v>
      </c>
      <c r="K5" s="100" t="s">
        <v>691</v>
      </c>
    </row>
    <row r="6" spans="1:11" ht="30" customHeight="1" x14ac:dyDescent="0.25">
      <c r="A6" s="104" t="s">
        <v>693</v>
      </c>
      <c r="B6" s="104" t="s">
        <v>694</v>
      </c>
      <c r="C6" s="104" t="s">
        <v>695</v>
      </c>
      <c r="D6" s="104" t="s">
        <v>664</v>
      </c>
      <c r="E6" s="105">
        <v>95</v>
      </c>
      <c r="F6" s="104" t="s">
        <v>350</v>
      </c>
      <c r="G6" s="104" t="s">
        <v>349</v>
      </c>
      <c r="H6" s="105">
        <v>85</v>
      </c>
      <c r="I6" s="104" t="s">
        <v>345</v>
      </c>
      <c r="J6" s="104" t="s">
        <v>344</v>
      </c>
      <c r="K6" s="105">
        <v>80</v>
      </c>
    </row>
    <row r="7" spans="1:11" ht="60" customHeight="1" x14ac:dyDescent="0.25">
      <c r="A7" s="104" t="s">
        <v>696</v>
      </c>
      <c r="B7" s="104" t="s">
        <v>697</v>
      </c>
      <c r="C7" s="104" t="s">
        <v>644</v>
      </c>
      <c r="D7" s="104" t="s">
        <v>643</v>
      </c>
      <c r="E7" s="105">
        <v>90</v>
      </c>
      <c r="F7" s="104" t="s">
        <v>239</v>
      </c>
      <c r="G7" s="104" t="s">
        <v>238</v>
      </c>
      <c r="H7" s="105">
        <v>75</v>
      </c>
      <c r="I7" s="104" t="s">
        <v>230</v>
      </c>
      <c r="J7" s="104" t="s">
        <v>229</v>
      </c>
      <c r="K7" s="105">
        <v>70</v>
      </c>
    </row>
    <row r="8" spans="1:11" ht="45" customHeight="1" x14ac:dyDescent="0.25">
      <c r="A8" s="104" t="s">
        <v>698</v>
      </c>
      <c r="B8" s="104" t="s">
        <v>699</v>
      </c>
      <c r="C8" s="104" t="s">
        <v>700</v>
      </c>
      <c r="D8" s="104" t="s">
        <v>655</v>
      </c>
      <c r="E8" s="105">
        <v>95</v>
      </c>
      <c r="F8" s="104" t="s">
        <v>262</v>
      </c>
      <c r="G8" s="104" t="s">
        <v>261</v>
      </c>
      <c r="H8" s="105">
        <v>90</v>
      </c>
      <c r="I8" s="104" t="s">
        <v>218</v>
      </c>
      <c r="J8" s="104" t="s">
        <v>217</v>
      </c>
      <c r="K8" s="105">
        <v>75</v>
      </c>
    </row>
    <row r="9" spans="1:11" ht="45" customHeight="1" x14ac:dyDescent="0.25">
      <c r="A9" s="104" t="s">
        <v>701</v>
      </c>
      <c r="B9" s="104" t="s">
        <v>702</v>
      </c>
      <c r="C9" s="104" t="s">
        <v>671</v>
      </c>
      <c r="D9" s="104" t="s">
        <v>670</v>
      </c>
      <c r="E9" s="105">
        <v>85</v>
      </c>
      <c r="F9" s="104" t="s">
        <v>368</v>
      </c>
      <c r="G9" s="104" t="s">
        <v>362</v>
      </c>
      <c r="H9" s="105">
        <v>80</v>
      </c>
      <c r="I9" s="104" t="s">
        <v>126</v>
      </c>
      <c r="J9" s="104" t="s">
        <v>125</v>
      </c>
      <c r="K9" s="105">
        <v>75</v>
      </c>
    </row>
    <row r="10" spans="1:11" ht="45" customHeight="1" x14ac:dyDescent="0.25">
      <c r="A10" s="104" t="s">
        <v>680</v>
      </c>
      <c r="B10" s="104" t="s">
        <v>703</v>
      </c>
      <c r="C10" s="104" t="s">
        <v>680</v>
      </c>
      <c r="D10" s="104" t="s">
        <v>679</v>
      </c>
      <c r="E10" s="105">
        <v>95</v>
      </c>
      <c r="F10" s="104" t="s">
        <v>704</v>
      </c>
      <c r="G10" s="104" t="s">
        <v>705</v>
      </c>
      <c r="H10" s="105">
        <v>85</v>
      </c>
      <c r="I10" s="104" t="s">
        <v>425</v>
      </c>
      <c r="J10" s="104" t="s">
        <v>424</v>
      </c>
      <c r="K10" s="105">
        <v>70</v>
      </c>
    </row>
    <row r="13" spans="1:11" ht="24.95" customHeight="1" x14ac:dyDescent="0.25">
      <c r="A13" s="182" t="s">
        <v>706</v>
      </c>
      <c r="B13" s="146"/>
      <c r="C13" s="146"/>
      <c r="D13" s="146"/>
      <c r="E13" s="146"/>
      <c r="F13" s="146"/>
      <c r="G13" s="146"/>
      <c r="H13" s="146"/>
      <c r="I13" s="146"/>
      <c r="J13" s="146"/>
      <c r="K13" s="146"/>
    </row>
    <row r="14" spans="1:11" x14ac:dyDescent="0.25">
      <c r="A14" s="100" t="s">
        <v>707</v>
      </c>
      <c r="B14" s="100" t="s">
        <v>708</v>
      </c>
      <c r="C14" s="100" t="s">
        <v>709</v>
      </c>
      <c r="D14" s="100" t="s">
        <v>688</v>
      </c>
      <c r="E14" s="100" t="s">
        <v>691</v>
      </c>
      <c r="F14" s="100" t="s">
        <v>710</v>
      </c>
      <c r="G14" s="100" t="s">
        <v>711</v>
      </c>
      <c r="H14" s="100" t="s">
        <v>692</v>
      </c>
      <c r="I14" s="100" t="s">
        <v>688</v>
      </c>
      <c r="J14" s="100" t="s">
        <v>691</v>
      </c>
      <c r="K14" s="100" t="s">
        <v>710</v>
      </c>
    </row>
    <row r="15" spans="1:11" ht="45" customHeight="1" x14ac:dyDescent="0.25">
      <c r="A15" s="104" t="s">
        <v>712</v>
      </c>
      <c r="B15" s="104" t="s">
        <v>713</v>
      </c>
      <c r="C15" s="104" t="s">
        <v>345</v>
      </c>
      <c r="D15" s="104" t="s">
        <v>344</v>
      </c>
      <c r="E15" s="105">
        <v>90</v>
      </c>
      <c r="F15" s="104" t="s">
        <v>119</v>
      </c>
      <c r="G15" s="104" t="s">
        <v>714</v>
      </c>
      <c r="H15" s="104" t="s">
        <v>350</v>
      </c>
      <c r="I15" s="104" t="s">
        <v>349</v>
      </c>
      <c r="J15" s="105">
        <v>85</v>
      </c>
      <c r="K15" s="104" t="s">
        <v>346</v>
      </c>
    </row>
    <row r="16" spans="1:11" ht="30" customHeight="1" x14ac:dyDescent="0.25">
      <c r="A16" s="104" t="s">
        <v>715</v>
      </c>
      <c r="B16" s="104" t="s">
        <v>716</v>
      </c>
      <c r="C16" s="104" t="s">
        <v>126</v>
      </c>
      <c r="D16" s="104" t="s">
        <v>125</v>
      </c>
      <c r="E16" s="105">
        <v>95</v>
      </c>
      <c r="F16" s="104" t="s">
        <v>127</v>
      </c>
      <c r="G16" s="104" t="s">
        <v>717</v>
      </c>
      <c r="H16" s="104" t="s">
        <v>368</v>
      </c>
      <c r="I16" s="104" t="s">
        <v>362</v>
      </c>
      <c r="J16" s="105">
        <v>85</v>
      </c>
      <c r="K16" s="104" t="s">
        <v>364</v>
      </c>
    </row>
    <row r="17" spans="1:11" ht="30" customHeight="1" x14ac:dyDescent="0.25">
      <c r="A17" s="104" t="s">
        <v>718</v>
      </c>
      <c r="B17" s="104" t="s">
        <v>719</v>
      </c>
      <c r="C17" s="104" t="s">
        <v>218</v>
      </c>
      <c r="D17" s="104" t="s">
        <v>217</v>
      </c>
      <c r="E17" s="105">
        <v>90</v>
      </c>
      <c r="F17" s="104" t="s">
        <v>189</v>
      </c>
      <c r="G17" s="104" t="s">
        <v>714</v>
      </c>
      <c r="H17" s="104" t="s">
        <v>292</v>
      </c>
      <c r="I17" s="104" t="s">
        <v>291</v>
      </c>
      <c r="J17" s="105">
        <v>85</v>
      </c>
      <c r="K17" s="104" t="s">
        <v>189</v>
      </c>
    </row>
    <row r="18" spans="1:11" ht="30" customHeight="1" x14ac:dyDescent="0.25">
      <c r="A18" s="104" t="s">
        <v>720</v>
      </c>
      <c r="B18" s="104" t="s">
        <v>721</v>
      </c>
      <c r="C18" s="104" t="s">
        <v>425</v>
      </c>
      <c r="D18" s="104" t="s">
        <v>424</v>
      </c>
      <c r="E18" s="105">
        <v>85</v>
      </c>
      <c r="F18" s="104" t="s">
        <v>231</v>
      </c>
      <c r="G18" s="104" t="s">
        <v>717</v>
      </c>
      <c r="H18" s="104" t="s">
        <v>463</v>
      </c>
      <c r="I18" s="104" t="s">
        <v>462</v>
      </c>
      <c r="J18" s="105">
        <v>80</v>
      </c>
      <c r="K18" s="104" t="s">
        <v>145</v>
      </c>
    </row>
    <row r="19" spans="1:11" ht="30" customHeight="1" x14ac:dyDescent="0.25">
      <c r="A19" s="104" t="s">
        <v>722</v>
      </c>
      <c r="B19" s="104" t="s">
        <v>723</v>
      </c>
      <c r="C19" s="104" t="s">
        <v>266</v>
      </c>
      <c r="D19" s="104" t="s">
        <v>265</v>
      </c>
      <c r="E19" s="105">
        <v>95</v>
      </c>
      <c r="F19" s="104" t="s">
        <v>346</v>
      </c>
      <c r="G19" s="104" t="s">
        <v>714</v>
      </c>
      <c r="H19" s="104" t="s">
        <v>467</v>
      </c>
      <c r="I19" s="104" t="s">
        <v>466</v>
      </c>
      <c r="J19" s="105">
        <v>85</v>
      </c>
      <c r="K19" s="104" t="s">
        <v>206</v>
      </c>
    </row>
    <row r="22" spans="1:11" ht="24.95" customHeight="1" x14ac:dyDescent="0.25">
      <c r="A22" s="183" t="s">
        <v>724</v>
      </c>
      <c r="B22" s="146"/>
      <c r="C22" s="146"/>
      <c r="D22" s="146"/>
      <c r="E22" s="146"/>
      <c r="F22" s="146"/>
      <c r="G22" s="146"/>
      <c r="H22" s="146"/>
      <c r="I22" s="146"/>
      <c r="J22" s="146"/>
      <c r="K22" s="146"/>
    </row>
    <row r="23" spans="1:11" x14ac:dyDescent="0.25">
      <c r="A23" s="185" t="s">
        <v>725</v>
      </c>
      <c r="B23" s="146"/>
      <c r="C23" s="146"/>
      <c r="D23" s="146"/>
      <c r="E23" s="146"/>
      <c r="F23" s="146"/>
      <c r="G23" s="146"/>
      <c r="H23" s="146"/>
      <c r="I23" s="146"/>
      <c r="J23" s="146"/>
      <c r="K23" s="146"/>
    </row>
    <row r="25" spans="1:11" x14ac:dyDescent="0.25">
      <c r="A25" s="100" t="s">
        <v>726</v>
      </c>
      <c r="B25" s="100" t="s">
        <v>688</v>
      </c>
      <c r="C25" s="100" t="s">
        <v>727</v>
      </c>
      <c r="D25" s="100" t="s">
        <v>728</v>
      </c>
      <c r="E25" s="100" t="s">
        <v>729</v>
      </c>
      <c r="F25" s="100" t="s">
        <v>730</v>
      </c>
      <c r="G25" s="100" t="s">
        <v>731</v>
      </c>
      <c r="H25" s="100" t="s">
        <v>732</v>
      </c>
      <c r="I25" s="100" t="s">
        <v>733</v>
      </c>
      <c r="J25" s="100" t="s">
        <v>711</v>
      </c>
      <c r="K25" s="100" t="s">
        <v>734</v>
      </c>
    </row>
    <row r="26" spans="1:11" ht="45" customHeight="1" x14ac:dyDescent="0.25">
      <c r="A26" s="104" t="s">
        <v>735</v>
      </c>
      <c r="B26" s="104" t="s">
        <v>664</v>
      </c>
      <c r="C26" s="104" t="s">
        <v>736</v>
      </c>
      <c r="D26" s="104" t="s">
        <v>349</v>
      </c>
      <c r="E26" s="104" t="s">
        <v>344</v>
      </c>
      <c r="F26" s="104" t="s">
        <v>383</v>
      </c>
      <c r="G26" s="104" t="s">
        <v>169</v>
      </c>
      <c r="H26" s="104" t="s">
        <v>339</v>
      </c>
      <c r="I26" s="104" t="s">
        <v>737</v>
      </c>
      <c r="J26" s="104" t="s">
        <v>738</v>
      </c>
      <c r="K26" s="104" t="s">
        <v>739</v>
      </c>
    </row>
    <row r="27" spans="1:11" ht="30" customHeight="1" x14ac:dyDescent="0.25">
      <c r="A27" s="104" t="s">
        <v>698</v>
      </c>
      <c r="B27" s="104" t="s">
        <v>655</v>
      </c>
      <c r="C27" s="104" t="s">
        <v>740</v>
      </c>
      <c r="D27" s="104" t="s">
        <v>261</v>
      </c>
      <c r="E27" s="104" t="s">
        <v>217</v>
      </c>
      <c r="F27" s="104" t="s">
        <v>319</v>
      </c>
      <c r="G27" s="104" t="s">
        <v>229</v>
      </c>
      <c r="H27" s="104" t="s">
        <v>238</v>
      </c>
      <c r="I27" s="104" t="s">
        <v>741</v>
      </c>
      <c r="J27" s="104" t="s">
        <v>742</v>
      </c>
      <c r="K27" s="104" t="s">
        <v>743</v>
      </c>
    </row>
    <row r="28" spans="1:11" ht="45" customHeight="1" x14ac:dyDescent="0.25">
      <c r="A28" s="104" t="s">
        <v>644</v>
      </c>
      <c r="B28" s="104" t="s">
        <v>643</v>
      </c>
      <c r="C28" s="104" t="s">
        <v>744</v>
      </c>
      <c r="D28" s="104" t="s">
        <v>238</v>
      </c>
      <c r="E28" s="104" t="s">
        <v>252</v>
      </c>
      <c r="F28" s="104" t="s">
        <v>257</v>
      </c>
      <c r="G28" s="104" t="s">
        <v>229</v>
      </c>
      <c r="H28" s="104" t="s">
        <v>283</v>
      </c>
      <c r="I28" s="104" t="s">
        <v>737</v>
      </c>
      <c r="J28" s="104" t="s">
        <v>745</v>
      </c>
      <c r="K28" s="104" t="s">
        <v>746</v>
      </c>
    </row>
    <row r="29" spans="1:11" ht="30" customHeight="1" x14ac:dyDescent="0.25">
      <c r="A29" s="104" t="s">
        <v>650</v>
      </c>
      <c r="B29" s="104" t="s">
        <v>649</v>
      </c>
      <c r="C29" s="104" t="s">
        <v>747</v>
      </c>
      <c r="D29" s="104" t="s">
        <v>196</v>
      </c>
      <c r="E29" s="104" t="s">
        <v>200</v>
      </c>
      <c r="F29" s="104" t="s">
        <v>137</v>
      </c>
      <c r="G29" s="104" t="s">
        <v>125</v>
      </c>
      <c r="H29" s="104" t="s">
        <v>221</v>
      </c>
      <c r="I29" s="104" t="s">
        <v>748</v>
      </c>
      <c r="J29" s="104" t="s">
        <v>749</v>
      </c>
      <c r="K29" s="104" t="s">
        <v>750</v>
      </c>
    </row>
    <row r="30" spans="1:11" ht="45" customHeight="1" x14ac:dyDescent="0.25">
      <c r="A30" s="104" t="s">
        <v>680</v>
      </c>
      <c r="B30" s="104" t="s">
        <v>679</v>
      </c>
      <c r="C30" s="104" t="s">
        <v>751</v>
      </c>
      <c r="D30" s="104" t="s">
        <v>705</v>
      </c>
      <c r="E30" s="104" t="s">
        <v>424</v>
      </c>
      <c r="F30" s="104" t="s">
        <v>229</v>
      </c>
      <c r="G30" s="104" t="s">
        <v>174</v>
      </c>
      <c r="H30" s="104" t="s">
        <v>261</v>
      </c>
      <c r="I30" s="104" t="s">
        <v>741</v>
      </c>
      <c r="J30" s="104" t="s">
        <v>752</v>
      </c>
      <c r="K30" s="104" t="s">
        <v>753</v>
      </c>
    </row>
    <row r="33" spans="1:11" ht="15.75" customHeight="1" x14ac:dyDescent="0.25">
      <c r="A33" s="181" t="s">
        <v>754</v>
      </c>
      <c r="B33" s="146"/>
      <c r="C33" s="146"/>
      <c r="D33" s="146"/>
      <c r="E33" s="146"/>
      <c r="F33" s="146"/>
      <c r="G33" s="146"/>
      <c r="H33" s="146"/>
      <c r="I33" s="146"/>
      <c r="J33" s="146"/>
      <c r="K33" s="146"/>
    </row>
    <row r="34" spans="1:11" ht="24.95" customHeight="1" x14ac:dyDescent="0.25">
      <c r="A34" s="179" t="s">
        <v>755</v>
      </c>
      <c r="B34" s="146"/>
      <c r="C34" s="146"/>
      <c r="D34" s="146"/>
      <c r="E34" s="146"/>
      <c r="F34" s="146"/>
      <c r="G34" s="146"/>
      <c r="H34" s="146"/>
      <c r="I34" s="146"/>
      <c r="J34" s="146"/>
      <c r="K34" s="146"/>
    </row>
    <row r="35" spans="1:11" ht="24.95" customHeight="1" x14ac:dyDescent="0.25">
      <c r="A35" s="179" t="s">
        <v>756</v>
      </c>
      <c r="B35" s="146"/>
      <c r="C35" s="146"/>
      <c r="D35" s="146"/>
      <c r="E35" s="146"/>
      <c r="F35" s="146"/>
      <c r="G35" s="146"/>
      <c r="H35" s="146"/>
      <c r="I35" s="146"/>
      <c r="J35" s="146"/>
      <c r="K35" s="146"/>
    </row>
    <row r="36" spans="1:11" ht="24.95" customHeight="1" x14ac:dyDescent="0.25">
      <c r="A36" s="179" t="s">
        <v>757</v>
      </c>
      <c r="B36" s="146"/>
      <c r="C36" s="146"/>
      <c r="D36" s="146"/>
      <c r="E36" s="146"/>
      <c r="F36" s="146"/>
      <c r="G36" s="146"/>
      <c r="H36" s="146"/>
      <c r="I36" s="146"/>
      <c r="J36" s="146"/>
      <c r="K36" s="146"/>
    </row>
    <row r="37" spans="1:11" ht="24.95" customHeight="1" x14ac:dyDescent="0.25">
      <c r="A37" s="179" t="s">
        <v>758</v>
      </c>
      <c r="B37" s="146"/>
      <c r="C37" s="146"/>
      <c r="D37" s="146"/>
      <c r="E37" s="146"/>
      <c r="F37" s="146"/>
      <c r="G37" s="146"/>
      <c r="H37" s="146"/>
      <c r="I37" s="146"/>
      <c r="J37" s="146"/>
      <c r="K37" s="146"/>
    </row>
    <row r="38" spans="1:11" ht="24.95" customHeight="1" x14ac:dyDescent="0.25">
      <c r="A38" s="179" t="s">
        <v>759</v>
      </c>
      <c r="B38" s="146"/>
      <c r="C38" s="146"/>
      <c r="D38" s="146"/>
      <c r="E38" s="146"/>
      <c r="F38" s="146"/>
      <c r="G38" s="146"/>
      <c r="H38" s="146"/>
      <c r="I38" s="146"/>
      <c r="J38" s="146"/>
      <c r="K38" s="146"/>
    </row>
    <row r="39" spans="1:11" ht="24.95" customHeight="1" x14ac:dyDescent="0.25">
      <c r="A39" s="179" t="s">
        <v>760</v>
      </c>
      <c r="B39" s="146"/>
      <c r="C39" s="146"/>
      <c r="D39" s="146"/>
      <c r="E39" s="146"/>
      <c r="F39" s="146"/>
      <c r="G39" s="146"/>
      <c r="H39" s="146"/>
      <c r="I39" s="146"/>
      <c r="J39" s="146"/>
      <c r="K39" s="146"/>
    </row>
  </sheetData>
  <mergeCells count="13">
    <mergeCell ref="A1:K1"/>
    <mergeCell ref="A37:K37"/>
    <mergeCell ref="A39:K39"/>
    <mergeCell ref="A36:K36"/>
    <mergeCell ref="A38:K38"/>
    <mergeCell ref="A2:K2"/>
    <mergeCell ref="A33:K33"/>
    <mergeCell ref="A13:K13"/>
    <mergeCell ref="A22:K22"/>
    <mergeCell ref="A34:K34"/>
    <mergeCell ref="A35:K35"/>
    <mergeCell ref="A4:K4"/>
    <mergeCell ref="A23:K23"/>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50"/>
  <dimension ref="A1:E41"/>
  <sheetViews>
    <sheetView workbookViewId="0">
      <selection sqref="A1:E1"/>
    </sheetView>
  </sheetViews>
  <sheetFormatPr baseColWidth="10" defaultColWidth="9.140625" defaultRowHeight="15" x14ac:dyDescent="0.25"/>
  <cols>
    <col min="1" max="1" width="15" customWidth="1"/>
    <col min="2" max="2" width="35" customWidth="1"/>
    <col min="3" max="3" width="50" customWidth="1"/>
    <col min="4" max="4" width="12" customWidth="1"/>
    <col min="5" max="5" width="40" customWidth="1"/>
  </cols>
  <sheetData>
    <row r="1" spans="1:5" ht="30" customHeight="1" x14ac:dyDescent="0.25">
      <c r="A1" s="178" t="s">
        <v>761</v>
      </c>
      <c r="B1" s="146"/>
      <c r="C1" s="146"/>
      <c r="D1" s="146"/>
      <c r="E1" s="146"/>
    </row>
    <row r="2" spans="1:5" x14ac:dyDescent="0.25">
      <c r="A2" s="180" t="s">
        <v>762</v>
      </c>
      <c r="B2" s="146"/>
      <c r="C2" s="146"/>
      <c r="D2" s="146"/>
      <c r="E2" s="146"/>
    </row>
    <row r="4" spans="1:5" x14ac:dyDescent="0.25">
      <c r="A4" s="186" t="s">
        <v>763</v>
      </c>
      <c r="B4" s="146"/>
      <c r="C4" s="146"/>
      <c r="D4" s="146"/>
      <c r="E4" s="146"/>
    </row>
    <row r="5" spans="1:5" x14ac:dyDescent="0.25">
      <c r="A5" s="100" t="s">
        <v>764</v>
      </c>
      <c r="B5" s="100" t="s">
        <v>765</v>
      </c>
      <c r="C5" s="100" t="s">
        <v>766</v>
      </c>
      <c r="D5" s="100" t="s">
        <v>733</v>
      </c>
      <c r="E5" s="100" t="s">
        <v>767</v>
      </c>
    </row>
    <row r="6" spans="1:5" ht="30" customHeight="1" x14ac:dyDescent="0.25">
      <c r="A6" s="98" t="s">
        <v>664</v>
      </c>
      <c r="B6" s="98" t="s">
        <v>768</v>
      </c>
      <c r="C6" s="98" t="s">
        <v>769</v>
      </c>
      <c r="D6" s="98" t="s">
        <v>741</v>
      </c>
      <c r="E6" s="98" t="s">
        <v>770</v>
      </c>
    </row>
    <row r="7" spans="1:5" ht="30" customHeight="1" x14ac:dyDescent="0.25">
      <c r="A7" s="98" t="s">
        <v>655</v>
      </c>
      <c r="B7" s="98" t="s">
        <v>771</v>
      </c>
      <c r="C7" s="98" t="s">
        <v>772</v>
      </c>
      <c r="D7" s="98" t="s">
        <v>741</v>
      </c>
      <c r="E7" s="98" t="s">
        <v>773</v>
      </c>
    </row>
    <row r="8" spans="1:5" ht="30" customHeight="1" x14ac:dyDescent="0.25">
      <c r="A8" s="98" t="s">
        <v>679</v>
      </c>
      <c r="B8" s="98" t="s">
        <v>774</v>
      </c>
      <c r="C8" s="98" t="s">
        <v>775</v>
      </c>
      <c r="D8" s="98" t="s">
        <v>748</v>
      </c>
      <c r="E8" s="98" t="s">
        <v>776</v>
      </c>
    </row>
    <row r="9" spans="1:5" x14ac:dyDescent="0.25">
      <c r="A9" s="98" t="s">
        <v>667</v>
      </c>
      <c r="B9" s="98" t="s">
        <v>777</v>
      </c>
      <c r="C9" s="98" t="s">
        <v>778</v>
      </c>
      <c r="D9" s="98" t="s">
        <v>741</v>
      </c>
      <c r="E9" s="98" t="s">
        <v>779</v>
      </c>
    </row>
    <row r="10" spans="1:5" ht="30" customHeight="1" x14ac:dyDescent="0.25">
      <c r="A10" s="98" t="s">
        <v>643</v>
      </c>
      <c r="B10" s="98" t="s">
        <v>780</v>
      </c>
      <c r="C10" s="98" t="s">
        <v>781</v>
      </c>
      <c r="D10" s="98" t="s">
        <v>741</v>
      </c>
      <c r="E10" s="98" t="s">
        <v>782</v>
      </c>
    </row>
    <row r="11" spans="1:5" ht="30" customHeight="1" x14ac:dyDescent="0.25">
      <c r="A11" s="98" t="s">
        <v>670</v>
      </c>
      <c r="B11" s="98" t="s">
        <v>783</v>
      </c>
      <c r="C11" s="98" t="s">
        <v>784</v>
      </c>
      <c r="D11" s="98" t="s">
        <v>748</v>
      </c>
      <c r="E11" s="98" t="s">
        <v>785</v>
      </c>
    </row>
    <row r="12" spans="1:5" ht="30" customHeight="1" x14ac:dyDescent="0.25">
      <c r="A12" s="98" t="s">
        <v>649</v>
      </c>
      <c r="B12" s="98" t="s">
        <v>786</v>
      </c>
      <c r="C12" s="98" t="s">
        <v>787</v>
      </c>
      <c r="D12" s="98" t="s">
        <v>748</v>
      </c>
      <c r="E12" s="98" t="s">
        <v>788</v>
      </c>
    </row>
    <row r="13" spans="1:5" x14ac:dyDescent="0.25">
      <c r="A13" s="98" t="s">
        <v>640</v>
      </c>
      <c r="B13" s="98" t="s">
        <v>641</v>
      </c>
      <c r="C13" s="98" t="s">
        <v>789</v>
      </c>
      <c r="D13" s="98" t="s">
        <v>748</v>
      </c>
      <c r="E13" s="98" t="s">
        <v>790</v>
      </c>
    </row>
    <row r="14" spans="1:5" x14ac:dyDescent="0.25">
      <c r="A14" s="98" t="s">
        <v>658</v>
      </c>
      <c r="B14" s="98" t="s">
        <v>791</v>
      </c>
      <c r="C14" s="98" t="s">
        <v>792</v>
      </c>
      <c r="D14" s="98" t="s">
        <v>793</v>
      </c>
      <c r="E14" s="98" t="s">
        <v>794</v>
      </c>
    </row>
    <row r="15" spans="1:5" x14ac:dyDescent="0.25">
      <c r="A15" s="98" t="s">
        <v>646</v>
      </c>
      <c r="B15" s="98" t="s">
        <v>795</v>
      </c>
      <c r="C15" s="98" t="s">
        <v>796</v>
      </c>
      <c r="D15" s="98" t="s">
        <v>793</v>
      </c>
      <c r="E15" s="98" t="s">
        <v>797</v>
      </c>
    </row>
    <row r="16" spans="1:5" x14ac:dyDescent="0.25">
      <c r="A16" s="98" t="s">
        <v>676</v>
      </c>
      <c r="B16" s="98" t="s">
        <v>798</v>
      </c>
      <c r="C16" s="98" t="s">
        <v>799</v>
      </c>
      <c r="D16" s="98" t="s">
        <v>793</v>
      </c>
      <c r="E16" s="98" t="s">
        <v>800</v>
      </c>
    </row>
    <row r="17" spans="1:5" x14ac:dyDescent="0.25">
      <c r="A17" s="98" t="s">
        <v>652</v>
      </c>
      <c r="B17" s="98" t="s">
        <v>801</v>
      </c>
      <c r="C17" s="98" t="s">
        <v>802</v>
      </c>
      <c r="D17" s="98" t="s">
        <v>793</v>
      </c>
      <c r="E17" s="98" t="s">
        <v>803</v>
      </c>
    </row>
    <row r="20" spans="1:5" x14ac:dyDescent="0.25">
      <c r="A20" s="187" t="s">
        <v>804</v>
      </c>
      <c r="B20" s="146"/>
      <c r="C20" s="146"/>
      <c r="D20" s="146"/>
      <c r="E20" s="146"/>
    </row>
    <row r="21" spans="1:5" x14ac:dyDescent="0.25">
      <c r="A21" s="100" t="s">
        <v>805</v>
      </c>
      <c r="B21" s="100" t="s">
        <v>106</v>
      </c>
      <c r="C21" s="100" t="s">
        <v>766</v>
      </c>
      <c r="D21" s="100" t="s">
        <v>710</v>
      </c>
      <c r="E21" s="100" t="s">
        <v>711</v>
      </c>
    </row>
    <row r="22" spans="1:5" ht="30" customHeight="1" x14ac:dyDescent="0.25">
      <c r="A22" s="98" t="s">
        <v>125</v>
      </c>
      <c r="B22" s="98" t="s">
        <v>126</v>
      </c>
      <c r="C22" s="98" t="s">
        <v>806</v>
      </c>
      <c r="D22" s="98" t="s">
        <v>127</v>
      </c>
      <c r="E22" s="98" t="s">
        <v>717</v>
      </c>
    </row>
    <row r="23" spans="1:5" ht="30" customHeight="1" x14ac:dyDescent="0.25">
      <c r="A23" s="98" t="s">
        <v>344</v>
      </c>
      <c r="B23" s="98" t="s">
        <v>345</v>
      </c>
      <c r="C23" s="98" t="s">
        <v>807</v>
      </c>
      <c r="D23" s="98" t="s">
        <v>808</v>
      </c>
      <c r="E23" s="98" t="s">
        <v>714</v>
      </c>
    </row>
    <row r="24" spans="1:5" ht="30" customHeight="1" x14ac:dyDescent="0.25">
      <c r="A24" s="98" t="s">
        <v>349</v>
      </c>
      <c r="B24" s="98" t="s">
        <v>350</v>
      </c>
      <c r="C24" s="98" t="s">
        <v>809</v>
      </c>
      <c r="D24" s="98" t="s">
        <v>346</v>
      </c>
      <c r="E24" s="98" t="s">
        <v>714</v>
      </c>
    </row>
    <row r="25" spans="1:5" ht="30" customHeight="1" x14ac:dyDescent="0.25">
      <c r="A25" s="98" t="s">
        <v>132</v>
      </c>
      <c r="B25" s="98" t="s">
        <v>133</v>
      </c>
      <c r="C25" s="98" t="s">
        <v>810</v>
      </c>
      <c r="D25" s="98" t="s">
        <v>808</v>
      </c>
      <c r="E25" s="98" t="s">
        <v>717</v>
      </c>
    </row>
    <row r="26" spans="1:5" ht="30" customHeight="1" x14ac:dyDescent="0.25">
      <c r="A26" s="98" t="s">
        <v>229</v>
      </c>
      <c r="B26" s="98" t="s">
        <v>230</v>
      </c>
      <c r="C26" s="98" t="s">
        <v>811</v>
      </c>
      <c r="D26" s="98" t="s">
        <v>231</v>
      </c>
      <c r="E26" s="98" t="s">
        <v>812</v>
      </c>
    </row>
    <row r="27" spans="1:5" ht="30" customHeight="1" x14ac:dyDescent="0.25">
      <c r="A27" s="98" t="s">
        <v>238</v>
      </c>
      <c r="B27" s="98" t="s">
        <v>239</v>
      </c>
      <c r="C27" s="98" t="s">
        <v>813</v>
      </c>
      <c r="D27" s="98" t="s">
        <v>231</v>
      </c>
      <c r="E27" s="98" t="s">
        <v>717</v>
      </c>
    </row>
    <row r="28" spans="1:5" ht="30" customHeight="1" x14ac:dyDescent="0.25">
      <c r="A28" s="98" t="s">
        <v>257</v>
      </c>
      <c r="B28" s="98" t="s">
        <v>258</v>
      </c>
      <c r="C28" s="98" t="s">
        <v>814</v>
      </c>
      <c r="D28" s="98" t="s">
        <v>231</v>
      </c>
      <c r="E28" s="98" t="s">
        <v>812</v>
      </c>
    </row>
    <row r="29" spans="1:5" ht="30" customHeight="1" x14ac:dyDescent="0.25">
      <c r="A29" s="98" t="s">
        <v>265</v>
      </c>
      <c r="B29" s="98" t="s">
        <v>266</v>
      </c>
      <c r="C29" s="98" t="s">
        <v>815</v>
      </c>
      <c r="D29" s="98" t="s">
        <v>346</v>
      </c>
      <c r="E29" s="98" t="s">
        <v>714</v>
      </c>
    </row>
    <row r="30" spans="1:5" ht="30" customHeight="1" x14ac:dyDescent="0.25">
      <c r="A30" s="98" t="s">
        <v>424</v>
      </c>
      <c r="B30" s="98" t="s">
        <v>425</v>
      </c>
      <c r="C30" s="98" t="s">
        <v>816</v>
      </c>
      <c r="D30" s="98" t="s">
        <v>231</v>
      </c>
      <c r="E30" s="98" t="s">
        <v>717</v>
      </c>
    </row>
    <row r="31" spans="1:5" ht="30" customHeight="1" x14ac:dyDescent="0.25">
      <c r="A31" s="98" t="s">
        <v>169</v>
      </c>
      <c r="B31" s="98" t="s">
        <v>170</v>
      </c>
      <c r="C31" s="98" t="s">
        <v>817</v>
      </c>
      <c r="D31" s="98" t="s">
        <v>145</v>
      </c>
      <c r="E31" s="98" t="s">
        <v>717</v>
      </c>
    </row>
    <row r="32" spans="1:5" x14ac:dyDescent="0.25">
      <c r="A32" s="98" t="s">
        <v>174</v>
      </c>
      <c r="B32" s="98" t="s">
        <v>175</v>
      </c>
      <c r="C32" s="98" t="s">
        <v>818</v>
      </c>
      <c r="D32" s="98" t="s">
        <v>145</v>
      </c>
      <c r="E32" s="98" t="s">
        <v>812</v>
      </c>
    </row>
    <row r="33" spans="1:5" x14ac:dyDescent="0.25">
      <c r="A33" s="98" t="s">
        <v>261</v>
      </c>
      <c r="B33" s="98" t="s">
        <v>262</v>
      </c>
      <c r="C33" s="98" t="s">
        <v>819</v>
      </c>
      <c r="D33" s="98" t="s">
        <v>145</v>
      </c>
      <c r="E33" s="98" t="s">
        <v>812</v>
      </c>
    </row>
    <row r="34" spans="1:5" ht="30" customHeight="1" x14ac:dyDescent="0.25">
      <c r="A34" s="98" t="s">
        <v>217</v>
      </c>
      <c r="B34" s="98" t="s">
        <v>218</v>
      </c>
      <c r="C34" s="98" t="s">
        <v>820</v>
      </c>
      <c r="D34" s="98" t="s">
        <v>189</v>
      </c>
      <c r="E34" s="98" t="s">
        <v>717</v>
      </c>
    </row>
    <row r="35" spans="1:5" ht="30" customHeight="1" x14ac:dyDescent="0.25">
      <c r="A35" s="98" t="s">
        <v>291</v>
      </c>
      <c r="B35" s="98" t="s">
        <v>292</v>
      </c>
      <c r="C35" s="98" t="s">
        <v>821</v>
      </c>
      <c r="D35" s="98" t="s">
        <v>189</v>
      </c>
      <c r="E35" s="98" t="s">
        <v>714</v>
      </c>
    </row>
    <row r="36" spans="1:5" ht="30" customHeight="1" x14ac:dyDescent="0.25">
      <c r="A36" s="98" t="s">
        <v>209</v>
      </c>
      <c r="B36" s="98" t="s">
        <v>210</v>
      </c>
      <c r="C36" s="98" t="s">
        <v>822</v>
      </c>
      <c r="D36" s="98" t="s">
        <v>189</v>
      </c>
      <c r="E36" s="98" t="s">
        <v>714</v>
      </c>
    </row>
    <row r="37" spans="1:5" ht="30" customHeight="1" x14ac:dyDescent="0.25">
      <c r="A37" s="98" t="s">
        <v>362</v>
      </c>
      <c r="B37" s="98" t="s">
        <v>368</v>
      </c>
      <c r="C37" s="98" t="s">
        <v>823</v>
      </c>
      <c r="D37" s="98" t="s">
        <v>364</v>
      </c>
      <c r="E37" s="98" t="s">
        <v>812</v>
      </c>
    </row>
    <row r="38" spans="1:5" ht="30" customHeight="1" x14ac:dyDescent="0.25">
      <c r="A38" s="98" t="s">
        <v>137</v>
      </c>
      <c r="B38" s="98" t="s">
        <v>138</v>
      </c>
      <c r="C38" s="98" t="s">
        <v>824</v>
      </c>
      <c r="D38" s="98" t="s">
        <v>127</v>
      </c>
      <c r="E38" s="98" t="s">
        <v>812</v>
      </c>
    </row>
    <row r="39" spans="1:5" ht="30" customHeight="1" x14ac:dyDescent="0.25">
      <c r="A39" s="98" t="s">
        <v>339</v>
      </c>
      <c r="B39" s="98" t="s">
        <v>340</v>
      </c>
      <c r="C39" s="98" t="s">
        <v>825</v>
      </c>
      <c r="D39" s="98" t="s">
        <v>826</v>
      </c>
      <c r="E39" s="98" t="s">
        <v>717</v>
      </c>
    </row>
    <row r="40" spans="1:5" ht="30" customHeight="1" x14ac:dyDescent="0.25">
      <c r="A40" s="98" t="s">
        <v>252</v>
      </c>
      <c r="B40" s="98" t="s">
        <v>827</v>
      </c>
      <c r="C40" s="98" t="s">
        <v>828</v>
      </c>
      <c r="D40" s="98" t="s">
        <v>206</v>
      </c>
      <c r="E40" s="98" t="s">
        <v>717</v>
      </c>
    </row>
    <row r="41" spans="1:5" ht="30" customHeight="1" x14ac:dyDescent="0.25">
      <c r="A41" s="98" t="s">
        <v>466</v>
      </c>
      <c r="B41" s="98" t="s">
        <v>467</v>
      </c>
      <c r="C41" s="98" t="s">
        <v>829</v>
      </c>
      <c r="D41" s="98" t="s">
        <v>206</v>
      </c>
      <c r="E41" s="98" t="s">
        <v>812</v>
      </c>
    </row>
  </sheetData>
  <mergeCells count="4">
    <mergeCell ref="A2:E2"/>
    <mergeCell ref="A1:E1"/>
    <mergeCell ref="A4:E4"/>
    <mergeCell ref="A20:E20"/>
  </mergeCell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51"/>
  <dimension ref="A1:F44"/>
  <sheetViews>
    <sheetView workbookViewId="0">
      <selection sqref="A1:F1"/>
    </sheetView>
  </sheetViews>
  <sheetFormatPr baseColWidth="10" defaultColWidth="9.140625" defaultRowHeight="15" x14ac:dyDescent="0.25"/>
  <cols>
    <col min="1" max="1" width="15" customWidth="1"/>
    <col min="2" max="2" width="80" customWidth="1"/>
  </cols>
  <sheetData>
    <row r="1" spans="1:6" ht="30" customHeight="1" x14ac:dyDescent="0.25">
      <c r="A1" s="178" t="s">
        <v>830</v>
      </c>
      <c r="B1" s="146"/>
      <c r="C1" s="146"/>
      <c r="D1" s="146"/>
      <c r="E1" s="146"/>
      <c r="F1" s="146"/>
    </row>
    <row r="4" spans="1:6" ht="24.95" customHeight="1" x14ac:dyDescent="0.25">
      <c r="A4" s="183" t="s">
        <v>831</v>
      </c>
      <c r="B4" s="146"/>
      <c r="C4" s="146"/>
      <c r="D4" s="146"/>
      <c r="E4" s="146"/>
      <c r="F4" s="146"/>
    </row>
    <row r="5" spans="1:6" ht="20.100000000000001" customHeight="1" x14ac:dyDescent="0.25">
      <c r="B5" s="188" t="s">
        <v>832</v>
      </c>
      <c r="C5" s="146"/>
      <c r="D5" s="146"/>
      <c r="E5" s="146"/>
      <c r="F5" s="146"/>
    </row>
    <row r="6" spans="1:6" ht="20.100000000000001" customHeight="1" x14ac:dyDescent="0.25">
      <c r="B6" s="188" t="s">
        <v>833</v>
      </c>
      <c r="C6" s="146"/>
      <c r="D6" s="146"/>
      <c r="E6" s="146"/>
      <c r="F6" s="146"/>
    </row>
    <row r="7" spans="1:6" ht="20.100000000000001" customHeight="1" x14ac:dyDescent="0.25">
      <c r="B7" s="188" t="s">
        <v>834</v>
      </c>
      <c r="C7" s="146"/>
      <c r="D7" s="146"/>
      <c r="E7" s="146"/>
      <c r="F7" s="146"/>
    </row>
    <row r="9" spans="1:6" ht="20.100000000000001" customHeight="1" x14ac:dyDescent="0.25">
      <c r="B9" s="188" t="s">
        <v>835</v>
      </c>
      <c r="C9" s="146"/>
      <c r="D9" s="146"/>
      <c r="E9" s="146"/>
      <c r="F9" s="146"/>
    </row>
    <row r="11" spans="1:6" ht="24.95" customHeight="1" x14ac:dyDescent="0.25">
      <c r="A11" s="183" t="s">
        <v>836</v>
      </c>
      <c r="B11" s="146"/>
      <c r="C11" s="146"/>
      <c r="D11" s="146"/>
      <c r="E11" s="146"/>
      <c r="F11" s="146"/>
    </row>
    <row r="12" spans="1:6" ht="20.100000000000001" customHeight="1" x14ac:dyDescent="0.25">
      <c r="A12" t="s">
        <v>837</v>
      </c>
      <c r="B12" s="188" t="s">
        <v>838</v>
      </c>
      <c r="C12" s="146"/>
      <c r="D12" s="146"/>
      <c r="E12" s="146"/>
      <c r="F12" s="146"/>
    </row>
    <row r="13" spans="1:6" ht="20.100000000000001" customHeight="1" x14ac:dyDescent="0.25">
      <c r="A13" t="s">
        <v>839</v>
      </c>
      <c r="B13" s="188" t="s">
        <v>840</v>
      </c>
      <c r="C13" s="146"/>
      <c r="D13" s="146"/>
      <c r="E13" s="146"/>
      <c r="F13" s="146"/>
    </row>
    <row r="14" spans="1:6" ht="20.100000000000001" customHeight="1" x14ac:dyDescent="0.25">
      <c r="A14" t="s">
        <v>841</v>
      </c>
      <c r="B14" s="188" t="s">
        <v>842</v>
      </c>
      <c r="C14" s="146"/>
      <c r="D14" s="146"/>
      <c r="E14" s="146"/>
      <c r="F14" s="146"/>
    </row>
    <row r="15" spans="1:6" ht="20.100000000000001" customHeight="1" x14ac:dyDescent="0.25">
      <c r="A15" t="s">
        <v>843</v>
      </c>
      <c r="B15" s="188" t="s">
        <v>844</v>
      </c>
      <c r="C15" s="146"/>
      <c r="D15" s="146"/>
      <c r="E15" s="146"/>
      <c r="F15" s="146"/>
    </row>
    <row r="17" spans="1:6" ht="24.95" customHeight="1" x14ac:dyDescent="0.25">
      <c r="A17" s="183" t="s">
        <v>845</v>
      </c>
      <c r="B17" s="146"/>
      <c r="C17" s="146"/>
      <c r="D17" s="146"/>
      <c r="E17" s="146"/>
      <c r="F17" s="146"/>
    </row>
    <row r="18" spans="1:6" ht="20.100000000000001" customHeight="1" x14ac:dyDescent="0.25">
      <c r="A18" t="s">
        <v>837</v>
      </c>
      <c r="B18" s="188" t="s">
        <v>846</v>
      </c>
      <c r="C18" s="146"/>
      <c r="D18" s="146"/>
      <c r="E18" s="146"/>
      <c r="F18" s="146"/>
    </row>
    <row r="19" spans="1:6" ht="20.100000000000001" customHeight="1" x14ac:dyDescent="0.25">
      <c r="A19" t="s">
        <v>839</v>
      </c>
      <c r="B19" s="188" t="s">
        <v>847</v>
      </c>
      <c r="C19" s="146"/>
      <c r="D19" s="146"/>
      <c r="E19" s="146"/>
      <c r="F19" s="146"/>
    </row>
    <row r="20" spans="1:6" ht="20.100000000000001" customHeight="1" x14ac:dyDescent="0.25">
      <c r="A20" t="s">
        <v>841</v>
      </c>
      <c r="B20" s="188" t="s">
        <v>848</v>
      </c>
      <c r="C20" s="146"/>
      <c r="D20" s="146"/>
      <c r="E20" s="146"/>
      <c r="F20" s="146"/>
    </row>
    <row r="21" spans="1:6" ht="20.100000000000001" customHeight="1" x14ac:dyDescent="0.25">
      <c r="A21" t="s">
        <v>843</v>
      </c>
      <c r="B21" s="188" t="s">
        <v>849</v>
      </c>
      <c r="C21" s="146"/>
      <c r="D21" s="146"/>
      <c r="E21" s="146"/>
      <c r="F21" s="146"/>
    </row>
    <row r="23" spans="1:6" ht="24.95" customHeight="1" x14ac:dyDescent="0.25">
      <c r="A23" s="183" t="s">
        <v>850</v>
      </c>
      <c r="B23" s="146"/>
      <c r="C23" s="146"/>
      <c r="D23" s="146"/>
      <c r="E23" s="146"/>
      <c r="F23" s="146"/>
    </row>
    <row r="24" spans="1:6" ht="20.100000000000001" customHeight="1" x14ac:dyDescent="0.25">
      <c r="B24" s="188" t="s">
        <v>851</v>
      </c>
      <c r="C24" s="146"/>
      <c r="D24" s="146"/>
      <c r="E24" s="146"/>
      <c r="F24" s="146"/>
    </row>
    <row r="25" spans="1:6" ht="20.100000000000001" customHeight="1" x14ac:dyDescent="0.25">
      <c r="A25" t="s">
        <v>852</v>
      </c>
      <c r="B25" s="188" t="s">
        <v>853</v>
      </c>
      <c r="C25" s="146"/>
      <c r="D25" s="146"/>
      <c r="E25" s="146"/>
      <c r="F25" s="146"/>
    </row>
    <row r="26" spans="1:6" ht="20.100000000000001" customHeight="1" x14ac:dyDescent="0.25">
      <c r="A26" t="s">
        <v>854</v>
      </c>
      <c r="B26" s="188" t="s">
        <v>855</v>
      </c>
      <c r="C26" s="146"/>
      <c r="D26" s="146"/>
      <c r="E26" s="146"/>
      <c r="F26" s="146"/>
    </row>
    <row r="28" spans="1:6" ht="24.95" customHeight="1" x14ac:dyDescent="0.25">
      <c r="A28" s="183" t="s">
        <v>856</v>
      </c>
      <c r="B28" s="146"/>
      <c r="C28" s="146"/>
      <c r="D28" s="146"/>
      <c r="E28" s="146"/>
      <c r="F28" s="146"/>
    </row>
    <row r="29" spans="1:6" ht="20.100000000000001" customHeight="1" x14ac:dyDescent="0.25">
      <c r="A29" t="s">
        <v>857</v>
      </c>
      <c r="B29" s="188" t="s">
        <v>858</v>
      </c>
      <c r="C29" s="146"/>
      <c r="D29" s="146"/>
      <c r="E29" s="146"/>
      <c r="F29" s="146"/>
    </row>
    <row r="30" spans="1:6" ht="20.100000000000001" customHeight="1" x14ac:dyDescent="0.25">
      <c r="A30" t="s">
        <v>859</v>
      </c>
      <c r="B30" s="188" t="s">
        <v>860</v>
      </c>
      <c r="C30" s="146"/>
      <c r="D30" s="146"/>
      <c r="E30" s="146"/>
      <c r="F30" s="146"/>
    </row>
    <row r="31" spans="1:6" ht="20.100000000000001" customHeight="1" x14ac:dyDescent="0.25">
      <c r="A31" t="s">
        <v>861</v>
      </c>
      <c r="B31" s="188" t="s">
        <v>862</v>
      </c>
      <c r="C31" s="146"/>
      <c r="D31" s="146"/>
      <c r="E31" s="146"/>
      <c r="F31" s="146"/>
    </row>
    <row r="32" spans="1:6" ht="20.100000000000001" customHeight="1" x14ac:dyDescent="0.25">
      <c r="A32" t="s">
        <v>863</v>
      </c>
      <c r="B32" s="188" t="s">
        <v>864</v>
      </c>
      <c r="C32" s="146"/>
      <c r="D32" s="146"/>
      <c r="E32" s="146"/>
      <c r="F32" s="146"/>
    </row>
    <row r="33" spans="1:6" ht="20.100000000000001" customHeight="1" x14ac:dyDescent="0.25">
      <c r="A33" t="s">
        <v>865</v>
      </c>
      <c r="B33" s="188" t="s">
        <v>866</v>
      </c>
      <c r="C33" s="146"/>
      <c r="D33" s="146"/>
      <c r="E33" s="146"/>
      <c r="F33" s="146"/>
    </row>
    <row r="35" spans="1:6" ht="24.95" customHeight="1" x14ac:dyDescent="0.25">
      <c r="A35" s="183" t="s">
        <v>867</v>
      </c>
      <c r="B35" s="146"/>
      <c r="C35" s="146"/>
      <c r="D35" s="146"/>
      <c r="E35" s="146"/>
      <c r="F35" s="146"/>
    </row>
    <row r="36" spans="1:6" ht="20.100000000000001" customHeight="1" x14ac:dyDescent="0.25">
      <c r="A36" t="s">
        <v>868</v>
      </c>
      <c r="B36" s="188" t="s">
        <v>869</v>
      </c>
      <c r="C36" s="146"/>
      <c r="D36" s="146"/>
      <c r="E36" s="146"/>
      <c r="F36" s="146"/>
    </row>
    <row r="37" spans="1:6" ht="20.100000000000001" customHeight="1" x14ac:dyDescent="0.25">
      <c r="A37" t="s">
        <v>870</v>
      </c>
      <c r="B37" s="188" t="s">
        <v>871</v>
      </c>
      <c r="C37" s="146"/>
      <c r="D37" s="146"/>
      <c r="E37" s="146"/>
      <c r="F37" s="146"/>
    </row>
    <row r="38" spans="1:6" ht="20.100000000000001" customHeight="1" x14ac:dyDescent="0.25">
      <c r="A38" t="s">
        <v>872</v>
      </c>
      <c r="B38" s="188" t="s">
        <v>873</v>
      </c>
      <c r="C38" s="146"/>
      <c r="D38" s="146"/>
      <c r="E38" s="146"/>
      <c r="F38" s="146"/>
    </row>
    <row r="39" spans="1:6" ht="20.100000000000001" customHeight="1" x14ac:dyDescent="0.25">
      <c r="A39" t="s">
        <v>874</v>
      </c>
      <c r="B39" s="188" t="s">
        <v>875</v>
      </c>
      <c r="C39" s="146"/>
      <c r="D39" s="146"/>
      <c r="E39" s="146"/>
      <c r="F39" s="146"/>
    </row>
    <row r="41" spans="1:6" ht="20.100000000000001" customHeight="1" x14ac:dyDescent="0.25">
      <c r="A41" t="s">
        <v>876</v>
      </c>
      <c r="B41" s="188" t="s">
        <v>877</v>
      </c>
      <c r="C41" s="146"/>
      <c r="D41" s="146"/>
      <c r="E41" s="146"/>
      <c r="F41" s="146"/>
    </row>
    <row r="42" spans="1:6" ht="20.100000000000001" customHeight="1" x14ac:dyDescent="0.25">
      <c r="A42" t="s">
        <v>870</v>
      </c>
      <c r="B42" s="188" t="s">
        <v>878</v>
      </c>
      <c r="C42" s="146"/>
      <c r="D42" s="146"/>
      <c r="E42" s="146"/>
      <c r="F42" s="146"/>
    </row>
    <row r="43" spans="1:6" ht="20.100000000000001" customHeight="1" x14ac:dyDescent="0.25">
      <c r="A43" t="s">
        <v>872</v>
      </c>
      <c r="B43" s="188" t="s">
        <v>879</v>
      </c>
      <c r="C43" s="146"/>
      <c r="D43" s="146"/>
      <c r="E43" s="146"/>
      <c r="F43" s="146"/>
    </row>
    <row r="44" spans="1:6" ht="20.100000000000001" customHeight="1" x14ac:dyDescent="0.25">
      <c r="A44" t="s">
        <v>874</v>
      </c>
      <c r="B44" s="188" t="s">
        <v>880</v>
      </c>
      <c r="C44" s="146"/>
      <c r="D44" s="146"/>
      <c r="E44" s="146"/>
      <c r="F44" s="146"/>
    </row>
  </sheetData>
  <mergeCells count="35">
    <mergeCell ref="A17:F17"/>
    <mergeCell ref="B7:F7"/>
    <mergeCell ref="B25:F25"/>
    <mergeCell ref="A35:F35"/>
    <mergeCell ref="B33:F33"/>
    <mergeCell ref="B41:F41"/>
    <mergeCell ref="A1:F1"/>
    <mergeCell ref="B5:F5"/>
    <mergeCell ref="B36:F36"/>
    <mergeCell ref="B32:F32"/>
    <mergeCell ref="B26:F26"/>
    <mergeCell ref="A4:F4"/>
    <mergeCell ref="B14:F14"/>
    <mergeCell ref="B13:F13"/>
    <mergeCell ref="B9:F9"/>
    <mergeCell ref="A11:F11"/>
    <mergeCell ref="B6:F6"/>
    <mergeCell ref="B15:F15"/>
    <mergeCell ref="B12:F12"/>
    <mergeCell ref="B31:F31"/>
    <mergeCell ref="B18:F18"/>
    <mergeCell ref="B21:F21"/>
    <mergeCell ref="B44:F44"/>
    <mergeCell ref="B29:F29"/>
    <mergeCell ref="A28:F28"/>
    <mergeCell ref="B38:F38"/>
    <mergeCell ref="B19:F19"/>
    <mergeCell ref="B37:F37"/>
    <mergeCell ref="B30:F30"/>
    <mergeCell ref="B24:F24"/>
    <mergeCell ref="B20:F20"/>
    <mergeCell ref="B43:F43"/>
    <mergeCell ref="B39:F39"/>
    <mergeCell ref="B42:F42"/>
    <mergeCell ref="A23:F23"/>
  </mergeCell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52"/>
  <dimension ref="A1:J18"/>
  <sheetViews>
    <sheetView workbookViewId="0">
      <selection activeCell="A16" sqref="A16:J16"/>
    </sheetView>
  </sheetViews>
  <sheetFormatPr baseColWidth="10" defaultColWidth="9.140625" defaultRowHeight="15" x14ac:dyDescent="0.25"/>
  <cols>
    <col min="1" max="1" width="30" customWidth="1"/>
    <col min="2" max="2" width="40" customWidth="1"/>
    <col min="3" max="3" width="35" customWidth="1"/>
    <col min="4" max="4" width="10" customWidth="1"/>
    <col min="5" max="10" width="15" customWidth="1"/>
  </cols>
  <sheetData>
    <row r="1" spans="1:10" ht="18.75" customHeight="1" x14ac:dyDescent="0.25">
      <c r="A1" s="178" t="s">
        <v>881</v>
      </c>
      <c r="B1" s="146"/>
      <c r="C1" s="146"/>
      <c r="D1" s="146"/>
      <c r="E1" s="146"/>
      <c r="F1" s="146"/>
      <c r="G1" s="146"/>
      <c r="H1" s="146"/>
      <c r="I1" s="146"/>
      <c r="J1" s="146"/>
    </row>
    <row r="2" spans="1:10" x14ac:dyDescent="0.25">
      <c r="A2" s="180" t="s">
        <v>882</v>
      </c>
      <c r="B2" s="146"/>
      <c r="C2" s="146"/>
      <c r="D2" s="146"/>
      <c r="E2" s="146"/>
      <c r="F2" s="146"/>
      <c r="G2" s="146"/>
      <c r="H2" s="146"/>
      <c r="I2" s="146"/>
      <c r="J2" s="146"/>
    </row>
    <row r="4" spans="1:10" ht="15.75" customHeight="1" x14ac:dyDescent="0.25">
      <c r="A4" s="184" t="s">
        <v>883</v>
      </c>
      <c r="B4" s="146"/>
      <c r="C4" s="146"/>
      <c r="D4" s="146"/>
      <c r="E4" s="146"/>
      <c r="F4" s="146"/>
      <c r="G4" s="146"/>
      <c r="H4" s="146"/>
      <c r="I4" s="146"/>
      <c r="J4" s="146"/>
    </row>
    <row r="5" spans="1:10" ht="30" customHeight="1" x14ac:dyDescent="0.25">
      <c r="A5" s="100" t="s">
        <v>868</v>
      </c>
      <c r="B5" s="100" t="s">
        <v>108</v>
      </c>
      <c r="C5" s="100" t="s">
        <v>884</v>
      </c>
      <c r="D5" s="100" t="s">
        <v>885</v>
      </c>
      <c r="E5" s="100" t="s">
        <v>690</v>
      </c>
      <c r="F5" s="100" t="s">
        <v>691</v>
      </c>
      <c r="G5" s="100" t="s">
        <v>692</v>
      </c>
      <c r="H5" s="100" t="s">
        <v>691</v>
      </c>
      <c r="I5" s="100" t="s">
        <v>886</v>
      </c>
      <c r="J5" s="100" t="s">
        <v>691</v>
      </c>
    </row>
    <row r="8" spans="1:10" ht="15.75" customHeight="1" x14ac:dyDescent="0.25">
      <c r="A8" s="182" t="s">
        <v>887</v>
      </c>
      <c r="B8" s="146"/>
      <c r="C8" s="146"/>
      <c r="D8" s="146"/>
      <c r="E8" s="146"/>
      <c r="F8" s="146"/>
      <c r="G8" s="146"/>
      <c r="H8" s="146"/>
      <c r="I8" s="146"/>
      <c r="J8" s="146"/>
    </row>
    <row r="9" spans="1:10" ht="30" customHeight="1" x14ac:dyDescent="0.25">
      <c r="A9" s="100" t="s">
        <v>876</v>
      </c>
      <c r="B9" s="100" t="s">
        <v>108</v>
      </c>
      <c r="C9" s="100" t="s">
        <v>690</v>
      </c>
      <c r="D9" s="100" t="s">
        <v>691</v>
      </c>
      <c r="E9" s="100" t="s">
        <v>692</v>
      </c>
      <c r="F9" s="100" t="s">
        <v>691</v>
      </c>
      <c r="G9" s="100" t="s">
        <v>886</v>
      </c>
      <c r="H9" s="100" t="s">
        <v>691</v>
      </c>
      <c r="I9" s="100" t="s">
        <v>888</v>
      </c>
      <c r="J9" s="100" t="s">
        <v>711</v>
      </c>
    </row>
    <row r="12" spans="1:10" x14ac:dyDescent="0.25">
      <c r="A12" s="189" t="s">
        <v>889</v>
      </c>
      <c r="B12" s="146"/>
      <c r="C12" s="146"/>
      <c r="D12" s="146"/>
      <c r="E12" s="146"/>
      <c r="F12" s="146"/>
      <c r="G12" s="146"/>
      <c r="H12" s="146"/>
      <c r="I12" s="146"/>
      <c r="J12" s="146"/>
    </row>
    <row r="13" spans="1:10" x14ac:dyDescent="0.25">
      <c r="A13" s="101" t="s">
        <v>890</v>
      </c>
      <c r="C13" s="102" t="s">
        <v>891</v>
      </c>
      <c r="E13" s="103" t="s">
        <v>892</v>
      </c>
    </row>
    <row r="16" spans="1:10" x14ac:dyDescent="0.25">
      <c r="A16" s="189" t="s">
        <v>893</v>
      </c>
      <c r="B16" s="146"/>
      <c r="C16" s="146"/>
      <c r="D16" s="146"/>
      <c r="E16" s="146"/>
      <c r="F16" s="146"/>
      <c r="G16" s="146"/>
      <c r="H16" s="146"/>
      <c r="I16" s="146"/>
      <c r="J16" s="146"/>
    </row>
    <row r="17" spans="1:5" x14ac:dyDescent="0.25">
      <c r="A17" t="s">
        <v>894</v>
      </c>
      <c r="C17" t="s">
        <v>895</v>
      </c>
      <c r="E17" t="s">
        <v>896</v>
      </c>
    </row>
    <row r="18" spans="1:5" x14ac:dyDescent="0.25">
      <c r="A18" t="s">
        <v>897</v>
      </c>
    </row>
  </sheetData>
  <mergeCells count="6">
    <mergeCell ref="A1:J1"/>
    <mergeCell ref="A8:J8"/>
    <mergeCell ref="A16:J16"/>
    <mergeCell ref="A12:J12"/>
    <mergeCell ref="A4:J4"/>
    <mergeCell ref="A2:J2"/>
  </mergeCell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2">
    <tabColor rgb="FF2E75B5"/>
  </sheetPr>
  <dimension ref="A1:K5"/>
  <sheetViews>
    <sheetView showGridLines="0" workbookViewId="0">
      <selection sqref="A1:K1"/>
    </sheetView>
  </sheetViews>
  <sheetFormatPr baseColWidth="10" defaultColWidth="9.140625" defaultRowHeight="15" x14ac:dyDescent="0.25"/>
  <cols>
    <col min="1" max="1" width="14" customWidth="1"/>
    <col min="2" max="2" width="30" customWidth="1"/>
    <col min="3" max="3" width="15" customWidth="1"/>
    <col min="4" max="4" width="8" customWidth="1"/>
    <col min="5" max="7" width="12" customWidth="1"/>
    <col min="8" max="8" width="10" customWidth="1"/>
    <col min="9" max="9" width="25" customWidth="1"/>
    <col min="10" max="10" width="12" customWidth="1"/>
    <col min="11" max="11" width="22" customWidth="1"/>
  </cols>
  <sheetData>
    <row r="1" spans="1:11" ht="24.95" customHeight="1" x14ac:dyDescent="0.25">
      <c r="A1" s="190" t="s">
        <v>898</v>
      </c>
      <c r="B1" s="146"/>
      <c r="C1" s="146"/>
      <c r="D1" s="146"/>
      <c r="E1" s="146"/>
      <c r="F1" s="146"/>
      <c r="G1" s="146"/>
      <c r="H1" s="146"/>
      <c r="I1" s="146"/>
      <c r="J1" s="146"/>
      <c r="K1" s="146"/>
    </row>
    <row r="3" spans="1:11" ht="30" customHeight="1" x14ac:dyDescent="0.25">
      <c r="A3" s="53" t="s">
        <v>899</v>
      </c>
      <c r="B3" s="53" t="s">
        <v>900</v>
      </c>
      <c r="C3" s="53" t="s">
        <v>901</v>
      </c>
      <c r="D3" s="53" t="s">
        <v>116</v>
      </c>
      <c r="E3" s="53" t="s">
        <v>902</v>
      </c>
      <c r="F3" s="53" t="s">
        <v>903</v>
      </c>
      <c r="G3" s="53" t="s">
        <v>904</v>
      </c>
      <c r="H3" s="53" t="s">
        <v>905</v>
      </c>
      <c r="I3" s="53" t="s">
        <v>906</v>
      </c>
      <c r="J3" s="53" t="s">
        <v>907</v>
      </c>
      <c r="K3" s="53" t="s">
        <v>908</v>
      </c>
    </row>
    <row r="4" spans="1:11" x14ac:dyDescent="0.25">
      <c r="A4" s="20" t="s">
        <v>909</v>
      </c>
      <c r="B4" s="47" t="s">
        <v>910</v>
      </c>
      <c r="C4" s="20" t="s">
        <v>911</v>
      </c>
      <c r="D4" s="20" t="s">
        <v>131</v>
      </c>
      <c r="E4" s="47" t="s">
        <v>912</v>
      </c>
      <c r="F4" s="47" t="s">
        <v>913</v>
      </c>
      <c r="G4" s="47" t="s">
        <v>914</v>
      </c>
      <c r="H4" s="20" t="s">
        <v>915</v>
      </c>
      <c r="I4" s="47" t="s">
        <v>916</v>
      </c>
      <c r="J4" s="47" t="s">
        <v>917</v>
      </c>
      <c r="K4" s="47" t="s">
        <v>918</v>
      </c>
    </row>
    <row r="5" spans="1:11" ht="30" customHeight="1" x14ac:dyDescent="0.25">
      <c r="A5" s="20" t="s">
        <v>919</v>
      </c>
      <c r="B5" s="47" t="s">
        <v>920</v>
      </c>
      <c r="C5" s="20" t="s">
        <v>921</v>
      </c>
      <c r="D5" s="20" t="s">
        <v>922</v>
      </c>
      <c r="E5" s="47" t="s">
        <v>923</v>
      </c>
      <c r="F5" s="47" t="s">
        <v>924</v>
      </c>
      <c r="G5" s="47" t="s">
        <v>913</v>
      </c>
      <c r="H5" s="20" t="s">
        <v>915</v>
      </c>
      <c r="I5" s="47" t="s">
        <v>925</v>
      </c>
      <c r="J5" s="47" t="s">
        <v>926</v>
      </c>
      <c r="K5" s="47" t="s">
        <v>927</v>
      </c>
    </row>
  </sheetData>
  <mergeCells count="1">
    <mergeCell ref="A1:K1"/>
  </mergeCells>
  <dataValidations count="2">
    <dataValidation type="list" sqref="C4:C1000" xr:uid="{00000000-0002-0000-0800-000000000000}">
      <formula1>"Política,Procedimiento,Instrucción,Registro,Formulario,Otro"</formula1>
    </dataValidation>
    <dataValidation type="list" sqref="H4:H1000" xr:uid="{00000000-0002-0000-0800-000001000000}">
      <formula1>"Vigente,En Revisión,Obsoleto,Borrador"</formula1>
    </dataValidation>
  </dataValidation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3">
    <tabColor rgb="FF4472C4"/>
  </sheetPr>
  <dimension ref="A5:F40"/>
  <sheetViews>
    <sheetView showGridLines="0" workbookViewId="0"/>
  </sheetViews>
  <sheetFormatPr baseColWidth="10" defaultColWidth="9.140625" defaultRowHeight="15" x14ac:dyDescent="0.25"/>
  <cols>
    <col min="1" max="6" width="18" customWidth="1"/>
  </cols>
  <sheetData>
    <row r="5" spans="1:6" x14ac:dyDescent="0.25">
      <c r="A5" s="191" t="s">
        <v>928</v>
      </c>
      <c r="B5" s="146"/>
      <c r="C5" s="146"/>
      <c r="D5" s="146"/>
      <c r="E5" s="146"/>
      <c r="F5" s="146"/>
    </row>
    <row r="6" spans="1:6" x14ac:dyDescent="0.25">
      <c r="A6" s="146"/>
      <c r="B6" s="146"/>
      <c r="C6" s="146"/>
      <c r="D6" s="146"/>
      <c r="E6" s="146"/>
      <c r="F6" s="146"/>
    </row>
    <row r="7" spans="1:6" x14ac:dyDescent="0.25">
      <c r="A7" s="146"/>
      <c r="B7" s="146"/>
      <c r="C7" s="146"/>
      <c r="D7" s="146"/>
      <c r="E7" s="146"/>
      <c r="F7" s="146"/>
    </row>
    <row r="8" spans="1:6" x14ac:dyDescent="0.25">
      <c r="A8" s="146"/>
      <c r="B8" s="146"/>
      <c r="C8" s="146"/>
      <c r="D8" s="146"/>
      <c r="E8" s="146"/>
      <c r="F8" s="146"/>
    </row>
    <row r="10" spans="1:6" x14ac:dyDescent="0.25">
      <c r="A10" s="192" t="s">
        <v>929</v>
      </c>
      <c r="B10" s="146"/>
      <c r="C10" s="146"/>
      <c r="D10" s="146"/>
      <c r="E10" s="146"/>
      <c r="F10" s="146"/>
    </row>
    <row r="11" spans="1:6" x14ac:dyDescent="0.25">
      <c r="A11" s="146"/>
      <c r="B11" s="146"/>
      <c r="C11" s="146"/>
      <c r="D11" s="146"/>
      <c r="E11" s="146"/>
      <c r="F11" s="146"/>
    </row>
    <row r="13" spans="1:6" ht="18.75" customHeight="1" x14ac:dyDescent="0.25">
      <c r="A13" s="193" t="s">
        <v>930</v>
      </c>
      <c r="B13" s="146"/>
      <c r="C13" s="146"/>
      <c r="D13" s="146"/>
      <c r="E13" s="146"/>
      <c r="F13" s="146"/>
    </row>
    <row r="18" spans="1:6" ht="21" customHeight="1" x14ac:dyDescent="0.25">
      <c r="A18" s="196" t="s">
        <v>931</v>
      </c>
      <c r="B18" s="146"/>
      <c r="C18" s="146"/>
      <c r="D18" s="146"/>
      <c r="E18" s="146"/>
      <c r="F18" s="146"/>
    </row>
    <row r="20" spans="1:6" ht="15.75" customHeight="1" x14ac:dyDescent="0.25">
      <c r="A20" s="197" t="s">
        <v>932</v>
      </c>
      <c r="B20" s="146"/>
      <c r="C20" s="146"/>
      <c r="D20" s="146"/>
      <c r="E20" s="146"/>
      <c r="F20" s="146"/>
    </row>
    <row r="25" spans="1:6" ht="18.75" customHeight="1" x14ac:dyDescent="0.25">
      <c r="A25" s="198" t="s">
        <v>933</v>
      </c>
      <c r="B25" s="146"/>
      <c r="C25" s="146"/>
      <c r="D25" s="146"/>
      <c r="E25" s="146"/>
      <c r="F25" s="146"/>
    </row>
    <row r="27" spans="1:6" x14ac:dyDescent="0.25">
      <c r="A27" s="194" t="s">
        <v>934</v>
      </c>
      <c r="B27" s="146"/>
      <c r="C27" s="146"/>
      <c r="D27" s="146"/>
      <c r="E27" s="146"/>
      <c r="F27" s="146"/>
    </row>
    <row r="28" spans="1:6" x14ac:dyDescent="0.25">
      <c r="A28" s="194" t="s">
        <v>935</v>
      </c>
      <c r="B28" s="146"/>
      <c r="C28" s="146"/>
      <c r="D28" s="146"/>
      <c r="E28" s="146"/>
      <c r="F28" s="146"/>
    </row>
    <row r="29" spans="1:6" x14ac:dyDescent="0.25">
      <c r="A29" s="194" t="s">
        <v>936</v>
      </c>
      <c r="B29" s="146"/>
      <c r="C29" s="146"/>
      <c r="D29" s="146"/>
      <c r="E29" s="146"/>
      <c r="F29" s="146"/>
    </row>
    <row r="30" spans="1:6" x14ac:dyDescent="0.25">
      <c r="A30" s="194" t="s">
        <v>937</v>
      </c>
      <c r="B30" s="146"/>
      <c r="C30" s="146"/>
      <c r="D30" s="146"/>
      <c r="E30" s="146"/>
      <c r="F30" s="146"/>
    </row>
    <row r="31" spans="1:6" x14ac:dyDescent="0.25">
      <c r="A31" s="194" t="s">
        <v>938</v>
      </c>
      <c r="B31" s="146"/>
      <c r="C31" s="146"/>
      <c r="D31" s="146"/>
      <c r="E31" s="146"/>
      <c r="F31" s="146"/>
    </row>
    <row r="32" spans="1:6" x14ac:dyDescent="0.25">
      <c r="A32" s="194" t="s">
        <v>939</v>
      </c>
      <c r="B32" s="146"/>
      <c r="C32" s="146"/>
      <c r="D32" s="146"/>
      <c r="E32" s="146"/>
      <c r="F32" s="146"/>
    </row>
    <row r="40" spans="1:6" x14ac:dyDescent="0.25">
      <c r="A40" s="195" t="s">
        <v>940</v>
      </c>
      <c r="B40" s="146"/>
      <c r="C40" s="146"/>
      <c r="D40" s="146"/>
      <c r="E40" s="146"/>
      <c r="F40" s="146"/>
    </row>
  </sheetData>
  <mergeCells count="13">
    <mergeCell ref="A40:F40"/>
    <mergeCell ref="A18:F18"/>
    <mergeCell ref="A20:F20"/>
    <mergeCell ref="A30:F30"/>
    <mergeCell ref="A29:F29"/>
    <mergeCell ref="A25:F25"/>
    <mergeCell ref="A28:F28"/>
    <mergeCell ref="A5:F8"/>
    <mergeCell ref="A10:F11"/>
    <mergeCell ref="A13:F13"/>
    <mergeCell ref="A32:F32"/>
    <mergeCell ref="A27:F27"/>
    <mergeCell ref="A31:F31"/>
  </mergeCell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4">
    <tabColor rgb="FFC65911"/>
  </sheetPr>
  <dimension ref="A1:F23"/>
  <sheetViews>
    <sheetView showGridLines="0" workbookViewId="0">
      <selection sqref="A1:F1"/>
    </sheetView>
  </sheetViews>
  <sheetFormatPr baseColWidth="10" defaultColWidth="9.140625" defaultRowHeight="15" x14ac:dyDescent="0.25"/>
  <cols>
    <col min="1" max="1" width="12" customWidth="1"/>
    <col min="2" max="2" width="35" customWidth="1"/>
    <col min="3" max="3" width="30" customWidth="1"/>
    <col min="4" max="4" width="8" customWidth="1"/>
    <col min="5" max="6" width="15" customWidth="1"/>
  </cols>
  <sheetData>
    <row r="1" spans="1:6" ht="24.95" customHeight="1" x14ac:dyDescent="0.25">
      <c r="A1" s="200" t="s">
        <v>941</v>
      </c>
      <c r="B1" s="146"/>
      <c r="C1" s="146"/>
      <c r="D1" s="146"/>
      <c r="E1" s="146"/>
      <c r="F1" s="146"/>
    </row>
    <row r="3" spans="1:6" ht="15.75" customHeight="1" x14ac:dyDescent="0.25">
      <c r="A3" s="199" t="s">
        <v>942</v>
      </c>
      <c r="B3" s="146"/>
      <c r="C3" s="146"/>
      <c r="D3" s="146"/>
      <c r="E3" s="146"/>
      <c r="F3" s="146"/>
    </row>
    <row r="5" spans="1:6" x14ac:dyDescent="0.25">
      <c r="A5" s="75" t="s">
        <v>943</v>
      </c>
      <c r="B5" s="75" t="s">
        <v>108</v>
      </c>
      <c r="C5" s="75" t="s">
        <v>944</v>
      </c>
      <c r="D5" s="75" t="s">
        <v>945</v>
      </c>
    </row>
    <row r="6" spans="1:6" x14ac:dyDescent="0.25">
      <c r="A6" s="20" t="s">
        <v>946</v>
      </c>
      <c r="B6" s="47" t="s">
        <v>947</v>
      </c>
      <c r="C6" s="47" t="s">
        <v>948</v>
      </c>
      <c r="D6" s="20" t="s">
        <v>949</v>
      </c>
    </row>
    <row r="7" spans="1:6" x14ac:dyDescent="0.25">
      <c r="A7" s="20" t="s">
        <v>950</v>
      </c>
      <c r="B7" s="47" t="s">
        <v>951</v>
      </c>
      <c r="C7" s="47" t="s">
        <v>952</v>
      </c>
      <c r="D7" s="20" t="s">
        <v>953</v>
      </c>
    </row>
    <row r="8" spans="1:6" x14ac:dyDescent="0.25">
      <c r="A8" s="20" t="s">
        <v>954</v>
      </c>
      <c r="B8" s="47" t="s">
        <v>955</v>
      </c>
      <c r="C8" s="47" t="s">
        <v>956</v>
      </c>
      <c r="D8" s="20" t="s">
        <v>957</v>
      </c>
    </row>
    <row r="9" spans="1:6" x14ac:dyDescent="0.25">
      <c r="A9" s="20" t="s">
        <v>958</v>
      </c>
      <c r="B9" s="47" t="s">
        <v>959</v>
      </c>
      <c r="C9" s="47" t="s">
        <v>960</v>
      </c>
      <c r="D9" s="20" t="s">
        <v>961</v>
      </c>
    </row>
    <row r="10" spans="1:6" x14ac:dyDescent="0.25">
      <c r="A10" s="20" t="s">
        <v>962</v>
      </c>
      <c r="B10" s="47" t="s">
        <v>963</v>
      </c>
      <c r="C10" s="47" t="s">
        <v>964</v>
      </c>
      <c r="D10" s="20" t="s">
        <v>965</v>
      </c>
    </row>
    <row r="13" spans="1:6" ht="15.75" customHeight="1" x14ac:dyDescent="0.25">
      <c r="A13" s="199" t="s">
        <v>966</v>
      </c>
      <c r="B13" s="146"/>
      <c r="C13" s="146"/>
      <c r="D13" s="146"/>
      <c r="E13" s="146"/>
      <c r="F13" s="146"/>
    </row>
    <row r="15" spans="1:6" x14ac:dyDescent="0.25">
      <c r="A15" s="75" t="s">
        <v>943</v>
      </c>
      <c r="B15" s="75" t="s">
        <v>108</v>
      </c>
      <c r="C15" s="75" t="s">
        <v>967</v>
      </c>
      <c r="D15" s="75" t="s">
        <v>945</v>
      </c>
    </row>
    <row r="16" spans="1:6" x14ac:dyDescent="0.25">
      <c r="A16" s="20" t="s">
        <v>968</v>
      </c>
      <c r="B16" s="47" t="s">
        <v>969</v>
      </c>
      <c r="C16" s="47" t="s">
        <v>970</v>
      </c>
      <c r="D16" s="20" t="s">
        <v>949</v>
      </c>
    </row>
    <row r="17" spans="1:6" x14ac:dyDescent="0.25">
      <c r="A17" s="20" t="s">
        <v>971</v>
      </c>
      <c r="B17" s="47" t="s">
        <v>972</v>
      </c>
      <c r="C17" s="47" t="s">
        <v>973</v>
      </c>
      <c r="D17" s="20" t="s">
        <v>953</v>
      </c>
    </row>
    <row r="18" spans="1:6" x14ac:dyDescent="0.25">
      <c r="A18" s="20" t="s">
        <v>974</v>
      </c>
      <c r="B18" s="47" t="s">
        <v>975</v>
      </c>
      <c r="C18" s="47" t="s">
        <v>976</v>
      </c>
      <c r="D18" s="20" t="s">
        <v>957</v>
      </c>
    </row>
    <row r="19" spans="1:6" x14ac:dyDescent="0.25">
      <c r="A19" s="20" t="s">
        <v>977</v>
      </c>
      <c r="B19" s="47" t="s">
        <v>978</v>
      </c>
      <c r="C19" s="47" t="s">
        <v>979</v>
      </c>
      <c r="D19" s="20" t="s">
        <v>961</v>
      </c>
    </row>
    <row r="20" spans="1:6" x14ac:dyDescent="0.25">
      <c r="A20" s="20" t="s">
        <v>980</v>
      </c>
      <c r="B20" s="47" t="s">
        <v>981</v>
      </c>
      <c r="C20" s="47" t="s">
        <v>982</v>
      </c>
      <c r="D20" s="20" t="s">
        <v>965</v>
      </c>
    </row>
    <row r="23" spans="1:6" x14ac:dyDescent="0.25">
      <c r="A23" s="201" t="s">
        <v>983</v>
      </c>
      <c r="B23" s="146"/>
      <c r="C23" s="146"/>
      <c r="D23" s="146"/>
      <c r="E23" s="146"/>
      <c r="F23" s="146"/>
    </row>
  </sheetData>
  <mergeCells count="4">
    <mergeCell ref="A3:F3"/>
    <mergeCell ref="A13:F13"/>
    <mergeCell ref="A1:F1"/>
    <mergeCell ref="A23:F23"/>
  </mergeCell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5">
    <tabColor rgb="FF548235"/>
  </sheetPr>
  <dimension ref="A1:F5"/>
  <sheetViews>
    <sheetView showGridLines="0" workbookViewId="0">
      <selection sqref="A1:F1"/>
    </sheetView>
  </sheetViews>
  <sheetFormatPr baseColWidth="10" defaultColWidth="9.140625" defaultRowHeight="15" x14ac:dyDescent="0.25"/>
  <sheetData>
    <row r="1" spans="1:6" ht="24.95" customHeight="1" x14ac:dyDescent="0.25">
      <c r="A1" s="203" t="s">
        <v>984</v>
      </c>
      <c r="B1" s="146"/>
      <c r="C1" s="146"/>
      <c r="D1" s="146"/>
      <c r="E1" s="146"/>
      <c r="F1" s="146"/>
    </row>
    <row r="3" spans="1:6" x14ac:dyDescent="0.25">
      <c r="A3" s="202" t="s">
        <v>985</v>
      </c>
      <c r="B3" s="146"/>
      <c r="C3" s="146"/>
      <c r="D3" s="146"/>
      <c r="E3" s="146"/>
      <c r="F3" s="146"/>
    </row>
    <row r="5" spans="1:6" x14ac:dyDescent="0.25">
      <c r="A5" s="204" t="s">
        <v>986</v>
      </c>
      <c r="B5" s="146"/>
      <c r="C5" s="146"/>
      <c r="D5" s="146"/>
      <c r="E5" s="146"/>
      <c r="F5" s="146"/>
    </row>
  </sheetData>
  <mergeCells count="3">
    <mergeCell ref="A3:F3"/>
    <mergeCell ref="A1:F1"/>
    <mergeCell ref="A5:F5"/>
  </mergeCell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6">
    <tabColor rgb="FF7030A0"/>
  </sheetPr>
  <dimension ref="A1:F5"/>
  <sheetViews>
    <sheetView showGridLines="0" workbookViewId="0">
      <selection sqref="A1:F1"/>
    </sheetView>
  </sheetViews>
  <sheetFormatPr baseColWidth="10" defaultColWidth="9.140625" defaultRowHeight="15" x14ac:dyDescent="0.25"/>
  <sheetData>
    <row r="1" spans="1:6" ht="24.95" customHeight="1" x14ac:dyDescent="0.25">
      <c r="A1" s="205" t="s">
        <v>987</v>
      </c>
      <c r="B1" s="146"/>
      <c r="C1" s="146"/>
      <c r="D1" s="146"/>
      <c r="E1" s="146"/>
      <c r="F1" s="146"/>
    </row>
    <row r="3" spans="1:6" x14ac:dyDescent="0.25">
      <c r="A3" s="202" t="s">
        <v>988</v>
      </c>
      <c r="B3" s="146"/>
      <c r="C3" s="146"/>
      <c r="D3" s="146"/>
      <c r="E3" s="146"/>
      <c r="F3" s="146"/>
    </row>
    <row r="5" spans="1:6" x14ac:dyDescent="0.25">
      <c r="A5" s="204" t="s">
        <v>986</v>
      </c>
      <c r="B5" s="146"/>
      <c r="C5" s="146"/>
      <c r="D5" s="146"/>
      <c r="E5" s="146"/>
      <c r="F5" s="146"/>
    </row>
  </sheetData>
  <mergeCells count="3">
    <mergeCell ref="A3:F3"/>
    <mergeCell ref="A1:F1"/>
    <mergeCell ref="A5:F5"/>
  </mergeCell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7">
    <tabColor rgb="FF203764"/>
  </sheetPr>
  <dimension ref="A1:F5"/>
  <sheetViews>
    <sheetView showGridLines="0" workbookViewId="0">
      <selection sqref="A1:F1"/>
    </sheetView>
  </sheetViews>
  <sheetFormatPr baseColWidth="10" defaultColWidth="9.140625" defaultRowHeight="15" x14ac:dyDescent="0.25"/>
  <sheetData>
    <row r="1" spans="1:6" ht="24.95" customHeight="1" x14ac:dyDescent="0.25">
      <c r="A1" s="206" t="s">
        <v>989</v>
      </c>
      <c r="B1" s="146"/>
      <c r="C1" s="146"/>
      <c r="D1" s="146"/>
      <c r="E1" s="146"/>
      <c r="F1" s="146"/>
    </row>
    <row r="3" spans="1:6" x14ac:dyDescent="0.25">
      <c r="A3" s="202" t="s">
        <v>990</v>
      </c>
      <c r="B3" s="146"/>
      <c r="C3" s="146"/>
      <c r="D3" s="146"/>
      <c r="E3" s="146"/>
      <c r="F3" s="146"/>
    </row>
    <row r="5" spans="1:6" x14ac:dyDescent="0.25">
      <c r="A5" s="204" t="s">
        <v>986</v>
      </c>
      <c r="B5" s="146"/>
      <c r="C5" s="146"/>
      <c r="D5" s="146"/>
      <c r="E5" s="146"/>
      <c r="F5" s="146"/>
    </row>
  </sheetData>
  <mergeCells count="3">
    <mergeCell ref="A3:F3"/>
    <mergeCell ref="A1:F1"/>
    <mergeCell ref="A5:F5"/>
  </mergeCell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8">
    <tabColor rgb="FFC65911"/>
  </sheetPr>
  <dimension ref="A1:F5"/>
  <sheetViews>
    <sheetView showGridLines="0" workbookViewId="0">
      <selection sqref="A1:F1"/>
    </sheetView>
  </sheetViews>
  <sheetFormatPr baseColWidth="10" defaultColWidth="9.140625" defaultRowHeight="15" x14ac:dyDescent="0.25"/>
  <sheetData>
    <row r="1" spans="1:6" ht="24.95" customHeight="1" x14ac:dyDescent="0.25">
      <c r="A1" s="200" t="s">
        <v>991</v>
      </c>
      <c r="B1" s="146"/>
      <c r="C1" s="146"/>
      <c r="D1" s="146"/>
      <c r="E1" s="146"/>
      <c r="F1" s="146"/>
    </row>
    <row r="3" spans="1:6" x14ac:dyDescent="0.25">
      <c r="A3" s="202" t="s">
        <v>992</v>
      </c>
      <c r="B3" s="146"/>
      <c r="C3" s="146"/>
      <c r="D3" s="146"/>
      <c r="E3" s="146"/>
      <c r="F3" s="146"/>
    </row>
    <row r="5" spans="1:6" x14ac:dyDescent="0.25">
      <c r="A5" s="204" t="s">
        <v>986</v>
      </c>
      <c r="B5" s="146"/>
      <c r="C5" s="146"/>
      <c r="D5" s="146"/>
      <c r="E5" s="146"/>
      <c r="F5" s="146"/>
    </row>
  </sheetData>
  <mergeCells count="3">
    <mergeCell ref="A3:F3"/>
    <mergeCell ref="A1:F1"/>
    <mergeCell ref="A5:F5"/>
  </mergeCell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9">
    <tabColor rgb="FF70AD47"/>
    <pageSetUpPr fitToPage="1"/>
  </sheetPr>
  <dimension ref="A1:D28"/>
  <sheetViews>
    <sheetView showGridLines="0" workbookViewId="0">
      <selection sqref="A1:F1"/>
    </sheetView>
  </sheetViews>
  <sheetFormatPr baseColWidth="10" defaultColWidth="9.140625" defaultRowHeight="15" x14ac:dyDescent="0.25"/>
  <cols>
    <col min="1" max="1" width="20" customWidth="1"/>
    <col min="2" max="2" width="5" customWidth="1"/>
    <col min="3" max="3" width="25" customWidth="1"/>
    <col min="4" max="4" width="15" customWidth="1"/>
  </cols>
  <sheetData>
    <row r="1" spans="1:4" ht="30" customHeight="1" x14ac:dyDescent="0.25">
      <c r="A1" s="207" t="s">
        <v>993</v>
      </c>
      <c r="B1" s="146"/>
      <c r="C1" s="146"/>
      <c r="D1" s="146"/>
    </row>
    <row r="3" spans="1:4" ht="15.75" customHeight="1" x14ac:dyDescent="0.25">
      <c r="A3" s="208" t="s">
        <v>994</v>
      </c>
      <c r="B3" s="146"/>
      <c r="C3" s="146"/>
      <c r="D3" s="146"/>
    </row>
    <row r="5" spans="1:4" x14ac:dyDescent="0.25">
      <c r="A5" s="2" t="s">
        <v>995</v>
      </c>
      <c r="C5" s="2" t="s">
        <v>945</v>
      </c>
    </row>
    <row r="6" spans="1:4" x14ac:dyDescent="0.25">
      <c r="A6" s="3" t="s">
        <v>996</v>
      </c>
      <c r="C6" s="4" t="s">
        <v>997</v>
      </c>
    </row>
    <row r="7" spans="1:4" x14ac:dyDescent="0.25">
      <c r="A7" s="3" t="s">
        <v>998</v>
      </c>
      <c r="C7" s="4" t="s">
        <v>999</v>
      </c>
    </row>
    <row r="8" spans="1:4" x14ac:dyDescent="0.25">
      <c r="A8" s="3" t="s">
        <v>1000</v>
      </c>
      <c r="C8" s="4" t="s">
        <v>1001</v>
      </c>
    </row>
    <row r="9" spans="1:4" x14ac:dyDescent="0.25">
      <c r="A9" s="3" t="s">
        <v>1002</v>
      </c>
      <c r="C9" s="4" t="s">
        <v>1003</v>
      </c>
    </row>
    <row r="10" spans="1:4" x14ac:dyDescent="0.25">
      <c r="A10" s="3" t="s">
        <v>1004</v>
      </c>
      <c r="C10" s="4" t="s">
        <v>1005</v>
      </c>
    </row>
    <row r="11" spans="1:4" x14ac:dyDescent="0.25">
      <c r="A11" s="3" t="s">
        <v>1006</v>
      </c>
      <c r="C11" s="4" t="s">
        <v>1007</v>
      </c>
    </row>
    <row r="12" spans="1:4" x14ac:dyDescent="0.25">
      <c r="A12" s="3" t="s">
        <v>1008</v>
      </c>
      <c r="C12" s="4" t="s">
        <v>1009</v>
      </c>
    </row>
    <row r="13" spans="1:4" x14ac:dyDescent="0.25">
      <c r="A13" s="3" t="s">
        <v>1010</v>
      </c>
      <c r="C13" s="4" t="s">
        <v>1011</v>
      </c>
    </row>
    <row r="14" spans="1:4" x14ac:dyDescent="0.25">
      <c r="A14" s="3" t="s">
        <v>1012</v>
      </c>
      <c r="C14" s="4" t="s">
        <v>1013</v>
      </c>
    </row>
    <row r="16" spans="1:4" ht="15.75" customHeight="1" x14ac:dyDescent="0.25">
      <c r="A16" s="208" t="s">
        <v>1014</v>
      </c>
      <c r="B16" s="146"/>
      <c r="C16" s="146"/>
      <c r="D16" s="146"/>
    </row>
    <row r="18" spans="1:4" x14ac:dyDescent="0.25">
      <c r="A18" s="3" t="s">
        <v>1015</v>
      </c>
      <c r="C18" s="4" t="s">
        <v>1016</v>
      </c>
    </row>
    <row r="19" spans="1:4" x14ac:dyDescent="0.25">
      <c r="A19" s="3" t="s">
        <v>1017</v>
      </c>
      <c r="C19" s="4" t="s">
        <v>1018</v>
      </c>
    </row>
    <row r="20" spans="1:4" x14ac:dyDescent="0.25">
      <c r="A20" s="3" t="s">
        <v>1010</v>
      </c>
      <c r="C20" s="4" t="s">
        <v>1011</v>
      </c>
    </row>
    <row r="21" spans="1:4" x14ac:dyDescent="0.25">
      <c r="A21" s="3" t="s">
        <v>1008</v>
      </c>
      <c r="C21" s="4" t="s">
        <v>1009</v>
      </c>
    </row>
    <row r="23" spans="1:4" ht="15.75" customHeight="1" x14ac:dyDescent="0.25">
      <c r="A23" s="208" t="s">
        <v>1019</v>
      </c>
      <c r="B23" s="146"/>
      <c r="C23" s="146"/>
      <c r="D23" s="146"/>
    </row>
    <row r="25" spans="1:4" x14ac:dyDescent="0.25">
      <c r="A25" s="209" t="s">
        <v>1020</v>
      </c>
      <c r="B25" s="210"/>
      <c r="C25" s="210"/>
      <c r="D25" s="211"/>
    </row>
    <row r="26" spans="1:4" x14ac:dyDescent="0.25">
      <c r="A26" s="212"/>
      <c r="B26" s="146"/>
      <c r="C26" s="146"/>
      <c r="D26" s="213"/>
    </row>
    <row r="27" spans="1:4" x14ac:dyDescent="0.25">
      <c r="A27" s="212"/>
      <c r="B27" s="146"/>
      <c r="C27" s="146"/>
      <c r="D27" s="213"/>
    </row>
    <row r="28" spans="1:4" x14ac:dyDescent="0.25">
      <c r="A28" s="214"/>
      <c r="B28" s="215"/>
      <c r="C28" s="215"/>
      <c r="D28" s="216"/>
    </row>
  </sheetData>
  <mergeCells count="5">
    <mergeCell ref="A1:D1"/>
    <mergeCell ref="A23:D23"/>
    <mergeCell ref="A3:D3"/>
    <mergeCell ref="A16:D16"/>
    <mergeCell ref="A25:D28"/>
  </mergeCells>
  <printOptions gridLines="1"/>
  <pageMargins left="0.5" right="0.5" top="0.5" bottom="0.5" header="0.29921259842519687" footer="0.29921259842519687"/>
  <pageSetup fitToHeight="0" orientation="portrait" r:id="rId1"/>
  <headerFooter>
    <oddHeader>&amp;L&amp;"Segoe UI,Bold"&amp;14Datos_Organizacion&amp;R&amp;"Segoe UI"&amp;10Fecha: &amp;D</oddHeader>
    <oddFooter>&amp;L&amp;"Segoe UI"&amp;9SGSI - ISO 27001:2022&amp;R&amp;"Segoe UI"&amp;9Página &amp;P de &amp;N</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0">
    <tabColor rgb="FFFFC000"/>
    <pageSetUpPr fitToPage="1"/>
  </sheetPr>
  <dimension ref="A1:V7"/>
  <sheetViews>
    <sheetView showGridLines="0" workbookViewId="0">
      <selection activeCell="G18" sqref="G18"/>
    </sheetView>
  </sheetViews>
  <sheetFormatPr baseColWidth="10" defaultColWidth="9.140625" defaultRowHeight="15" x14ac:dyDescent="0.25"/>
  <cols>
    <col min="1" max="1" width="12.140625" bestFit="1" customWidth="1"/>
    <col min="2" max="2" width="12.85546875" bestFit="1" customWidth="1"/>
    <col min="3" max="3" width="16.7109375" bestFit="1" customWidth="1"/>
    <col min="4" max="4" width="9.5703125" bestFit="1" customWidth="1"/>
    <col min="5" max="5" width="11.7109375" bestFit="1" customWidth="1"/>
    <col min="6" max="6" width="13.42578125" bestFit="1" customWidth="1"/>
    <col min="7" max="7" width="13.140625" bestFit="1" customWidth="1"/>
    <col min="8" max="8" width="9.85546875" bestFit="1" customWidth="1"/>
    <col min="9" max="9" width="9.42578125" bestFit="1" customWidth="1"/>
    <col min="10" max="10" width="9.5703125" bestFit="1" customWidth="1"/>
    <col min="11" max="11" width="11.7109375" bestFit="1" customWidth="1"/>
    <col min="12" max="13" width="8" customWidth="1"/>
    <col min="14" max="14" width="7.7109375" bestFit="1" customWidth="1"/>
    <col min="15" max="15" width="9.140625" bestFit="1" customWidth="1"/>
    <col min="16" max="16" width="8.28515625" bestFit="1" customWidth="1"/>
    <col min="17" max="17" width="6.5703125" bestFit="1" customWidth="1"/>
    <col min="18" max="19" width="10.7109375" bestFit="1" customWidth="1"/>
    <col min="20" max="20" width="13.140625" bestFit="1" customWidth="1"/>
    <col min="21" max="21" width="15" bestFit="1" customWidth="1"/>
    <col min="22" max="22" width="32.140625" bestFit="1" customWidth="1"/>
  </cols>
  <sheetData>
    <row r="1" spans="1:22" ht="24.95" customHeight="1" x14ac:dyDescent="0.25">
      <c r="A1" s="217" t="s">
        <v>1021</v>
      </c>
      <c r="B1" s="146"/>
      <c r="C1" s="146"/>
      <c r="D1" s="146"/>
      <c r="E1" s="146"/>
      <c r="F1" s="146"/>
      <c r="G1" s="146"/>
      <c r="H1" s="146"/>
      <c r="I1" s="146"/>
      <c r="J1" s="146"/>
      <c r="K1" s="146"/>
      <c r="L1" s="146"/>
      <c r="M1" s="146"/>
      <c r="N1" s="146"/>
      <c r="O1" s="146"/>
      <c r="P1" s="146"/>
      <c r="Q1" s="146"/>
      <c r="R1" s="146"/>
      <c r="S1" s="146"/>
      <c r="T1" s="146"/>
    </row>
    <row r="2" spans="1:22" ht="30" customHeight="1" x14ac:dyDescent="0.25">
      <c r="A2" s="5" t="s">
        <v>1022</v>
      </c>
      <c r="B2" s="5" t="s">
        <v>1023</v>
      </c>
      <c r="C2" s="5" t="s">
        <v>108</v>
      </c>
      <c r="D2" s="5" t="s">
        <v>1024</v>
      </c>
      <c r="E2" s="5" t="s">
        <v>1025</v>
      </c>
      <c r="F2" s="5" t="s">
        <v>1026</v>
      </c>
      <c r="G2" s="5" t="s">
        <v>908</v>
      </c>
      <c r="H2" s="5" t="s">
        <v>1027</v>
      </c>
      <c r="I2" s="5" t="s">
        <v>1028</v>
      </c>
      <c r="J2" s="5" t="s">
        <v>1029</v>
      </c>
      <c r="K2" s="5" t="s">
        <v>1030</v>
      </c>
      <c r="L2" s="5" t="s">
        <v>1031</v>
      </c>
      <c r="M2" s="5" t="s">
        <v>1032</v>
      </c>
      <c r="N2" s="5" t="s">
        <v>1033</v>
      </c>
      <c r="O2" s="5" t="s">
        <v>1034</v>
      </c>
      <c r="P2" s="5" t="s">
        <v>1035</v>
      </c>
      <c r="Q2" s="5" t="s">
        <v>905</v>
      </c>
      <c r="R2" s="5" t="s">
        <v>1036</v>
      </c>
      <c r="S2" s="5" t="s">
        <v>115</v>
      </c>
      <c r="T2" s="5" t="s">
        <v>1037</v>
      </c>
    </row>
    <row r="3" spans="1:22" x14ac:dyDescent="0.25">
      <c r="A3" s="81" t="s">
        <v>1022</v>
      </c>
      <c r="B3" s="81" t="s">
        <v>1038</v>
      </c>
      <c r="C3" s="81" t="s">
        <v>1023</v>
      </c>
      <c r="D3" s="81" t="s">
        <v>1039</v>
      </c>
      <c r="E3" s="81" t="s">
        <v>901</v>
      </c>
      <c r="F3" s="81" t="s">
        <v>1040</v>
      </c>
      <c r="G3" s="81" t="s">
        <v>1041</v>
      </c>
      <c r="H3" s="81" t="s">
        <v>905</v>
      </c>
      <c r="I3" s="81" t="s">
        <v>1035</v>
      </c>
      <c r="J3" s="81" t="s">
        <v>1042</v>
      </c>
      <c r="K3" s="81" t="s">
        <v>1043</v>
      </c>
      <c r="L3" s="6" t="s">
        <v>1044</v>
      </c>
      <c r="M3" s="6" t="s">
        <v>1044</v>
      </c>
      <c r="N3" s="6" t="s">
        <v>1044</v>
      </c>
      <c r="O3" s="6" t="s">
        <v>950</v>
      </c>
      <c r="P3" s="6" t="s">
        <v>1045</v>
      </c>
      <c r="Q3" s="6" t="s">
        <v>868</v>
      </c>
      <c r="R3" s="6" t="s">
        <v>912</v>
      </c>
      <c r="S3" s="6" t="s">
        <v>1046</v>
      </c>
      <c r="T3" s="6" t="s">
        <v>1047</v>
      </c>
    </row>
    <row r="4" spans="1:22" x14ac:dyDescent="0.25">
      <c r="A4" t="s">
        <v>1048</v>
      </c>
      <c r="B4" t="s">
        <v>1049</v>
      </c>
      <c r="C4" t="s">
        <v>1050</v>
      </c>
      <c r="D4" t="s">
        <v>1042</v>
      </c>
      <c r="E4" t="s">
        <v>1043</v>
      </c>
      <c r="F4" t="s">
        <v>1051</v>
      </c>
      <c r="G4" t="s">
        <v>1052</v>
      </c>
      <c r="H4" t="s">
        <v>868</v>
      </c>
      <c r="I4" t="s">
        <v>1053</v>
      </c>
      <c r="J4" t="s">
        <v>1042</v>
      </c>
      <c r="K4" t="s">
        <v>1043</v>
      </c>
      <c r="V4" s="106" t="s">
        <v>1054</v>
      </c>
    </row>
    <row r="5" spans="1:22" x14ac:dyDescent="0.25">
      <c r="A5" t="s">
        <v>1055</v>
      </c>
      <c r="B5" t="s">
        <v>1056</v>
      </c>
      <c r="C5" t="s">
        <v>1057</v>
      </c>
      <c r="D5" t="s">
        <v>1058</v>
      </c>
      <c r="E5" t="s">
        <v>1059</v>
      </c>
      <c r="F5" t="s">
        <v>1043</v>
      </c>
      <c r="G5" t="s">
        <v>1060</v>
      </c>
      <c r="H5" t="s">
        <v>868</v>
      </c>
      <c r="I5" t="s">
        <v>1053</v>
      </c>
      <c r="J5" t="s">
        <v>1058</v>
      </c>
      <c r="K5" t="s">
        <v>1061</v>
      </c>
      <c r="U5" s="97" t="s">
        <v>687</v>
      </c>
      <c r="V5" s="107" t="s">
        <v>1062</v>
      </c>
    </row>
    <row r="6" spans="1:22" x14ac:dyDescent="0.25">
      <c r="A6" t="s">
        <v>1063</v>
      </c>
      <c r="B6" t="s">
        <v>1064</v>
      </c>
      <c r="C6" t="s">
        <v>1065</v>
      </c>
      <c r="D6" t="s">
        <v>1066</v>
      </c>
      <c r="E6" t="s">
        <v>1067</v>
      </c>
      <c r="F6" t="s">
        <v>1068</v>
      </c>
      <c r="G6" t="s">
        <v>1069</v>
      </c>
      <c r="H6" t="s">
        <v>868</v>
      </c>
      <c r="I6" t="s">
        <v>1053</v>
      </c>
      <c r="J6" t="s">
        <v>1066</v>
      </c>
      <c r="K6" t="s">
        <v>1070</v>
      </c>
      <c r="U6" s="99"/>
      <c r="V6" s="108" t="str">
        <f t="shared" ref="V6:V7" si="0">IF(
ISNUMBER(SEARCH("PLC",H6)),"→ A0003: PLC",
IF(ISNUMBER(SEARCH("HMI",H6)),"→ A0002: HMI",
IF(ISNUMBER(SEARCH("SCADA",H6)),"→ A0002: HMI",
IF(ISNUMBER(SEARCH("SERVIDOR",H6)),"→ A0007: Control Server",
IF(ISNUMBER(SEARCH("ROUTER",H6)),"→ A0014: Router",
IF(ISNUMBER(SEARCH("SWITCH",H6)),"→ A0014: Router",
IF(ISNUMBER(SEARCH("PC",H6)),"→ A0001: Workstation",
IF(ISNUMBER(SEARCH("WORKSTATION",H6)),"→ A0001: Workstation",
IF(ISNUMBER(SEARCH("RTU",H6)),"→ A0004: RTU",
IF(ISNUMBER(SEARCH("HISTORIAN",H6)),"→ A0006: Historian",
"⚠️ Revisar manual"))))))))))</f>
        <v>⚠️ Revisar manual</v>
      </c>
    </row>
    <row r="7" spans="1:22" x14ac:dyDescent="0.25">
      <c r="A7" s="88" t="s">
        <v>1071</v>
      </c>
      <c r="B7" s="86" t="s">
        <v>1072</v>
      </c>
      <c r="C7" s="86" t="s">
        <v>1065</v>
      </c>
      <c r="D7" s="86" t="s">
        <v>1073</v>
      </c>
      <c r="E7" s="86" t="s">
        <v>1067</v>
      </c>
      <c r="F7" s="86" t="s">
        <v>1068</v>
      </c>
      <c r="G7" s="86" t="s">
        <v>1074</v>
      </c>
      <c r="H7" s="86" t="s">
        <v>868</v>
      </c>
      <c r="I7" s="86" t="s">
        <v>1075</v>
      </c>
      <c r="J7" s="86" t="s">
        <v>1073</v>
      </c>
      <c r="K7" s="87" t="s">
        <v>1076</v>
      </c>
      <c r="L7" s="86" t="s">
        <v>1044</v>
      </c>
      <c r="M7" s="86" t="s">
        <v>1044</v>
      </c>
      <c r="N7" s="86" t="s">
        <v>1044</v>
      </c>
      <c r="O7" s="86" t="s">
        <v>950</v>
      </c>
      <c r="P7" s="86" t="s">
        <v>1045</v>
      </c>
      <c r="Q7" s="86" t="s">
        <v>868</v>
      </c>
      <c r="R7" s="87">
        <v>45967</v>
      </c>
      <c r="S7" s="87">
        <v>45967</v>
      </c>
      <c r="T7" s="86" t="s">
        <v>1077</v>
      </c>
      <c r="U7" s="99"/>
      <c r="V7" s="108" t="str">
        <f t="shared" si="0"/>
        <v>⚠️ Revisar manual</v>
      </c>
    </row>
  </sheetData>
  <mergeCells count="1">
    <mergeCell ref="A1:T1"/>
  </mergeCells>
  <dataValidations count="13">
    <dataValidation type="list" allowBlank="1" errorTitle="Categoría Inválida" error="Valor no válido" promptTitle="Categorías disponibles" prompt="Seleccione una categoría" sqref="D4:D7" xr:uid="{00000000-0002-0000-1000-000000000000}">
      <formula1>"📋 Define las categorías principales para clasificar los activos de información,ID,1,2,3,4,5,6,7"</formula1>
    </dataValidation>
    <dataValidation type="list" allowBlank="1" errorTitle="Subcategoría Inválida" error="Valor no válido" sqref="E4:E7" xr:uid="{00000000-0002-0000-1000-000001000000}">
      <formula1>"Servidor,PC,Laptop,Móvil,Red,ERP,CRM,Base de Datos,Aplicación,Sistema Operativo,Clientes,Financiera,RRHH,Comercial,Cloud,Hosting,Internet,Telefonía"</formula1>
    </dataValidation>
    <dataValidation type="list" allowBlank="1" errorTitle="Área Inválida" error="Valor no válido" sqref="F4:F7" xr:uid="{00000000-0002-0000-1000-000002000000}">
      <formula1>"🏢 Define las áreas funcionales de la organización,ID,1,2,3,4,5,6,7,8"</formula1>
    </dataValidation>
    <dataValidation type="list" allowBlank="1" errorTitle="Clase Inválida" error="Valor no válido" sqref="J4:J7" xr:uid="{00000000-0002-0000-1000-000003000000}">
      <formula1>"🔐 Define los niveles de clasificación según criticidad y sensibilidad,ID,1,2,3,4,5"</formula1>
    </dataValidation>
    <dataValidation type="list" allowBlank="1" sqref="K4:K7" xr:uid="{00000000-0002-0000-1000-000004000000}">
      <formula1>"Crítico,Alto,Medio,Bajo,Normal,Básico"</formula1>
    </dataValidation>
    <dataValidation type="list" allowBlank="1" promptTitle="Nivel de Confidencialidad" prompt="A=Alta, M=Media, B=Baja" sqref="L4:L7" xr:uid="{00000000-0002-0000-1000-000005000000}">
      <formula1>"A,M,B"</formula1>
    </dataValidation>
    <dataValidation type="list" allowBlank="1" promptTitle="Nivel de Integridad" prompt="A=Alta, M=Media, B=Baja" sqref="M4:M7" xr:uid="{00000000-0002-0000-1000-000006000000}">
      <formula1>"A,M,B"</formula1>
    </dataValidation>
    <dataValidation type="list" allowBlank="1" promptTitle="Nivel de Disponibilidad" prompt="A=Alta, M=Media, B=Baja" sqref="N4:N7" xr:uid="{00000000-0002-0000-1000-000007000000}">
      <formula1>"A,M,B"</formula1>
    </dataValidation>
    <dataValidation type="list" allowBlank="1" promptTitle="Valoración del Activo" sqref="O4:O7" xr:uid="{00000000-0002-0000-1000-000008000000}">
      <formula1>"Muy Alta,Alta,Media,Baja,Muy Baja"</formula1>
    </dataValidation>
    <dataValidation type="list" allowBlank="1" promptTitle="Criticidad del Activo" sqref="P4:P7" xr:uid="{00000000-0002-0000-1000-000009000000}">
      <formula1>"Crítica,Alta,Media,Baja"</formula1>
    </dataValidation>
    <dataValidation type="list" sqref="Q4:Q7" xr:uid="{00000000-0002-0000-1000-00000A000000}">
      <formula1>"Activo,Inactivo,En Mantenimiento,Obsoleto"</formula1>
    </dataValidation>
    <dataValidation type="list" allowBlank="1" prompt="Seleccione una subcategoría" sqref="E4:E7" xr:uid="{00000000-0002-0000-1000-00000B000000}">
      <formula1>"Servidor,Estación de Trabajo,Laptop,Móvil,Tablet,Switch,Router,Firewall,Access Point,ERP,CRM,ERP,Base de Datos,Aplicación Web,Sistema Operativo,Clientes,Financiera,RRHH,Comercial,Técnica"</formula1>
    </dataValidation>
    <dataValidation type="list" allowBlank="1" sqref="K4:K7" xr:uid="{00000000-0002-0000-1000-00000C000000}">
      <formula1>"Muy Alto,Alto,Medio,Bajo,Muy Bajo"</formula1>
    </dataValidation>
  </dataValidations>
  <printOptions horizontalCentered="1" gridLines="1"/>
  <pageMargins left="0.5" right="0.5" top="0.5" bottom="0.5" header="0.29921259842519687" footer="0.29921259842519687"/>
  <pageSetup paperSize="9" scale="52" fitToHeight="0" orientation="landscape" r:id="rId1"/>
  <headerFooter>
    <oddHeader>&amp;L&amp;"Segoe UI,Bold"&amp;14Activos&amp;R&amp;"Segoe UI"&amp;10Fecha: &amp;D</oddHeader>
    <oddFooter>&amp;L&amp;"Segoe UI"&amp;9SGSI - ISO 27001:2022&amp;R&amp;"Segoe UI"&amp;9Página &amp;P de &amp;N</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1">
    <tabColor rgb="FF8E44AD"/>
  </sheetPr>
  <dimension ref="A1:F5"/>
  <sheetViews>
    <sheetView showGridLines="0" workbookViewId="0">
      <selection sqref="A1:F1"/>
    </sheetView>
  </sheetViews>
  <sheetFormatPr baseColWidth="10" defaultColWidth="9.140625" defaultRowHeight="15" x14ac:dyDescent="0.25"/>
  <sheetData>
    <row r="1" spans="1:6" ht="24.95" customHeight="1" x14ac:dyDescent="0.25">
      <c r="A1" s="218" t="s">
        <v>1078</v>
      </c>
      <c r="B1" s="146"/>
      <c r="C1" s="146"/>
      <c r="D1" s="146"/>
      <c r="E1" s="146"/>
      <c r="F1" s="146"/>
    </row>
    <row r="3" spans="1:6" x14ac:dyDescent="0.25">
      <c r="A3" s="202" t="s">
        <v>1079</v>
      </c>
      <c r="B3" s="146"/>
      <c r="C3" s="146"/>
      <c r="D3" s="146"/>
      <c r="E3" s="146"/>
      <c r="F3" s="146"/>
    </row>
    <row r="5" spans="1:6" x14ac:dyDescent="0.25">
      <c r="A5" s="204" t="s">
        <v>986</v>
      </c>
      <c r="B5" s="146"/>
      <c r="C5" s="146"/>
      <c r="D5" s="146"/>
      <c r="E5" s="146"/>
      <c r="F5" s="146"/>
    </row>
  </sheetData>
  <mergeCells count="3">
    <mergeCell ref="A3:F3"/>
    <mergeCell ref="A1:F1"/>
    <mergeCell ref="A5:F5"/>
  </mergeCell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2">
    <tabColor rgb="FFE74C3C"/>
  </sheetPr>
  <dimension ref="A1:F5"/>
  <sheetViews>
    <sheetView showGridLines="0" workbookViewId="0">
      <selection sqref="A1:F1"/>
    </sheetView>
  </sheetViews>
  <sheetFormatPr baseColWidth="10" defaultColWidth="9.140625" defaultRowHeight="15" x14ac:dyDescent="0.25"/>
  <sheetData>
    <row r="1" spans="1:6" ht="24.95" customHeight="1" x14ac:dyDescent="0.25">
      <c r="A1" s="219" t="s">
        <v>1080</v>
      </c>
      <c r="B1" s="146"/>
      <c r="C1" s="146"/>
      <c r="D1" s="146"/>
      <c r="E1" s="146"/>
      <c r="F1" s="146"/>
    </row>
    <row r="3" spans="1:6" x14ac:dyDescent="0.25">
      <c r="A3" s="202" t="s">
        <v>1081</v>
      </c>
      <c r="B3" s="146"/>
      <c r="C3" s="146"/>
      <c r="D3" s="146"/>
      <c r="E3" s="146"/>
      <c r="F3" s="146"/>
    </row>
    <row r="5" spans="1:6" x14ac:dyDescent="0.25">
      <c r="A5" s="204" t="s">
        <v>986</v>
      </c>
      <c r="B5" s="146"/>
      <c r="C5" s="146"/>
      <c r="D5" s="146"/>
      <c r="E5" s="146"/>
      <c r="F5" s="146"/>
    </row>
  </sheetData>
  <mergeCells count="3">
    <mergeCell ref="A3:F3"/>
    <mergeCell ref="A1:F1"/>
    <mergeCell ref="A5:F5"/>
  </mergeCell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3">
    <tabColor rgb="FFF39C12"/>
  </sheetPr>
  <dimension ref="A1:F5"/>
  <sheetViews>
    <sheetView showGridLines="0" workbookViewId="0">
      <selection sqref="A1:F1"/>
    </sheetView>
  </sheetViews>
  <sheetFormatPr baseColWidth="10" defaultColWidth="9.140625" defaultRowHeight="15" x14ac:dyDescent="0.25"/>
  <sheetData>
    <row r="1" spans="1:6" ht="24.95" customHeight="1" x14ac:dyDescent="0.25">
      <c r="A1" s="220" t="s">
        <v>1082</v>
      </c>
      <c r="B1" s="146"/>
      <c r="C1" s="146"/>
      <c r="D1" s="146"/>
      <c r="E1" s="146"/>
      <c r="F1" s="146"/>
    </row>
    <row r="3" spans="1:6" x14ac:dyDescent="0.25">
      <c r="A3" s="202" t="s">
        <v>1083</v>
      </c>
      <c r="B3" s="146"/>
      <c r="C3" s="146"/>
      <c r="D3" s="146"/>
      <c r="E3" s="146"/>
      <c r="F3" s="146"/>
    </row>
    <row r="5" spans="1:6" x14ac:dyDescent="0.25">
      <c r="A5" s="204" t="s">
        <v>986</v>
      </c>
      <c r="B5" s="146"/>
      <c r="C5" s="146"/>
      <c r="D5" s="146"/>
      <c r="E5" s="146"/>
      <c r="F5" s="146"/>
    </row>
  </sheetData>
  <mergeCells count="3">
    <mergeCell ref="A3:F3"/>
    <mergeCell ref="A1:F1"/>
    <mergeCell ref="A5:F5"/>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4">
    <tabColor rgb="FF1ABC9C"/>
  </sheetPr>
  <dimension ref="A1:F5"/>
  <sheetViews>
    <sheetView showGridLines="0" workbookViewId="0">
      <selection sqref="A1:F1"/>
    </sheetView>
  </sheetViews>
  <sheetFormatPr baseColWidth="10" defaultColWidth="9.140625" defaultRowHeight="15" x14ac:dyDescent="0.25"/>
  <sheetData>
    <row r="1" spans="1:6" ht="24.95" customHeight="1" x14ac:dyDescent="0.25">
      <c r="A1" s="221" t="s">
        <v>1084</v>
      </c>
      <c r="B1" s="146"/>
      <c r="C1" s="146"/>
      <c r="D1" s="146"/>
      <c r="E1" s="146"/>
      <c r="F1" s="146"/>
    </row>
    <row r="3" spans="1:6" x14ac:dyDescent="0.25">
      <c r="A3" s="202" t="s">
        <v>1085</v>
      </c>
      <c r="B3" s="146"/>
      <c r="C3" s="146"/>
      <c r="D3" s="146"/>
      <c r="E3" s="146"/>
      <c r="F3" s="146"/>
    </row>
    <row r="5" spans="1:6" x14ac:dyDescent="0.25">
      <c r="A5" s="204" t="s">
        <v>986</v>
      </c>
      <c r="B5" s="146"/>
      <c r="C5" s="146"/>
      <c r="D5" s="146"/>
      <c r="E5" s="146"/>
      <c r="F5" s="146"/>
    </row>
  </sheetData>
  <mergeCells count="3">
    <mergeCell ref="A3:F3"/>
    <mergeCell ref="A1:F1"/>
    <mergeCell ref="A5:F5"/>
  </mergeCell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5">
    <tabColor rgb="FF16A085"/>
  </sheetPr>
  <dimension ref="A1:F5"/>
  <sheetViews>
    <sheetView showGridLines="0" workbookViewId="0">
      <selection sqref="A1:F1"/>
    </sheetView>
  </sheetViews>
  <sheetFormatPr baseColWidth="10" defaultColWidth="9.140625" defaultRowHeight="15" x14ac:dyDescent="0.25"/>
  <sheetData>
    <row r="1" spans="1:6" ht="24.95" customHeight="1" x14ac:dyDescent="0.25">
      <c r="A1" s="222" t="s">
        <v>1086</v>
      </c>
      <c r="B1" s="146"/>
      <c r="C1" s="146"/>
      <c r="D1" s="146"/>
      <c r="E1" s="146"/>
      <c r="F1" s="146"/>
    </row>
    <row r="3" spans="1:6" x14ac:dyDescent="0.25">
      <c r="A3" s="202" t="s">
        <v>1087</v>
      </c>
      <c r="B3" s="146"/>
      <c r="C3" s="146"/>
      <c r="D3" s="146"/>
      <c r="E3" s="146"/>
      <c r="F3" s="146"/>
    </row>
    <row r="5" spans="1:6" x14ac:dyDescent="0.25">
      <c r="A5" s="204" t="s">
        <v>986</v>
      </c>
      <c r="B5" s="146"/>
      <c r="C5" s="146"/>
      <c r="D5" s="146"/>
      <c r="E5" s="146"/>
      <c r="F5" s="146"/>
    </row>
  </sheetData>
  <mergeCells count="3">
    <mergeCell ref="A3:F3"/>
    <mergeCell ref="A1:F1"/>
    <mergeCell ref="A5:F5"/>
  </mergeCell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16">
    <tabColor rgb="FF9B59B6"/>
  </sheetPr>
  <dimension ref="A1:F5"/>
  <sheetViews>
    <sheetView showGridLines="0" workbookViewId="0">
      <selection sqref="A1:F1"/>
    </sheetView>
  </sheetViews>
  <sheetFormatPr baseColWidth="10" defaultColWidth="9.140625" defaultRowHeight="15" x14ac:dyDescent="0.25"/>
  <sheetData>
    <row r="1" spans="1:6" ht="24.95" customHeight="1" x14ac:dyDescent="0.25">
      <c r="A1" s="223" t="s">
        <v>1088</v>
      </c>
      <c r="B1" s="146"/>
      <c r="C1" s="146"/>
      <c r="D1" s="146"/>
      <c r="E1" s="146"/>
      <c r="F1" s="146"/>
    </row>
    <row r="3" spans="1:6" x14ac:dyDescent="0.25">
      <c r="A3" s="202" t="s">
        <v>1089</v>
      </c>
      <c r="B3" s="146"/>
      <c r="C3" s="146"/>
      <c r="D3" s="146"/>
      <c r="E3" s="146"/>
      <c r="F3" s="146"/>
    </row>
    <row r="5" spans="1:6" x14ac:dyDescent="0.25">
      <c r="A5" s="204" t="s">
        <v>986</v>
      </c>
      <c r="B5" s="146"/>
      <c r="C5" s="146"/>
      <c r="D5" s="146"/>
      <c r="E5" s="146"/>
      <c r="F5" s="146"/>
    </row>
  </sheetData>
  <mergeCells count="3">
    <mergeCell ref="A3:F3"/>
    <mergeCell ref="A1:F1"/>
    <mergeCell ref="A5:F5"/>
  </mergeCells>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17">
    <tabColor rgb="FF2980B9"/>
  </sheetPr>
  <dimension ref="A1:H3"/>
  <sheetViews>
    <sheetView showGridLines="0" workbookViewId="0">
      <selection sqref="A1:H1"/>
    </sheetView>
  </sheetViews>
  <sheetFormatPr baseColWidth="10" defaultColWidth="9.140625" defaultRowHeight="15" x14ac:dyDescent="0.25"/>
  <sheetData>
    <row r="1" spans="1:8" ht="24.95" customHeight="1" x14ac:dyDescent="0.25">
      <c r="A1" s="224" t="s">
        <v>1090</v>
      </c>
      <c r="B1" s="146"/>
      <c r="C1" s="146"/>
      <c r="D1" s="146"/>
      <c r="E1" s="146"/>
      <c r="F1" s="146"/>
      <c r="G1" s="146"/>
      <c r="H1" s="146"/>
    </row>
    <row r="3" spans="1:8" x14ac:dyDescent="0.25">
      <c r="A3" s="76" t="s">
        <v>1091</v>
      </c>
      <c r="B3" s="76" t="s">
        <v>1092</v>
      </c>
      <c r="C3" s="76" t="s">
        <v>901</v>
      </c>
      <c r="D3" s="76" t="s">
        <v>1027</v>
      </c>
      <c r="E3" s="76" t="s">
        <v>905</v>
      </c>
      <c r="F3" s="76" t="s">
        <v>116</v>
      </c>
      <c r="G3" s="76" t="s">
        <v>908</v>
      </c>
      <c r="H3" s="76" t="s">
        <v>1093</v>
      </c>
    </row>
  </sheetData>
  <mergeCells count="1">
    <mergeCell ref="A1:H1"/>
  </mergeCells>
  <dataValidations count="2">
    <dataValidation type="list" sqref="C4:C1000" xr:uid="{00000000-0002-0000-1700-000000000000}">
      <formula1>"Hardware,Software,Servicio,Red,Aplicación"</formula1>
    </dataValidation>
    <dataValidation type="list" sqref="E4:E1000" xr:uid="{00000000-0002-0000-1700-000001000000}">
      <formula1>"Activo,Inactivo,En Mantenimiento,Obsoleto"</formula1>
    </dataValidation>
  </dataValidations>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18">
    <tabColor rgb="FF34495E"/>
  </sheetPr>
  <dimension ref="A1:F1"/>
  <sheetViews>
    <sheetView showGridLines="0" workbookViewId="0">
      <selection sqref="A1:F1"/>
    </sheetView>
  </sheetViews>
  <sheetFormatPr baseColWidth="10" defaultColWidth="9.140625" defaultRowHeight="15" x14ac:dyDescent="0.25"/>
  <sheetData>
    <row r="1" spans="1:6" ht="24.95" customHeight="1" x14ac:dyDescent="0.25">
      <c r="A1" s="225" t="s">
        <v>1094</v>
      </c>
      <c r="B1" s="146"/>
      <c r="C1" s="146"/>
      <c r="D1" s="146"/>
      <c r="E1" s="146"/>
      <c r="F1" s="146"/>
    </row>
  </sheetData>
  <mergeCells count="1">
    <mergeCell ref="A1:F1"/>
  </mergeCells>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19">
    <tabColor rgb="FF34495E"/>
  </sheetPr>
  <dimension ref="A1:F1"/>
  <sheetViews>
    <sheetView showGridLines="0" workbookViewId="0">
      <selection sqref="A1:F1"/>
    </sheetView>
  </sheetViews>
  <sheetFormatPr baseColWidth="10" defaultColWidth="9.140625" defaultRowHeight="15" x14ac:dyDescent="0.25"/>
  <sheetData>
    <row r="1" spans="1:6" ht="24.95" customHeight="1" x14ac:dyDescent="0.25">
      <c r="A1" s="225" t="s">
        <v>1095</v>
      </c>
      <c r="B1" s="146"/>
      <c r="C1" s="146"/>
      <c r="D1" s="146"/>
      <c r="E1" s="146"/>
      <c r="F1" s="146"/>
    </row>
  </sheetData>
  <mergeCells count="1">
    <mergeCell ref="A1:F1"/>
  </mergeCell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20">
    <tabColor rgb="FF34495E"/>
  </sheetPr>
  <dimension ref="A1:F1"/>
  <sheetViews>
    <sheetView showGridLines="0" workbookViewId="0">
      <selection sqref="A1:F1"/>
    </sheetView>
  </sheetViews>
  <sheetFormatPr baseColWidth="10" defaultColWidth="9.140625" defaultRowHeight="15" x14ac:dyDescent="0.25"/>
  <sheetData>
    <row r="1" spans="1:6" ht="24.95" customHeight="1" x14ac:dyDescent="0.25">
      <c r="A1" s="225" t="s">
        <v>1096</v>
      </c>
      <c r="B1" s="146"/>
      <c r="C1" s="146"/>
      <c r="D1" s="146"/>
      <c r="E1" s="146"/>
      <c r="F1" s="146"/>
    </row>
  </sheetData>
  <mergeCells count="1">
    <mergeCell ref="A1:F1"/>
  </mergeCell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1">
    <tabColor rgb="FF34495E"/>
  </sheetPr>
  <dimension ref="A1:F1"/>
  <sheetViews>
    <sheetView showGridLines="0" workbookViewId="0">
      <selection sqref="A1:F1"/>
    </sheetView>
  </sheetViews>
  <sheetFormatPr baseColWidth="10" defaultColWidth="9.140625" defaultRowHeight="15" x14ac:dyDescent="0.25"/>
  <sheetData>
    <row r="1" spans="1:6" ht="24.95" customHeight="1" x14ac:dyDescent="0.25">
      <c r="A1" s="225" t="s">
        <v>1097</v>
      </c>
      <c r="B1" s="146"/>
      <c r="C1" s="146"/>
      <c r="D1" s="146"/>
      <c r="E1" s="146"/>
      <c r="F1" s="146"/>
    </row>
  </sheetData>
  <mergeCells count="1">
    <mergeCell ref="A1:F1"/>
  </mergeCells>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22">
    <tabColor rgb="FF34495E"/>
  </sheetPr>
  <dimension ref="A1:F1"/>
  <sheetViews>
    <sheetView showGridLines="0" workbookViewId="0">
      <selection sqref="A1:F1"/>
    </sheetView>
  </sheetViews>
  <sheetFormatPr baseColWidth="10" defaultColWidth="9.140625" defaultRowHeight="15" x14ac:dyDescent="0.25"/>
  <sheetData>
    <row r="1" spans="1:6" ht="24.95" customHeight="1" x14ac:dyDescent="0.25">
      <c r="A1" s="225" t="s">
        <v>1098</v>
      </c>
      <c r="B1" s="146"/>
      <c r="C1" s="146"/>
      <c r="D1" s="146"/>
      <c r="E1" s="146"/>
      <c r="F1" s="146"/>
    </row>
  </sheetData>
  <mergeCells count="1">
    <mergeCell ref="A1:F1"/>
  </mergeCells>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23">
    <tabColor rgb="FF5B9BD5"/>
    <pageSetUpPr fitToPage="1"/>
  </sheetPr>
  <dimension ref="A1:H15"/>
  <sheetViews>
    <sheetView showGridLines="0" workbookViewId="0">
      <selection sqref="A1:H1"/>
    </sheetView>
  </sheetViews>
  <sheetFormatPr baseColWidth="10" defaultColWidth="9.140625" defaultRowHeight="15" x14ac:dyDescent="0.25"/>
  <cols>
    <col min="1" max="4" width="15" customWidth="1"/>
    <col min="5" max="5" width="5" customWidth="1"/>
    <col min="6" max="8" width="15" customWidth="1"/>
  </cols>
  <sheetData>
    <row r="1" spans="1:8" ht="30" customHeight="1" x14ac:dyDescent="0.25">
      <c r="A1" s="227" t="s">
        <v>1099</v>
      </c>
      <c r="B1" s="146"/>
      <c r="C1" s="146"/>
      <c r="D1" s="146"/>
      <c r="E1" s="146"/>
      <c r="F1" s="146"/>
      <c r="G1" s="146"/>
      <c r="H1" s="146"/>
    </row>
    <row r="3" spans="1:8" ht="15.75" customHeight="1" x14ac:dyDescent="0.25">
      <c r="A3" s="226" t="s">
        <v>1100</v>
      </c>
      <c r="B3" s="146"/>
      <c r="C3" s="146"/>
      <c r="D3" s="146"/>
      <c r="E3" s="146"/>
      <c r="F3" s="146"/>
      <c r="G3" s="146"/>
      <c r="H3" s="146"/>
    </row>
    <row r="5" spans="1:8" x14ac:dyDescent="0.25">
      <c r="B5" s="7">
        <v>5</v>
      </c>
      <c r="D5" s="7" t="s">
        <v>1101</v>
      </c>
      <c r="F5" s="7" t="s">
        <v>1102</v>
      </c>
      <c r="H5" s="7" t="s">
        <v>1103</v>
      </c>
    </row>
    <row r="6" spans="1:8" ht="35.1" customHeight="1" x14ac:dyDescent="0.4">
      <c r="B6" s="8">
        <v>50</v>
      </c>
      <c r="D6" s="9" t="s">
        <v>1104</v>
      </c>
      <c r="F6" s="10" t="s">
        <v>1104</v>
      </c>
      <c r="H6" s="11" t="s">
        <v>1105</v>
      </c>
    </row>
    <row r="7" spans="1:8" x14ac:dyDescent="0.25">
      <c r="B7" s="93">
        <v>0</v>
      </c>
    </row>
    <row r="8" spans="1:8" x14ac:dyDescent="0.25">
      <c r="B8">
        <v>0</v>
      </c>
    </row>
    <row r="9" spans="1:8" ht="15.75" customHeight="1" x14ac:dyDescent="0.25">
      <c r="A9" s="226" t="s">
        <v>1106</v>
      </c>
      <c r="B9" s="146"/>
      <c r="C9" s="146"/>
      <c r="D9" s="146"/>
      <c r="F9" s="226" t="s">
        <v>1107</v>
      </c>
      <c r="G9" s="146"/>
      <c r="H9" s="146"/>
    </row>
    <row r="10" spans="1:8" x14ac:dyDescent="0.25">
      <c r="B10">
        <v>0</v>
      </c>
    </row>
    <row r="11" spans="1:8" x14ac:dyDescent="0.25">
      <c r="A11" s="12" t="s">
        <v>943</v>
      </c>
      <c r="B11" s="92">
        <v>45967</v>
      </c>
      <c r="C11" s="12" t="s">
        <v>1108</v>
      </c>
      <c r="D11" s="12" t="s">
        <v>905</v>
      </c>
      <c r="F11" s="12" t="s">
        <v>905</v>
      </c>
      <c r="G11" s="12" t="s">
        <v>1109</v>
      </c>
      <c r="H11" s="12" t="s">
        <v>1110</v>
      </c>
    </row>
    <row r="12" spans="1:8" x14ac:dyDescent="0.25">
      <c r="A12" s="13" t="s">
        <v>1111</v>
      </c>
      <c r="B12" s="14" t="s">
        <v>1104</v>
      </c>
      <c r="C12" s="14" t="s">
        <v>1105</v>
      </c>
      <c r="D12" s="14" t="s">
        <v>1112</v>
      </c>
      <c r="F12" s="15" t="s">
        <v>1113</v>
      </c>
      <c r="G12" s="14" t="s">
        <v>1104</v>
      </c>
      <c r="H12" s="14" t="s">
        <v>1105</v>
      </c>
    </row>
    <row r="13" spans="1:8" x14ac:dyDescent="0.25">
      <c r="A13" s="16" t="s">
        <v>971</v>
      </c>
      <c r="B13" s="14" t="s">
        <v>1104</v>
      </c>
      <c r="C13" s="14" t="s">
        <v>1105</v>
      </c>
      <c r="D13" s="14" t="s">
        <v>1112</v>
      </c>
      <c r="F13" s="17" t="s">
        <v>1114</v>
      </c>
      <c r="G13" s="14" t="s">
        <v>1104</v>
      </c>
      <c r="H13" s="14" t="s">
        <v>1105</v>
      </c>
    </row>
    <row r="14" spans="1:8" x14ac:dyDescent="0.25">
      <c r="A14" s="17" t="s">
        <v>974</v>
      </c>
      <c r="B14" s="14" t="s">
        <v>1104</v>
      </c>
      <c r="C14" s="14" t="s">
        <v>1105</v>
      </c>
      <c r="D14" s="14" t="s">
        <v>1115</v>
      </c>
      <c r="F14" s="16" t="s">
        <v>1116</v>
      </c>
      <c r="G14" s="14" t="s">
        <v>1104</v>
      </c>
      <c r="H14" s="14" t="s">
        <v>1105</v>
      </c>
    </row>
    <row r="15" spans="1:8" x14ac:dyDescent="0.25">
      <c r="A15" s="15" t="s">
        <v>977</v>
      </c>
      <c r="B15" s="14" t="s">
        <v>1104</v>
      </c>
      <c r="C15" s="14" t="s">
        <v>1105</v>
      </c>
      <c r="D15" s="14" t="s">
        <v>1117</v>
      </c>
      <c r="F15" s="18" t="s">
        <v>1118</v>
      </c>
      <c r="G15" s="14" t="s">
        <v>1104</v>
      </c>
      <c r="H15" s="14" t="s">
        <v>1105</v>
      </c>
    </row>
  </sheetData>
  <mergeCells count="4">
    <mergeCell ref="A3:H3"/>
    <mergeCell ref="A9:D9"/>
    <mergeCell ref="F9:H9"/>
    <mergeCell ref="A1:H1"/>
  </mergeCells>
  <printOptions gridLines="1"/>
  <pageMargins left="0.5" right="0.5" top="0.5" bottom="0.5" header="0.29921259842519687" footer="0.29921259842519687"/>
  <pageSetup scale="80" fitToHeight="0" orientation="portrait" r:id="rId1"/>
  <headerFooter>
    <oddHeader>&amp;L&amp;"Segoe UI,Bold"&amp;14Dashboard&amp;R&amp;"Segoe UI"&amp;10Fecha: &amp;D</oddHeader>
    <oddFooter>&amp;L&amp;"Segoe UI"&amp;9SGSI - ISO 27001:2022&amp;R&amp;"Segoe UI"&amp;9Página &amp;P de &amp;N</oddFooter>
  </headerFooter>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24">
    <tabColor rgb="FFFF6600"/>
    <pageSetUpPr fitToPage="1"/>
  </sheetPr>
  <dimension ref="A1:AE6"/>
  <sheetViews>
    <sheetView showGridLines="0" tabSelected="1" topLeftCell="M1" workbookViewId="0">
      <selection activeCell="V19" sqref="V19"/>
    </sheetView>
  </sheetViews>
  <sheetFormatPr baseColWidth="10" defaultColWidth="9.140625" defaultRowHeight="15" x14ac:dyDescent="0.25"/>
  <cols>
    <col min="1" max="1" width="12" customWidth="1"/>
    <col min="2" max="2" width="25" customWidth="1"/>
    <col min="3" max="3" width="35" customWidth="1"/>
    <col min="4" max="6" width="20" customWidth="1"/>
    <col min="7" max="7" width="15" customWidth="1"/>
    <col min="8" max="8" width="10" customWidth="1"/>
    <col min="9" max="11" width="8" customWidth="1"/>
    <col min="12" max="12" width="10" customWidth="1"/>
    <col min="13" max="14" width="12" customWidth="1"/>
    <col min="15" max="15" width="25" customWidth="1"/>
    <col min="16" max="18" width="10" customWidth="1"/>
    <col min="19" max="20" width="12" customWidth="1"/>
    <col min="21" max="22" width="15" customWidth="1"/>
    <col min="23" max="23" width="12" customWidth="1"/>
    <col min="24" max="24" width="20" customWidth="1"/>
    <col min="25" max="25" width="15" customWidth="1"/>
    <col min="26" max="26" width="20" customWidth="1"/>
    <col min="27" max="27" width="30" customWidth="1"/>
  </cols>
  <sheetData>
    <row r="1" spans="1:31" ht="24.95" customHeight="1" x14ac:dyDescent="0.25">
      <c r="A1" s="241" t="s">
        <v>1119</v>
      </c>
      <c r="B1" s="146"/>
      <c r="C1" s="146"/>
      <c r="D1" s="146"/>
      <c r="E1" s="146"/>
      <c r="F1" s="146"/>
      <c r="G1" s="146"/>
      <c r="H1" s="146"/>
      <c r="I1" s="146"/>
      <c r="J1" s="146"/>
      <c r="K1" s="146"/>
      <c r="L1" s="146"/>
      <c r="M1" s="146"/>
      <c r="N1" s="146"/>
      <c r="O1" s="146"/>
      <c r="P1" s="146"/>
      <c r="Q1" s="146"/>
      <c r="R1" s="146"/>
      <c r="S1" s="146"/>
      <c r="T1" s="146"/>
      <c r="U1" s="146"/>
      <c r="V1" s="146"/>
      <c r="W1" s="146"/>
      <c r="Z1" s="97" t="s">
        <v>709</v>
      </c>
      <c r="AA1" s="107" t="s">
        <v>1120</v>
      </c>
      <c r="AC1" s="228" t="s">
        <v>1155</v>
      </c>
      <c r="AD1" s="228"/>
      <c r="AE1" s="228"/>
    </row>
    <row r="2" spans="1:31" x14ac:dyDescent="0.25">
      <c r="Z2" s="99"/>
      <c r="AA2" s="108" t="str">
        <f t="shared" ref="AA2:AA6" si="0">IF(
OR(ISNUMBER(SEARCH("MITM",A2)),ISNUMBER(SEARCH("INTERCEP",A2))),"→ T0830: MITM",
IF(OR(ISNUMBER(SEARCH("MODIFICAR",A2)),ISNUMBER(SEARCH("PROGRAMA",A2))),"→ T0889: Modify Program",
IF(ISNUMBER(SEARCH("FIRMWARE",A2)),"→ T0839: Module Firmware",
IF(ISNUMBER(SEARCH("ALARMA",A2)),"→ T0878: Alarm Suppression",
IF(OR(ISNUMBER(SEARCH("CREDENCIAL",A2)),ISNUMBER(SEARCH("PASSWORD",A2))),"→ T0891: Hardcoded Credentials",
IF(OR(ISNUMBER(SEARCH("PHISHING",A2)),ISNUMBER(SEARCH("CORREO",A2))),"→ T0865: Spearphishing",
IF(OR(ISNUMBER(SEARCH("DISPONIBILIDAD",A2)),ISNUMBER(SEARCH("CAÍDO",A2))),"→ T0826: Loss Availability",
IF(OR(ISNUMBER(SEARCH("CONTROL",A2)),ISNUMBER(SEARCH("DENEGACIÓN",A2))),"→ T0813: Denial of Control",
IF(OR(ISNUMBER(SEARCH("ACCESO REMOTO",A2)),ISNUMBER(SEARCH("VPN",A2))),"→ T0822: Remote Services",
IF(ISNUMBER(SEARCH("EXPLOIT",A2)),"→ T0819: Exploit Public App",
"⚠️ Analizar manualmente"))))))))))</f>
        <v>⚠️ Analizar manualmente</v>
      </c>
    </row>
    <row r="3" spans="1:31" ht="39.950000000000003" customHeight="1" x14ac:dyDescent="0.25">
      <c r="A3" s="82" t="s">
        <v>1022</v>
      </c>
      <c r="B3" s="82" t="s">
        <v>1121</v>
      </c>
      <c r="C3" s="82" t="s">
        <v>1122</v>
      </c>
      <c r="D3" s="82" t="s">
        <v>1123</v>
      </c>
      <c r="E3" s="82" t="s">
        <v>1124</v>
      </c>
      <c r="F3" s="82" t="s">
        <v>711</v>
      </c>
      <c r="G3" s="82" t="s">
        <v>943</v>
      </c>
      <c r="H3" s="82" t="s">
        <v>905</v>
      </c>
      <c r="I3" s="19" t="s">
        <v>1125</v>
      </c>
      <c r="J3" s="19" t="s">
        <v>1126</v>
      </c>
      <c r="K3" s="19" t="s">
        <v>1127</v>
      </c>
      <c r="L3" s="19" t="s">
        <v>1128</v>
      </c>
      <c r="M3" s="19" t="s">
        <v>1129</v>
      </c>
      <c r="N3" s="19" t="s">
        <v>1130</v>
      </c>
      <c r="O3" s="19" t="s">
        <v>1131</v>
      </c>
      <c r="P3" s="19" t="s">
        <v>1132</v>
      </c>
      <c r="Q3" s="19" t="s">
        <v>1133</v>
      </c>
      <c r="R3" s="19" t="s">
        <v>1134</v>
      </c>
      <c r="S3" s="19" t="s">
        <v>1135</v>
      </c>
      <c r="T3" s="19" t="s">
        <v>1136</v>
      </c>
      <c r="U3" s="19" t="s">
        <v>1137</v>
      </c>
      <c r="V3" s="19" t="s">
        <v>1027</v>
      </c>
      <c r="W3" s="19" t="s">
        <v>905</v>
      </c>
      <c r="X3" s="95" t="s">
        <v>709</v>
      </c>
      <c r="Y3" s="96" t="s">
        <v>1138</v>
      </c>
      <c r="Z3" s="99"/>
      <c r="AA3" s="108" t="str">
        <f t="shared" si="0"/>
        <v>⚠️ Analizar manualmente</v>
      </c>
      <c r="AC3" s="229" t="s">
        <v>1156</v>
      </c>
      <c r="AD3" s="230"/>
      <c r="AE3" s="231"/>
    </row>
    <row r="4" spans="1:31" ht="30" customHeight="1" x14ac:dyDescent="0.25">
      <c r="A4" s="20" t="s">
        <v>1139</v>
      </c>
      <c r="B4" s="20" t="s">
        <v>1048</v>
      </c>
      <c r="C4" s="20" t="s">
        <v>1140</v>
      </c>
      <c r="D4" s="20" t="s">
        <v>1141</v>
      </c>
      <c r="E4" s="20" t="s">
        <v>748</v>
      </c>
      <c r="F4" s="20" t="s">
        <v>1142</v>
      </c>
      <c r="G4" s="20" t="s">
        <v>717</v>
      </c>
      <c r="H4" s="20" t="s">
        <v>1143</v>
      </c>
      <c r="I4" s="20" t="s">
        <v>957</v>
      </c>
      <c r="J4" s="20" t="s">
        <v>957</v>
      </c>
      <c r="K4" s="20" t="s">
        <v>957</v>
      </c>
      <c r="L4" s="20" t="s">
        <v>957</v>
      </c>
      <c r="M4" s="20" t="s">
        <v>1144</v>
      </c>
      <c r="N4" s="21" t="s">
        <v>971</v>
      </c>
      <c r="O4" s="20" t="s">
        <v>1145</v>
      </c>
      <c r="P4" s="20" t="s">
        <v>1146</v>
      </c>
      <c r="Q4" s="20" t="s">
        <v>961</v>
      </c>
      <c r="R4" s="20" t="s">
        <v>961</v>
      </c>
      <c r="S4" s="20" t="s">
        <v>953</v>
      </c>
      <c r="T4" s="22" t="s">
        <v>974</v>
      </c>
      <c r="U4" s="20" t="s">
        <v>1147</v>
      </c>
      <c r="V4" s="20" t="s">
        <v>913</v>
      </c>
      <c r="W4" s="20" t="s">
        <v>868</v>
      </c>
      <c r="Z4" s="99"/>
      <c r="AA4" s="108" t="str">
        <f t="shared" si="0"/>
        <v>⚠️ Analizar manualmente</v>
      </c>
      <c r="AC4" s="232" t="s">
        <v>1157</v>
      </c>
      <c r="AD4" s="233"/>
      <c r="AE4" s="234"/>
    </row>
    <row r="5" spans="1:31" x14ac:dyDescent="0.25">
      <c r="A5" t="s">
        <v>1148</v>
      </c>
      <c r="B5" t="s">
        <v>1055</v>
      </c>
      <c r="C5" t="s">
        <v>1149</v>
      </c>
      <c r="D5" t="s">
        <v>1150</v>
      </c>
      <c r="E5" t="s">
        <v>741</v>
      </c>
      <c r="F5" t="s">
        <v>1142</v>
      </c>
      <c r="G5" t="s">
        <v>1142</v>
      </c>
      <c r="H5" t="s">
        <v>1143</v>
      </c>
      <c r="Z5" s="99"/>
      <c r="AA5" s="108" t="str">
        <f t="shared" si="0"/>
        <v>⚠️ Analizar manualmente</v>
      </c>
      <c r="AC5" s="235" t="s">
        <v>1158</v>
      </c>
      <c r="AD5" s="236"/>
      <c r="AE5" s="237"/>
    </row>
    <row r="6" spans="1:31" x14ac:dyDescent="0.25">
      <c r="A6" t="s">
        <v>1151</v>
      </c>
      <c r="B6" t="s">
        <v>1063</v>
      </c>
      <c r="C6" t="s">
        <v>1152</v>
      </c>
      <c r="D6" t="s">
        <v>1153</v>
      </c>
      <c r="E6" t="s">
        <v>748</v>
      </c>
      <c r="F6" t="s">
        <v>1142</v>
      </c>
      <c r="G6" t="s">
        <v>717</v>
      </c>
      <c r="H6" t="s">
        <v>1154</v>
      </c>
      <c r="Z6" s="99"/>
      <c r="AA6" s="108" t="str">
        <f t="shared" si="0"/>
        <v>⚠️ Analizar manualmente</v>
      </c>
      <c r="AC6" s="238" t="s">
        <v>1159</v>
      </c>
      <c r="AD6" s="239"/>
      <c r="AE6" s="240"/>
    </row>
  </sheetData>
  <mergeCells count="6">
    <mergeCell ref="A1:W1"/>
    <mergeCell ref="AC1:AE1"/>
    <mergeCell ref="AC3:AE3"/>
    <mergeCell ref="AC4:AE4"/>
    <mergeCell ref="AC5:AE5"/>
    <mergeCell ref="AC6:AE6"/>
  </mergeCells>
  <dataValidations count="4">
    <dataValidation type="list" sqref="E4:E386 N4:N386 Q4:Q386 T4:T386" xr:uid="{00000000-0002-0000-1E00-000000000000}">
      <formula1>"Muy Alta,Alta,Media,Baja,Muy Baja"</formula1>
    </dataValidation>
    <dataValidation type="list" sqref="F4:F386 I4:K386 R4:R386" xr:uid="{00000000-0002-0000-1E00-000001000000}">
      <formula1>"Muy Alto,Alto,Medio,Bajo,Muy Bajo"</formula1>
    </dataValidation>
    <dataValidation type="list" sqref="G4:G386 M4:M386 S4:S386" xr:uid="{00000000-0002-0000-1E00-000002000000}">
      <formula1>"Crítico,Alto,Medio,Bajo"</formula1>
    </dataValidation>
    <dataValidation type="list" sqref="H4:H386 W4:W386" xr:uid="{00000000-0002-0000-1E00-000003000000}">
      <formula1>"Abierto,En Proceso,Completado,Cerrado,Cancelado"</formula1>
    </dataValidation>
  </dataValidations>
  <printOptions gridLines="1"/>
  <pageMargins left="0.5" right="0.5" top="0.5" bottom="0.5" header="0.29921259842519687" footer="0.29921259842519687"/>
  <pageSetup scale="27" fitToHeight="0" orientation="landscape" r:id="rId1"/>
  <headerFooter>
    <oddHeader>&amp;L&amp;"Segoe UI,Bold"&amp;14Matriz_Riesgos&amp;R&amp;"Segoe UI"&amp;10Fecha: &amp;D</oddHeader>
    <oddFooter>&amp;L&amp;"Segoe UI"&amp;9SGSI - ISO 27001:2022&amp;R&amp;"Segoe UI"&amp;9Página &amp;P de &amp;N</oddFooter>
  </headerFooter>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25">
    <tabColor rgb="FFC00000"/>
    <pageSetUpPr fitToPage="1"/>
  </sheetPr>
  <dimension ref="A1:L23"/>
  <sheetViews>
    <sheetView showGridLines="0" workbookViewId="0">
      <selection sqref="A1:F1"/>
    </sheetView>
  </sheetViews>
  <sheetFormatPr baseColWidth="10" defaultColWidth="9.140625" defaultRowHeight="15" x14ac:dyDescent="0.25"/>
  <cols>
    <col min="1" max="2" width="15" customWidth="1"/>
    <col min="3" max="3" width="30" customWidth="1"/>
    <col min="4" max="4" width="20" customWidth="1"/>
    <col min="5" max="7" width="12" customWidth="1"/>
    <col min="8" max="8" width="15" customWidth="1"/>
    <col min="9" max="12" width="12" customWidth="1"/>
  </cols>
  <sheetData>
    <row r="1" spans="1:12" ht="24.95" customHeight="1" x14ac:dyDescent="0.25">
      <c r="A1" s="242" t="s">
        <v>1160</v>
      </c>
      <c r="B1" s="146"/>
      <c r="C1" s="146"/>
      <c r="D1" s="146"/>
      <c r="E1" s="146"/>
      <c r="F1" s="146"/>
      <c r="G1" s="146"/>
      <c r="H1" s="146"/>
      <c r="I1" s="146"/>
      <c r="J1" s="146"/>
      <c r="K1" s="146"/>
      <c r="L1" s="146"/>
    </row>
    <row r="3" spans="1:12" ht="15.75" customHeight="1" x14ac:dyDescent="0.25">
      <c r="A3" s="248" t="s">
        <v>1161</v>
      </c>
      <c r="B3" s="146"/>
      <c r="C3" s="146"/>
      <c r="D3" s="146"/>
      <c r="E3" s="146"/>
      <c r="F3" s="146"/>
      <c r="G3" s="146"/>
      <c r="H3" s="146"/>
      <c r="I3" s="146"/>
      <c r="J3" s="146"/>
      <c r="K3" s="146"/>
      <c r="L3" s="146"/>
    </row>
    <row r="5" spans="1:12" x14ac:dyDescent="0.25">
      <c r="A5" s="247" t="s">
        <v>1162</v>
      </c>
      <c r="B5" s="146"/>
      <c r="C5" s="26" t="s">
        <v>1163</v>
      </c>
      <c r="D5" s="26" t="s">
        <v>1164</v>
      </c>
      <c r="E5" s="26" t="s">
        <v>1165</v>
      </c>
      <c r="F5" s="26" t="s">
        <v>1166</v>
      </c>
      <c r="G5" s="26" t="s">
        <v>1167</v>
      </c>
    </row>
    <row r="6" spans="1:12" ht="15.75" customHeight="1" x14ac:dyDescent="0.25">
      <c r="A6" s="246" t="s">
        <v>1168</v>
      </c>
      <c r="B6" s="245"/>
      <c r="C6" s="28" t="s">
        <v>949</v>
      </c>
      <c r="D6" s="29" t="s">
        <v>1169</v>
      </c>
      <c r="E6" s="30" t="s">
        <v>1170</v>
      </c>
      <c r="F6" s="30" t="s">
        <v>1171</v>
      </c>
      <c r="G6" s="31" t="s">
        <v>1172</v>
      </c>
      <c r="I6" s="252" t="s">
        <v>1173</v>
      </c>
      <c r="J6" s="146"/>
      <c r="K6" s="146"/>
    </row>
    <row r="7" spans="1:12" ht="15.75" customHeight="1" x14ac:dyDescent="0.25">
      <c r="A7" s="246" t="s">
        <v>1174</v>
      </c>
      <c r="B7" s="245"/>
      <c r="C7" s="32" t="s">
        <v>953</v>
      </c>
      <c r="D7" s="28" t="s">
        <v>1175</v>
      </c>
      <c r="E7" s="29" t="s">
        <v>1176</v>
      </c>
      <c r="F7" s="30" t="s">
        <v>1177</v>
      </c>
      <c r="G7" s="30" t="s">
        <v>1171</v>
      </c>
      <c r="I7" s="251" t="s">
        <v>1111</v>
      </c>
      <c r="J7" s="244"/>
      <c r="K7" s="245"/>
    </row>
    <row r="8" spans="1:12" ht="15.75" customHeight="1" x14ac:dyDescent="0.25">
      <c r="A8" s="246" t="s">
        <v>1178</v>
      </c>
      <c r="B8" s="245"/>
      <c r="C8" s="32" t="s">
        <v>957</v>
      </c>
      <c r="D8" s="28" t="s">
        <v>1179</v>
      </c>
      <c r="E8" s="29" t="s">
        <v>1144</v>
      </c>
      <c r="F8" s="29" t="s">
        <v>1176</v>
      </c>
      <c r="G8" s="30" t="s">
        <v>1170</v>
      </c>
      <c r="I8" s="249" t="s">
        <v>971</v>
      </c>
      <c r="J8" s="244"/>
      <c r="K8" s="245"/>
    </row>
    <row r="9" spans="1:12" ht="15.75" customHeight="1" x14ac:dyDescent="0.25">
      <c r="A9" s="246" t="s">
        <v>1180</v>
      </c>
      <c r="B9" s="245"/>
      <c r="C9" s="32" t="s">
        <v>961</v>
      </c>
      <c r="D9" s="34" t="s">
        <v>953</v>
      </c>
      <c r="E9" s="28" t="s">
        <v>1179</v>
      </c>
      <c r="F9" s="28" t="s">
        <v>1175</v>
      </c>
      <c r="G9" s="29" t="s">
        <v>1169</v>
      </c>
      <c r="I9" s="243" t="s">
        <v>1181</v>
      </c>
      <c r="J9" s="244"/>
      <c r="K9" s="245"/>
    </row>
    <row r="10" spans="1:12" ht="15.75" customHeight="1" x14ac:dyDescent="0.25">
      <c r="A10" s="246" t="s">
        <v>1182</v>
      </c>
      <c r="B10" s="245"/>
      <c r="C10" s="32" t="s">
        <v>965</v>
      </c>
      <c r="D10" s="34" t="s">
        <v>961</v>
      </c>
      <c r="E10" s="34" t="s">
        <v>957</v>
      </c>
      <c r="F10" s="28" t="s">
        <v>953</v>
      </c>
      <c r="G10" s="28" t="s">
        <v>949</v>
      </c>
      <c r="I10" s="254" t="s">
        <v>974</v>
      </c>
      <c r="J10" s="244"/>
      <c r="K10" s="245"/>
    </row>
    <row r="11" spans="1:12" x14ac:dyDescent="0.25">
      <c r="I11" s="253" t="s">
        <v>977</v>
      </c>
      <c r="J11" s="244"/>
      <c r="K11" s="245"/>
    </row>
    <row r="13" spans="1:12" ht="15.75" customHeight="1" x14ac:dyDescent="0.25">
      <c r="A13" s="248" t="s">
        <v>1183</v>
      </c>
      <c r="B13" s="146"/>
      <c r="C13" s="146"/>
      <c r="D13" s="146"/>
      <c r="E13" s="146"/>
      <c r="F13" s="146"/>
      <c r="G13" s="146"/>
      <c r="H13" s="146"/>
      <c r="I13" s="146"/>
      <c r="J13" s="146"/>
      <c r="K13" s="146"/>
      <c r="L13" s="146"/>
    </row>
    <row r="15" spans="1:12" x14ac:dyDescent="0.25">
      <c r="A15" s="27" t="s">
        <v>1024</v>
      </c>
      <c r="B15" s="27" t="s">
        <v>1184</v>
      </c>
      <c r="C15" s="27" t="s">
        <v>1185</v>
      </c>
      <c r="D15" s="27" t="s">
        <v>1186</v>
      </c>
      <c r="E15" s="27" t="s">
        <v>1187</v>
      </c>
      <c r="F15" s="27" t="s">
        <v>1188</v>
      </c>
      <c r="G15" s="27" t="s">
        <v>1189</v>
      </c>
      <c r="H15" s="27" t="s">
        <v>1190</v>
      </c>
      <c r="I15" s="27" t="s">
        <v>1191</v>
      </c>
    </row>
    <row r="16" spans="1:12" x14ac:dyDescent="0.25">
      <c r="A16" s="1" t="s">
        <v>1192</v>
      </c>
      <c r="B16" s="6" t="s">
        <v>1104</v>
      </c>
      <c r="C16" s="6" t="s">
        <v>1104</v>
      </c>
      <c r="D16" s="6" t="s">
        <v>1104</v>
      </c>
      <c r="E16" s="6" t="s">
        <v>1104</v>
      </c>
      <c r="F16" s="6" t="s">
        <v>1104</v>
      </c>
      <c r="G16" s="6" t="s">
        <v>1105</v>
      </c>
      <c r="H16" s="6" t="s">
        <v>1105</v>
      </c>
      <c r="I16" s="6" t="s">
        <v>1104</v>
      </c>
    </row>
    <row r="17" spans="1:12" x14ac:dyDescent="0.25">
      <c r="A17" s="1" t="s">
        <v>1193</v>
      </c>
      <c r="B17" s="6" t="s">
        <v>1104</v>
      </c>
      <c r="C17" s="6" t="s">
        <v>1104</v>
      </c>
      <c r="D17" s="6" t="s">
        <v>1104</v>
      </c>
      <c r="E17" s="6" t="s">
        <v>1104</v>
      </c>
      <c r="F17" s="6" t="s">
        <v>1104</v>
      </c>
      <c r="G17" s="6" t="s">
        <v>1105</v>
      </c>
      <c r="H17" s="6" t="s">
        <v>1105</v>
      </c>
      <c r="I17" s="6" t="s">
        <v>1104</v>
      </c>
    </row>
    <row r="18" spans="1:12" x14ac:dyDescent="0.25">
      <c r="A18" s="1" t="s">
        <v>1194</v>
      </c>
      <c r="B18" s="6" t="s">
        <v>1104</v>
      </c>
      <c r="C18" s="6" t="s">
        <v>1104</v>
      </c>
      <c r="D18" s="6" t="s">
        <v>1104</v>
      </c>
      <c r="E18" s="6" t="s">
        <v>1104</v>
      </c>
      <c r="F18" s="6" t="s">
        <v>1104</v>
      </c>
      <c r="G18" s="6" t="s">
        <v>1105</v>
      </c>
      <c r="H18" s="6" t="s">
        <v>1105</v>
      </c>
      <c r="I18" s="6" t="s">
        <v>1104</v>
      </c>
    </row>
    <row r="21" spans="1:12" ht="15.75" customHeight="1" x14ac:dyDescent="0.25">
      <c r="A21" s="250" t="s">
        <v>1195</v>
      </c>
      <c r="B21" s="146"/>
      <c r="C21" s="146"/>
      <c r="D21" s="146"/>
      <c r="E21" s="146"/>
      <c r="F21" s="146"/>
      <c r="G21" s="146"/>
      <c r="H21" s="146"/>
      <c r="I21" s="146"/>
      <c r="J21" s="146"/>
      <c r="K21" s="146"/>
      <c r="L21" s="146"/>
    </row>
    <row r="23" spans="1:12" x14ac:dyDescent="0.25">
      <c r="A23" s="35" t="s">
        <v>1196</v>
      </c>
      <c r="B23" s="35" t="s">
        <v>1197</v>
      </c>
      <c r="C23" s="35" t="s">
        <v>1023</v>
      </c>
      <c r="D23" s="35" t="s">
        <v>868</v>
      </c>
      <c r="E23" s="35" t="s">
        <v>943</v>
      </c>
      <c r="F23" s="35" t="s">
        <v>1124</v>
      </c>
      <c r="G23" s="35" t="s">
        <v>711</v>
      </c>
      <c r="H23" s="35" t="s">
        <v>1027</v>
      </c>
      <c r="I23" s="35" t="s">
        <v>905</v>
      </c>
    </row>
  </sheetData>
  <mergeCells count="16">
    <mergeCell ref="A21:L21"/>
    <mergeCell ref="A6:B6"/>
    <mergeCell ref="I7:K7"/>
    <mergeCell ref="I6:K6"/>
    <mergeCell ref="I11:K11"/>
    <mergeCell ref="I10:K10"/>
    <mergeCell ref="A7:B7"/>
    <mergeCell ref="A8:B8"/>
    <mergeCell ref="A1:L1"/>
    <mergeCell ref="I9:K9"/>
    <mergeCell ref="A10:B10"/>
    <mergeCell ref="A5:B5"/>
    <mergeCell ref="A13:L13"/>
    <mergeCell ref="I8:K8"/>
    <mergeCell ref="A9:B9"/>
    <mergeCell ref="A3:L3"/>
  </mergeCells>
  <printOptions gridLines="1"/>
  <pageMargins left="0.5" right="0.5" top="0.5" bottom="0.5" header="0.29921259842519687" footer="0.29921259842519687"/>
  <pageSetup scale="70" fitToHeight="0" orientation="landscape" r:id="rId1"/>
  <headerFooter>
    <oddHeader>&amp;L&amp;"Segoe UI,Bold"&amp;14Analisis_Riesgos&amp;R&amp;"Segoe UI"&amp;10Fecha: &amp;D</oddHeader>
    <oddFooter>&amp;L&amp;"Segoe UI"&amp;9SGSI - ISO 27001:2022&amp;R&amp;"Segoe UI"&amp;9Página &amp;P de &amp;N</odd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26">
    <tabColor rgb="FF009900"/>
    <pageSetUpPr fitToPage="1"/>
  </sheetPr>
  <dimension ref="A1:Q50"/>
  <sheetViews>
    <sheetView showGridLines="0" workbookViewId="0">
      <selection sqref="A1:F1"/>
    </sheetView>
  </sheetViews>
  <sheetFormatPr baseColWidth="10" defaultColWidth="9.140625" defaultRowHeight="15" x14ac:dyDescent="0.25"/>
  <cols>
    <col min="1" max="1" width="15" customWidth="1"/>
    <col min="2" max="2" width="12" customWidth="1"/>
    <col min="3" max="3" width="25" customWidth="1"/>
    <col min="4" max="4" width="12" customWidth="1"/>
    <col min="5" max="5" width="15" customWidth="1"/>
    <col min="6" max="6" width="35" customWidth="1"/>
    <col min="7" max="8" width="15" customWidth="1"/>
    <col min="9" max="11" width="12" customWidth="1"/>
    <col min="12" max="12" width="10" customWidth="1"/>
    <col min="13" max="15" width="12" customWidth="1"/>
    <col min="16" max="16" width="30" customWidth="1"/>
    <col min="17" max="17" width="20" customWidth="1"/>
  </cols>
  <sheetData>
    <row r="1" spans="1:17" ht="24.95" customHeight="1" x14ac:dyDescent="0.25">
      <c r="A1" s="256" t="s">
        <v>1198</v>
      </c>
      <c r="B1" s="146"/>
      <c r="C1" s="146"/>
      <c r="D1" s="146"/>
      <c r="E1" s="146"/>
      <c r="F1" s="146"/>
      <c r="G1" s="146"/>
      <c r="H1" s="146"/>
      <c r="I1" s="146"/>
      <c r="J1" s="146"/>
      <c r="K1" s="146"/>
      <c r="L1" s="146"/>
      <c r="M1" s="146"/>
      <c r="N1" s="146"/>
      <c r="O1" s="146"/>
      <c r="P1" s="146"/>
    </row>
    <row r="3" spans="1:17" ht="35.1" customHeight="1" x14ac:dyDescent="0.25">
      <c r="A3" s="83" t="s">
        <v>1022</v>
      </c>
      <c r="B3" s="83" t="s">
        <v>1199</v>
      </c>
      <c r="C3" s="83" t="s">
        <v>1200</v>
      </c>
      <c r="D3" s="83" t="s">
        <v>1041</v>
      </c>
      <c r="E3" s="83" t="s">
        <v>905</v>
      </c>
      <c r="F3" s="83" t="s">
        <v>1201</v>
      </c>
      <c r="G3" s="83" t="s">
        <v>1202</v>
      </c>
      <c r="H3" s="36" t="s">
        <v>1041</v>
      </c>
      <c r="I3" s="36" t="s">
        <v>1203</v>
      </c>
      <c r="J3" s="36" t="s">
        <v>1204</v>
      </c>
      <c r="K3" s="36" t="s">
        <v>905</v>
      </c>
      <c r="L3" s="36" t="s">
        <v>1205</v>
      </c>
      <c r="M3" s="36" t="s">
        <v>1202</v>
      </c>
      <c r="N3" s="36" t="s">
        <v>1206</v>
      </c>
      <c r="O3" s="36" t="s">
        <v>1207</v>
      </c>
      <c r="P3" s="36" t="s">
        <v>1208</v>
      </c>
      <c r="Q3" s="95" t="s">
        <v>1209</v>
      </c>
    </row>
    <row r="4" spans="1:17" ht="30" customHeight="1" x14ac:dyDescent="0.25">
      <c r="A4" s="20" t="s">
        <v>1210</v>
      </c>
      <c r="B4" s="20" t="s">
        <v>1139</v>
      </c>
      <c r="C4" s="20" t="s">
        <v>1211</v>
      </c>
      <c r="D4" s="21" t="s">
        <v>1052</v>
      </c>
      <c r="E4" s="20" t="s">
        <v>1114</v>
      </c>
      <c r="F4" s="20">
        <v>60</v>
      </c>
      <c r="G4" s="20">
        <v>30000</v>
      </c>
      <c r="H4" s="20" t="s">
        <v>924</v>
      </c>
      <c r="I4" s="20" t="s">
        <v>1212</v>
      </c>
      <c r="J4" s="20" t="s">
        <v>1213</v>
      </c>
      <c r="K4" s="22" t="s">
        <v>1114</v>
      </c>
      <c r="L4" s="37" t="s">
        <v>1214</v>
      </c>
      <c r="M4" s="20" t="s">
        <v>1215</v>
      </c>
      <c r="N4" s="20" t="s">
        <v>1216</v>
      </c>
      <c r="O4" s="22" t="s">
        <v>974</v>
      </c>
      <c r="P4" s="20" t="s">
        <v>1217</v>
      </c>
    </row>
    <row r="5" spans="1:17" x14ac:dyDescent="0.25">
      <c r="A5" t="s">
        <v>1218</v>
      </c>
      <c r="B5" t="s">
        <v>1148</v>
      </c>
      <c r="C5" t="s">
        <v>1219</v>
      </c>
      <c r="D5" t="s">
        <v>913</v>
      </c>
      <c r="E5" t="s">
        <v>1114</v>
      </c>
      <c r="F5">
        <v>40</v>
      </c>
      <c r="G5">
        <v>15000</v>
      </c>
    </row>
    <row r="6" spans="1:17" x14ac:dyDescent="0.25">
      <c r="A6" t="s">
        <v>1220</v>
      </c>
      <c r="B6" t="s">
        <v>1151</v>
      </c>
      <c r="C6" t="s">
        <v>1221</v>
      </c>
      <c r="D6" t="s">
        <v>1222</v>
      </c>
      <c r="E6" t="s">
        <v>1223</v>
      </c>
      <c r="F6">
        <v>10</v>
      </c>
      <c r="G6">
        <v>8000</v>
      </c>
    </row>
    <row r="40" spans="1:16" ht="15.75" customHeight="1" x14ac:dyDescent="0.25">
      <c r="A40" s="257" t="s">
        <v>1224</v>
      </c>
      <c r="B40" s="146"/>
      <c r="C40" s="146"/>
      <c r="D40" s="146"/>
      <c r="E40" s="146"/>
      <c r="F40" s="146"/>
      <c r="G40" s="146"/>
      <c r="H40" s="146"/>
      <c r="I40" s="146"/>
      <c r="J40" s="146"/>
      <c r="K40" s="146"/>
      <c r="L40" s="146"/>
      <c r="M40" s="146"/>
      <c r="N40" s="146"/>
      <c r="O40" s="146"/>
      <c r="P40" s="146"/>
    </row>
    <row r="42" spans="1:16" ht="18.75" customHeight="1" x14ac:dyDescent="0.25">
      <c r="A42" s="38" t="s">
        <v>1225</v>
      </c>
      <c r="B42" s="39" t="s">
        <v>1104</v>
      </c>
      <c r="D42" s="38" t="s">
        <v>1226</v>
      </c>
      <c r="E42" s="40" t="s">
        <v>1104</v>
      </c>
      <c r="G42" s="38" t="s">
        <v>1227</v>
      </c>
      <c r="H42" s="41" t="s">
        <v>1104</v>
      </c>
      <c r="J42" s="38" t="s">
        <v>1228</v>
      </c>
      <c r="K42" s="42" t="s">
        <v>1104</v>
      </c>
      <c r="M42" s="38" t="s">
        <v>1229</v>
      </c>
      <c r="N42" s="43" t="s">
        <v>1104</v>
      </c>
    </row>
    <row r="44" spans="1:16" ht="18.75" customHeight="1" x14ac:dyDescent="0.25">
      <c r="A44" s="38" t="s">
        <v>1230</v>
      </c>
      <c r="B44" s="44" t="s">
        <v>1231</v>
      </c>
      <c r="D44" s="38" t="s">
        <v>1232</v>
      </c>
      <c r="E44" s="42" t="s">
        <v>1231</v>
      </c>
      <c r="G44" s="38" t="s">
        <v>1233</v>
      </c>
      <c r="H44" s="40" t="s">
        <v>1231</v>
      </c>
      <c r="J44" s="38" t="s">
        <v>1234</v>
      </c>
      <c r="K44" s="39" t="s">
        <v>1105</v>
      </c>
    </row>
    <row r="47" spans="1:16" x14ac:dyDescent="0.25">
      <c r="A47" s="255" t="s">
        <v>1235</v>
      </c>
      <c r="B47" s="146"/>
      <c r="C47" s="146"/>
      <c r="D47" s="146"/>
      <c r="F47" s="255" t="s">
        <v>1236</v>
      </c>
      <c r="G47" s="146"/>
      <c r="H47" s="146"/>
      <c r="I47" s="146"/>
    </row>
    <row r="49" spans="1:12" x14ac:dyDescent="0.25">
      <c r="A49" s="25" t="s">
        <v>1113</v>
      </c>
      <c r="B49" s="24" t="s">
        <v>1114</v>
      </c>
      <c r="C49" s="23" t="s">
        <v>1116</v>
      </c>
      <c r="D49" s="33" t="s">
        <v>1118</v>
      </c>
      <c r="F49" s="45" t="s">
        <v>1147</v>
      </c>
      <c r="G49" s="33" t="s">
        <v>1237</v>
      </c>
      <c r="H49" s="24" t="s">
        <v>1238</v>
      </c>
      <c r="I49" s="25" t="s">
        <v>1239</v>
      </c>
    </row>
    <row r="50" spans="1:12" x14ac:dyDescent="0.25">
      <c r="A50" s="89" t="s">
        <v>1240</v>
      </c>
      <c r="B50" s="84"/>
      <c r="C50" s="84"/>
      <c r="D50" s="84"/>
      <c r="E50" s="84"/>
      <c r="F50" s="84"/>
      <c r="G50" s="84"/>
      <c r="H50" s="90" t="s">
        <v>1223</v>
      </c>
      <c r="I50" s="85">
        <v>45967</v>
      </c>
      <c r="J50" s="84"/>
      <c r="K50" s="91">
        <v>0</v>
      </c>
      <c r="L50" s="84"/>
    </row>
  </sheetData>
  <mergeCells count="4">
    <mergeCell ref="F47:I47"/>
    <mergeCell ref="A47:D47"/>
    <mergeCell ref="A1:P1"/>
    <mergeCell ref="A40:P40"/>
  </mergeCells>
  <dataValidations count="2">
    <dataValidation type="list" sqref="E4:E1000 K4:K1000" xr:uid="{00000000-0002-0000-2000-000000000000}">
      <formula1>"Planificado,En Proceso,Implementado,Completado"</formula1>
    </dataValidation>
    <dataValidation type="list" sqref="O4:O1000" xr:uid="{00000000-0002-0000-2000-000001000000}">
      <formula1>"Crítico,Alto,Medio,Bajo"</formula1>
    </dataValidation>
  </dataValidations>
  <printOptions gridLines="1"/>
  <pageMargins left="0.5" right="0.5" top="0.5" bottom="0.5" header="0.29921259842519687" footer="0.29921259842519687"/>
  <pageSetup scale="45" fitToHeight="0" orientation="landscape" r:id="rId1"/>
  <headerFooter>
    <oddHeader>&amp;L&amp;"Segoe UI,Bold"&amp;14Plan_Tratamiento&amp;R&amp;"Segoe UI"&amp;10Fecha: &amp;D</oddHeader>
    <oddFooter>&amp;L&amp;"Segoe UI"&amp;9SGSI - ISO 27001:2022&amp;R&amp;"Segoe UI"&amp;9Página &amp;P de &amp;N</odd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27">
    <tabColor rgb="FF7030A0"/>
  </sheetPr>
  <dimension ref="A1:E12"/>
  <sheetViews>
    <sheetView showGridLines="0" workbookViewId="0">
      <selection sqref="A1:E1"/>
    </sheetView>
  </sheetViews>
  <sheetFormatPr baseColWidth="10" defaultColWidth="9.140625" defaultRowHeight="15" x14ac:dyDescent="0.25"/>
  <cols>
    <col min="1" max="1" width="8" customWidth="1"/>
    <col min="2" max="2" width="20" customWidth="1"/>
    <col min="3" max="3" width="35" customWidth="1"/>
    <col min="4" max="4" width="40" customWidth="1"/>
    <col min="5" max="5" width="12" customWidth="1"/>
  </cols>
  <sheetData>
    <row r="1" spans="1:5" ht="24.95" customHeight="1" x14ac:dyDescent="0.25">
      <c r="A1" s="205" t="s">
        <v>1241</v>
      </c>
      <c r="B1" s="146"/>
      <c r="C1" s="146"/>
      <c r="D1" s="146"/>
      <c r="E1" s="146"/>
    </row>
    <row r="3" spans="1:5" x14ac:dyDescent="0.25">
      <c r="A3" s="258" t="s">
        <v>1242</v>
      </c>
      <c r="B3" s="146"/>
      <c r="C3" s="146"/>
      <c r="D3" s="146"/>
      <c r="E3" s="146"/>
    </row>
    <row r="5" spans="1:5" x14ac:dyDescent="0.25">
      <c r="A5" s="46" t="s">
        <v>1022</v>
      </c>
      <c r="B5" s="46" t="s">
        <v>1024</v>
      </c>
      <c r="C5" s="46" t="s">
        <v>108</v>
      </c>
      <c r="D5" s="46" t="s">
        <v>1243</v>
      </c>
      <c r="E5" s="46" t="s">
        <v>905</v>
      </c>
    </row>
    <row r="6" spans="1:5" x14ac:dyDescent="0.25">
      <c r="A6" s="20" t="s">
        <v>965</v>
      </c>
      <c r="B6" s="47" t="s">
        <v>1042</v>
      </c>
      <c r="C6" s="47" t="s">
        <v>1244</v>
      </c>
      <c r="D6" s="47" t="s">
        <v>1245</v>
      </c>
      <c r="E6" s="20" t="s">
        <v>868</v>
      </c>
    </row>
    <row r="7" spans="1:5" x14ac:dyDescent="0.25">
      <c r="A7" s="20" t="s">
        <v>961</v>
      </c>
      <c r="B7" s="47" t="s">
        <v>1058</v>
      </c>
      <c r="C7" s="47" t="s">
        <v>1246</v>
      </c>
      <c r="D7" s="47" t="s">
        <v>1247</v>
      </c>
      <c r="E7" s="20" t="s">
        <v>868</v>
      </c>
    </row>
    <row r="8" spans="1:5" x14ac:dyDescent="0.25">
      <c r="A8" s="20" t="s">
        <v>957</v>
      </c>
      <c r="B8" s="47" t="s">
        <v>1070</v>
      </c>
      <c r="C8" s="47" t="s">
        <v>1248</v>
      </c>
      <c r="D8" s="47" t="s">
        <v>1249</v>
      </c>
      <c r="E8" s="20" t="s">
        <v>868</v>
      </c>
    </row>
    <row r="9" spans="1:5" x14ac:dyDescent="0.25">
      <c r="A9" s="20" t="s">
        <v>953</v>
      </c>
      <c r="B9" s="47" t="s">
        <v>1250</v>
      </c>
      <c r="C9" s="47" t="s">
        <v>1251</v>
      </c>
      <c r="D9" s="47" t="s">
        <v>1252</v>
      </c>
      <c r="E9" s="20" t="s">
        <v>868</v>
      </c>
    </row>
    <row r="10" spans="1:5" x14ac:dyDescent="0.25">
      <c r="A10" s="20" t="s">
        <v>949</v>
      </c>
      <c r="B10" s="47" t="s">
        <v>1253</v>
      </c>
      <c r="C10" s="47" t="s">
        <v>1254</v>
      </c>
      <c r="D10" s="47" t="s">
        <v>1255</v>
      </c>
      <c r="E10" s="20" t="s">
        <v>868</v>
      </c>
    </row>
    <row r="11" spans="1:5" x14ac:dyDescent="0.25">
      <c r="A11" s="20" t="s">
        <v>1179</v>
      </c>
      <c r="B11" s="47" t="s">
        <v>1256</v>
      </c>
      <c r="C11" s="47" t="s">
        <v>1257</v>
      </c>
      <c r="D11" s="47" t="s">
        <v>1258</v>
      </c>
      <c r="E11" s="20" t="s">
        <v>868</v>
      </c>
    </row>
    <row r="12" spans="1:5" x14ac:dyDescent="0.25">
      <c r="A12" s="20" t="s">
        <v>1259</v>
      </c>
      <c r="B12" s="47" t="s">
        <v>1260</v>
      </c>
      <c r="C12" s="47" t="s">
        <v>1261</v>
      </c>
      <c r="D12" s="47" t="s">
        <v>1262</v>
      </c>
      <c r="E12" s="20" t="s">
        <v>868</v>
      </c>
    </row>
  </sheetData>
  <mergeCells count="2">
    <mergeCell ref="A1:E1"/>
    <mergeCell ref="A3:E3"/>
  </mergeCells>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Hoja28">
    <tabColor rgb="FF7030A0"/>
  </sheetPr>
  <dimension ref="A1:E13"/>
  <sheetViews>
    <sheetView showGridLines="0" workbookViewId="0">
      <selection sqref="A1:E1"/>
    </sheetView>
  </sheetViews>
  <sheetFormatPr baseColWidth="10" defaultColWidth="9.140625" defaultRowHeight="15" x14ac:dyDescent="0.25"/>
  <cols>
    <col min="1" max="1" width="8" customWidth="1"/>
    <col min="2" max="2" width="18" customWidth="1"/>
    <col min="3" max="3" width="35" customWidth="1"/>
    <col min="4" max="4" width="25" customWidth="1"/>
    <col min="5" max="5" width="12" customWidth="1"/>
  </cols>
  <sheetData>
    <row r="1" spans="1:5" ht="24.95" customHeight="1" x14ac:dyDescent="0.25">
      <c r="A1" s="205" t="s">
        <v>1263</v>
      </c>
      <c r="B1" s="146"/>
      <c r="C1" s="146"/>
      <c r="D1" s="146"/>
      <c r="E1" s="146"/>
    </row>
    <row r="3" spans="1:5" x14ac:dyDescent="0.25">
      <c r="A3" s="258" t="s">
        <v>1264</v>
      </c>
      <c r="B3" s="146"/>
      <c r="C3" s="146"/>
      <c r="D3" s="146"/>
      <c r="E3" s="146"/>
    </row>
    <row r="5" spans="1:5" x14ac:dyDescent="0.25">
      <c r="A5" s="46" t="s">
        <v>1022</v>
      </c>
      <c r="B5" s="46" t="s">
        <v>1026</v>
      </c>
      <c r="C5" s="46" t="s">
        <v>108</v>
      </c>
      <c r="D5" s="46" t="s">
        <v>1041</v>
      </c>
      <c r="E5" s="46" t="s">
        <v>905</v>
      </c>
    </row>
    <row r="6" spans="1:5" x14ac:dyDescent="0.25">
      <c r="A6" s="6" t="s">
        <v>965</v>
      </c>
      <c r="B6" s="1" t="s">
        <v>1265</v>
      </c>
      <c r="C6" s="1" t="s">
        <v>1266</v>
      </c>
      <c r="D6" s="1" t="s">
        <v>1267</v>
      </c>
      <c r="E6" s="6" t="s">
        <v>868</v>
      </c>
    </row>
    <row r="7" spans="1:5" x14ac:dyDescent="0.25">
      <c r="A7" s="6" t="s">
        <v>961</v>
      </c>
      <c r="B7" s="1" t="s">
        <v>1268</v>
      </c>
      <c r="C7" s="1" t="s">
        <v>1269</v>
      </c>
      <c r="D7" s="1" t="s">
        <v>1270</v>
      </c>
      <c r="E7" s="6" t="s">
        <v>868</v>
      </c>
    </row>
    <row r="8" spans="1:5" x14ac:dyDescent="0.25">
      <c r="A8" s="6" t="s">
        <v>957</v>
      </c>
      <c r="B8" s="1" t="s">
        <v>1271</v>
      </c>
      <c r="C8" s="1" t="s">
        <v>1272</v>
      </c>
      <c r="D8" s="1" t="s">
        <v>1273</v>
      </c>
      <c r="E8" s="6" t="s">
        <v>868</v>
      </c>
    </row>
    <row r="9" spans="1:5" x14ac:dyDescent="0.25">
      <c r="A9" s="6" t="s">
        <v>953</v>
      </c>
      <c r="B9" s="1" t="s">
        <v>1274</v>
      </c>
      <c r="C9" s="1" t="s">
        <v>1275</v>
      </c>
      <c r="D9" s="1" t="s">
        <v>1276</v>
      </c>
      <c r="E9" s="6" t="s">
        <v>868</v>
      </c>
    </row>
    <row r="10" spans="1:5" x14ac:dyDescent="0.25">
      <c r="A10" s="6" t="s">
        <v>949</v>
      </c>
      <c r="B10" s="1" t="s">
        <v>1277</v>
      </c>
      <c r="C10" s="1" t="s">
        <v>1278</v>
      </c>
      <c r="D10" s="1" t="s">
        <v>1279</v>
      </c>
      <c r="E10" s="6" t="s">
        <v>868</v>
      </c>
    </row>
    <row r="11" spans="1:5" x14ac:dyDescent="0.25">
      <c r="A11" s="6" t="s">
        <v>1179</v>
      </c>
      <c r="B11" s="1" t="s">
        <v>1280</v>
      </c>
      <c r="C11" s="1" t="s">
        <v>1281</v>
      </c>
      <c r="D11" s="1" t="s">
        <v>1282</v>
      </c>
      <c r="E11" s="6" t="s">
        <v>868</v>
      </c>
    </row>
    <row r="12" spans="1:5" x14ac:dyDescent="0.25">
      <c r="A12" s="6" t="s">
        <v>1259</v>
      </c>
      <c r="B12" s="1" t="s">
        <v>1283</v>
      </c>
      <c r="C12" s="1" t="s">
        <v>1284</v>
      </c>
      <c r="D12" s="1" t="s">
        <v>913</v>
      </c>
      <c r="E12" s="6" t="s">
        <v>868</v>
      </c>
    </row>
    <row r="13" spans="1:5" x14ac:dyDescent="0.25">
      <c r="A13" s="6" t="s">
        <v>1175</v>
      </c>
      <c r="B13" s="1" t="s">
        <v>1285</v>
      </c>
      <c r="C13" s="1" t="s">
        <v>1286</v>
      </c>
      <c r="D13" s="1" t="s">
        <v>914</v>
      </c>
      <c r="E13" s="6" t="s">
        <v>868</v>
      </c>
    </row>
  </sheetData>
  <mergeCells count="2">
    <mergeCell ref="A1:E1"/>
    <mergeCell ref="A3:E3"/>
  </mergeCells>
  <pageMargins left="0.75" right="0.75" top="1" bottom="1" header="0.5" footer="0.5"/>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Hoja29">
    <tabColor rgb="FF7030A0"/>
  </sheetPr>
  <dimension ref="A1:F10"/>
  <sheetViews>
    <sheetView showGridLines="0" workbookViewId="0">
      <selection sqref="A1:F1"/>
    </sheetView>
  </sheetViews>
  <sheetFormatPr baseColWidth="10" defaultColWidth="9.140625" defaultRowHeight="15" x14ac:dyDescent="0.25"/>
  <cols>
    <col min="1" max="1" width="8" customWidth="1"/>
    <col min="2" max="2" width="15" customWidth="1"/>
    <col min="3" max="3" width="45" customWidth="1"/>
    <col min="4" max="4" width="10" customWidth="1"/>
    <col min="5" max="6" width="12" customWidth="1"/>
  </cols>
  <sheetData>
    <row r="1" spans="1:6" ht="24.95" customHeight="1" x14ac:dyDescent="0.25">
      <c r="A1" s="205" t="s">
        <v>1287</v>
      </c>
      <c r="B1" s="146"/>
      <c r="C1" s="146"/>
      <c r="D1" s="146"/>
      <c r="E1" s="146"/>
      <c r="F1" s="146"/>
    </row>
    <row r="3" spans="1:6" x14ac:dyDescent="0.25">
      <c r="A3" s="258" t="s">
        <v>1288</v>
      </c>
      <c r="B3" s="146"/>
      <c r="C3" s="146"/>
      <c r="D3" s="146"/>
      <c r="E3" s="146"/>
      <c r="F3" s="146"/>
    </row>
    <row r="5" spans="1:6" x14ac:dyDescent="0.25">
      <c r="A5" s="46" t="s">
        <v>1022</v>
      </c>
      <c r="B5" s="46" t="s">
        <v>1029</v>
      </c>
      <c r="C5" s="46" t="s">
        <v>108</v>
      </c>
      <c r="D5" s="46" t="s">
        <v>943</v>
      </c>
      <c r="E5" s="46" t="s">
        <v>1289</v>
      </c>
      <c r="F5" s="46" t="s">
        <v>905</v>
      </c>
    </row>
    <row r="6" spans="1:6" ht="30" customHeight="1" x14ac:dyDescent="0.25">
      <c r="A6" s="20" t="s">
        <v>965</v>
      </c>
      <c r="B6" s="47" t="s">
        <v>1111</v>
      </c>
      <c r="C6" s="47" t="s">
        <v>1290</v>
      </c>
      <c r="D6" s="20" t="s">
        <v>949</v>
      </c>
      <c r="E6" s="48" t="s">
        <v>1291</v>
      </c>
      <c r="F6" s="20" t="s">
        <v>868</v>
      </c>
    </row>
    <row r="7" spans="1:6" ht="30" customHeight="1" x14ac:dyDescent="0.25">
      <c r="A7" s="20" t="s">
        <v>961</v>
      </c>
      <c r="B7" s="47" t="s">
        <v>968</v>
      </c>
      <c r="C7" s="47" t="s">
        <v>1292</v>
      </c>
      <c r="D7" s="20" t="s">
        <v>953</v>
      </c>
      <c r="E7" s="49" t="s">
        <v>1293</v>
      </c>
      <c r="F7" s="20" t="s">
        <v>868</v>
      </c>
    </row>
    <row r="8" spans="1:6" x14ac:dyDescent="0.25">
      <c r="A8" s="20" t="s">
        <v>957</v>
      </c>
      <c r="B8" s="47" t="s">
        <v>971</v>
      </c>
      <c r="C8" s="47" t="s">
        <v>1294</v>
      </c>
      <c r="D8" s="20" t="s">
        <v>957</v>
      </c>
      <c r="E8" s="50" t="s">
        <v>1295</v>
      </c>
      <c r="F8" s="20" t="s">
        <v>868</v>
      </c>
    </row>
    <row r="9" spans="1:6" x14ac:dyDescent="0.25">
      <c r="A9" s="20" t="s">
        <v>953</v>
      </c>
      <c r="B9" s="47" t="s">
        <v>974</v>
      </c>
      <c r="C9" s="47" t="s">
        <v>1296</v>
      </c>
      <c r="D9" s="20" t="s">
        <v>961</v>
      </c>
      <c r="E9" s="51" t="s">
        <v>1297</v>
      </c>
      <c r="F9" s="20" t="s">
        <v>868</v>
      </c>
    </row>
    <row r="10" spans="1:6" x14ac:dyDescent="0.25">
      <c r="A10" s="20" t="s">
        <v>949</v>
      </c>
      <c r="B10" s="47" t="s">
        <v>977</v>
      </c>
      <c r="C10" s="47" t="s">
        <v>1298</v>
      </c>
      <c r="D10" s="20" t="s">
        <v>965</v>
      </c>
      <c r="E10" s="52" t="s">
        <v>1299</v>
      </c>
      <c r="F10" s="20" t="s">
        <v>868</v>
      </c>
    </row>
  </sheetData>
  <mergeCells count="2">
    <mergeCell ref="A3:F3"/>
    <mergeCell ref="A1:F1"/>
  </mergeCells>
  <pageMargins left="0.75" right="0.75" top="1" bottom="1" header="0.5" footer="0.5"/>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Hoja30">
    <tabColor rgb="FF2E75B5"/>
  </sheetPr>
  <dimension ref="A1:I501"/>
  <sheetViews>
    <sheetView showGridLines="0" workbookViewId="0">
      <selection sqref="A1:H1"/>
    </sheetView>
  </sheetViews>
  <sheetFormatPr baseColWidth="10" defaultColWidth="9.140625" defaultRowHeight="15" x14ac:dyDescent="0.25"/>
  <cols>
    <col min="1" max="1" width="12" customWidth="1"/>
    <col min="2" max="2" width="25" customWidth="1"/>
    <col min="3" max="3" width="40" customWidth="1"/>
    <col min="4" max="4" width="18" customWidth="1"/>
    <col min="5" max="5" width="12" customWidth="1"/>
    <col min="6" max="6" width="10" customWidth="1"/>
    <col min="7" max="7" width="15" customWidth="1"/>
    <col min="8" max="8" width="20" customWidth="1"/>
    <col min="9" max="9" width="25" customWidth="1"/>
  </cols>
  <sheetData>
    <row r="1" spans="1:9" ht="24.95" customHeight="1" x14ac:dyDescent="0.25">
      <c r="A1" s="190" t="s">
        <v>1300</v>
      </c>
      <c r="B1" s="146"/>
      <c r="C1" s="146"/>
      <c r="D1" s="146"/>
      <c r="E1" s="146"/>
      <c r="F1" s="146"/>
      <c r="G1" s="146"/>
      <c r="H1" s="146"/>
      <c r="I1" s="97" t="s">
        <v>1209</v>
      </c>
    </row>
    <row r="2" spans="1:9" x14ac:dyDescent="0.25">
      <c r="I2" s="99"/>
    </row>
    <row r="3" spans="1:9" x14ac:dyDescent="0.25">
      <c r="A3" s="260" t="s">
        <v>1301</v>
      </c>
      <c r="B3" s="146"/>
      <c r="C3" s="146"/>
      <c r="D3" s="146"/>
      <c r="E3" s="146"/>
      <c r="F3" s="146"/>
      <c r="G3" s="146"/>
      <c r="H3" s="146"/>
      <c r="I3" s="99"/>
    </row>
    <row r="4" spans="1:9" x14ac:dyDescent="0.25">
      <c r="I4" s="99"/>
    </row>
    <row r="5" spans="1:9" ht="30" customHeight="1" x14ac:dyDescent="0.25">
      <c r="A5" s="53" t="s">
        <v>1302</v>
      </c>
      <c r="B5" s="53" t="s">
        <v>1023</v>
      </c>
      <c r="C5" s="53" t="s">
        <v>108</v>
      </c>
      <c r="D5" s="53" t="s">
        <v>1024</v>
      </c>
      <c r="E5" s="53" t="s">
        <v>1113</v>
      </c>
      <c r="F5" s="53" t="s">
        <v>943</v>
      </c>
      <c r="G5" s="53" t="s">
        <v>1041</v>
      </c>
      <c r="H5" s="53" t="s">
        <v>1303</v>
      </c>
      <c r="I5" s="99"/>
    </row>
    <row r="6" spans="1:9" ht="30" customHeight="1" x14ac:dyDescent="0.25">
      <c r="A6" s="20" t="s">
        <v>1304</v>
      </c>
      <c r="B6" s="47" t="s">
        <v>1305</v>
      </c>
      <c r="C6" s="47" t="s">
        <v>1306</v>
      </c>
      <c r="D6" s="47" t="s">
        <v>1307</v>
      </c>
      <c r="E6" s="54" t="s">
        <v>1308</v>
      </c>
      <c r="F6" s="20" t="s">
        <v>971</v>
      </c>
      <c r="G6" s="47" t="s">
        <v>913</v>
      </c>
      <c r="H6" s="47" t="s">
        <v>1309</v>
      </c>
      <c r="I6" s="99"/>
    </row>
    <row r="7" spans="1:9" x14ac:dyDescent="0.25">
      <c r="A7" s="20" t="s">
        <v>1310</v>
      </c>
      <c r="B7" s="47" t="s">
        <v>1311</v>
      </c>
      <c r="C7" s="47" t="s">
        <v>1312</v>
      </c>
      <c r="D7" s="47" t="s">
        <v>1307</v>
      </c>
      <c r="E7" s="54" t="s">
        <v>1308</v>
      </c>
      <c r="F7" s="20" t="s">
        <v>971</v>
      </c>
      <c r="G7" s="47" t="s">
        <v>1268</v>
      </c>
      <c r="H7" s="47" t="s">
        <v>1313</v>
      </c>
      <c r="I7" s="99"/>
    </row>
    <row r="8" spans="1:9" x14ac:dyDescent="0.25">
      <c r="A8" s="20" t="s">
        <v>1314</v>
      </c>
      <c r="B8" s="47" t="s">
        <v>1315</v>
      </c>
      <c r="C8" s="47" t="s">
        <v>1316</v>
      </c>
      <c r="D8" s="47" t="s">
        <v>1307</v>
      </c>
      <c r="E8" s="22" t="s">
        <v>1317</v>
      </c>
      <c r="F8" s="20" t="s">
        <v>974</v>
      </c>
      <c r="G8" s="47" t="s">
        <v>913</v>
      </c>
      <c r="H8" s="47" t="s">
        <v>1318</v>
      </c>
      <c r="I8" s="99"/>
    </row>
    <row r="9" spans="1:9" x14ac:dyDescent="0.25">
      <c r="A9" s="20" t="s">
        <v>1319</v>
      </c>
      <c r="B9" s="47" t="s">
        <v>1320</v>
      </c>
      <c r="C9" s="47" t="s">
        <v>1321</v>
      </c>
      <c r="D9" s="47" t="s">
        <v>1307</v>
      </c>
      <c r="E9" s="55" t="s">
        <v>1322</v>
      </c>
      <c r="F9" s="20" t="s">
        <v>977</v>
      </c>
      <c r="G9" s="47" t="s">
        <v>1265</v>
      </c>
      <c r="H9" s="47" t="s">
        <v>1323</v>
      </c>
      <c r="I9" s="99"/>
    </row>
    <row r="10" spans="1:9" x14ac:dyDescent="0.25">
      <c r="A10" s="20" t="s">
        <v>1324</v>
      </c>
      <c r="B10" s="47" t="s">
        <v>1325</v>
      </c>
      <c r="C10" s="47" t="s">
        <v>1326</v>
      </c>
      <c r="D10" s="47" t="s">
        <v>1307</v>
      </c>
      <c r="E10" s="54" t="s">
        <v>1308</v>
      </c>
      <c r="F10" s="20" t="s">
        <v>971</v>
      </c>
      <c r="G10" s="47" t="s">
        <v>913</v>
      </c>
      <c r="H10" s="47" t="s">
        <v>1327</v>
      </c>
      <c r="I10" s="99"/>
    </row>
    <row r="11" spans="1:9" x14ac:dyDescent="0.25">
      <c r="I11" s="99"/>
    </row>
    <row r="12" spans="1:9" x14ac:dyDescent="0.25">
      <c r="I12" s="99"/>
    </row>
    <row r="13" spans="1:9" x14ac:dyDescent="0.25">
      <c r="I13" s="99"/>
    </row>
    <row r="14" spans="1:9" x14ac:dyDescent="0.25">
      <c r="I14" s="99"/>
    </row>
    <row r="15" spans="1:9" x14ac:dyDescent="0.25">
      <c r="I15" s="99"/>
    </row>
    <row r="16" spans="1:9" x14ac:dyDescent="0.25">
      <c r="I16" s="99"/>
    </row>
    <row r="17" spans="9:9" x14ac:dyDescent="0.25">
      <c r="I17" s="99"/>
    </row>
    <row r="18" spans="9:9" x14ac:dyDescent="0.25">
      <c r="I18" s="99"/>
    </row>
    <row r="19" spans="9:9" x14ac:dyDescent="0.25">
      <c r="I19" s="99"/>
    </row>
    <row r="20" spans="9:9" x14ac:dyDescent="0.25">
      <c r="I20" s="99"/>
    </row>
    <row r="21" spans="9:9" x14ac:dyDescent="0.25">
      <c r="I21" s="99"/>
    </row>
    <row r="22" spans="9:9" x14ac:dyDescent="0.25">
      <c r="I22" s="99"/>
    </row>
    <row r="23" spans="9:9" x14ac:dyDescent="0.25">
      <c r="I23" s="99"/>
    </row>
    <row r="24" spans="9:9" x14ac:dyDescent="0.25">
      <c r="I24" s="99"/>
    </row>
    <row r="25" spans="9:9" x14ac:dyDescent="0.25">
      <c r="I25" s="99"/>
    </row>
    <row r="26" spans="9:9" x14ac:dyDescent="0.25">
      <c r="I26" s="99"/>
    </row>
    <row r="27" spans="9:9" x14ac:dyDescent="0.25">
      <c r="I27" s="99"/>
    </row>
    <row r="28" spans="9:9" x14ac:dyDescent="0.25">
      <c r="I28" s="99"/>
    </row>
    <row r="29" spans="9:9" x14ac:dyDescent="0.25">
      <c r="I29" s="99"/>
    </row>
    <row r="30" spans="9:9" x14ac:dyDescent="0.25">
      <c r="I30" s="99"/>
    </row>
    <row r="31" spans="9:9" x14ac:dyDescent="0.25">
      <c r="I31" s="99"/>
    </row>
    <row r="32" spans="9:9" x14ac:dyDescent="0.25">
      <c r="I32" s="99"/>
    </row>
    <row r="33" spans="9:9" x14ac:dyDescent="0.25">
      <c r="I33" s="99"/>
    </row>
    <row r="34" spans="9:9" x14ac:dyDescent="0.25">
      <c r="I34" s="99"/>
    </row>
    <row r="35" spans="9:9" x14ac:dyDescent="0.25">
      <c r="I35" s="99"/>
    </row>
    <row r="36" spans="9:9" x14ac:dyDescent="0.25">
      <c r="I36" s="99"/>
    </row>
    <row r="37" spans="9:9" x14ac:dyDescent="0.25">
      <c r="I37" s="99"/>
    </row>
    <row r="38" spans="9:9" x14ac:dyDescent="0.25">
      <c r="I38" s="99"/>
    </row>
    <row r="39" spans="9:9" x14ac:dyDescent="0.25">
      <c r="I39" s="99"/>
    </row>
    <row r="40" spans="9:9" x14ac:dyDescent="0.25">
      <c r="I40" s="99"/>
    </row>
    <row r="41" spans="9:9" x14ac:dyDescent="0.25">
      <c r="I41" s="99"/>
    </row>
    <row r="42" spans="9:9" x14ac:dyDescent="0.25">
      <c r="I42" s="99"/>
    </row>
    <row r="43" spans="9:9" x14ac:dyDescent="0.25">
      <c r="I43" s="99"/>
    </row>
    <row r="44" spans="9:9" x14ac:dyDescent="0.25">
      <c r="I44" s="99"/>
    </row>
    <row r="45" spans="9:9" x14ac:dyDescent="0.25">
      <c r="I45" s="99"/>
    </row>
    <row r="46" spans="9:9" x14ac:dyDescent="0.25">
      <c r="I46" s="99"/>
    </row>
    <row r="47" spans="9:9" x14ac:dyDescent="0.25">
      <c r="I47" s="99"/>
    </row>
    <row r="48" spans="9:9" x14ac:dyDescent="0.25">
      <c r="I48" s="99"/>
    </row>
    <row r="49" spans="1:9" x14ac:dyDescent="0.25">
      <c r="I49" s="99"/>
    </row>
    <row r="50" spans="1:9" x14ac:dyDescent="0.25">
      <c r="A50" s="259" t="s">
        <v>1328</v>
      </c>
      <c r="B50" s="146"/>
      <c r="C50" s="146"/>
      <c r="D50" s="146"/>
      <c r="E50" s="146"/>
      <c r="F50" s="146"/>
      <c r="G50" s="146"/>
      <c r="H50" s="146"/>
      <c r="I50" s="99"/>
    </row>
    <row r="51" spans="1:9" x14ac:dyDescent="0.25">
      <c r="A51" s="261" t="s">
        <v>1329</v>
      </c>
      <c r="B51" s="146"/>
      <c r="C51" s="146"/>
      <c r="D51" s="146"/>
      <c r="E51" s="146"/>
      <c r="F51" s="146"/>
      <c r="G51" s="146"/>
      <c r="H51" s="146"/>
      <c r="I51" s="99"/>
    </row>
    <row r="52" spans="1:9" x14ac:dyDescent="0.25">
      <c r="I52" s="99"/>
    </row>
    <row r="53" spans="1:9" x14ac:dyDescent="0.25">
      <c r="I53" s="99"/>
    </row>
    <row r="54" spans="1:9" x14ac:dyDescent="0.25">
      <c r="I54" s="99"/>
    </row>
    <row r="55" spans="1:9" x14ac:dyDescent="0.25">
      <c r="I55" s="99"/>
    </row>
    <row r="56" spans="1:9" x14ac:dyDescent="0.25">
      <c r="I56" s="99"/>
    </row>
    <row r="57" spans="1:9" x14ac:dyDescent="0.25">
      <c r="I57" s="99"/>
    </row>
    <row r="58" spans="1:9" x14ac:dyDescent="0.25">
      <c r="I58" s="99"/>
    </row>
    <row r="59" spans="1:9" x14ac:dyDescent="0.25">
      <c r="I59" s="99"/>
    </row>
    <row r="60" spans="1:9" x14ac:dyDescent="0.25">
      <c r="I60" s="99"/>
    </row>
    <row r="61" spans="1:9" x14ac:dyDescent="0.25">
      <c r="I61" s="99"/>
    </row>
    <row r="62" spans="1:9" x14ac:dyDescent="0.25">
      <c r="I62" s="99"/>
    </row>
    <row r="63" spans="1:9" x14ac:dyDescent="0.25">
      <c r="I63" s="99"/>
    </row>
    <row r="64" spans="1:9" x14ac:dyDescent="0.25">
      <c r="I64" s="99"/>
    </row>
    <row r="65" spans="9:9" x14ac:dyDescent="0.25">
      <c r="I65" s="99"/>
    </row>
    <row r="66" spans="9:9" x14ac:dyDescent="0.25">
      <c r="I66" s="99"/>
    </row>
    <row r="67" spans="9:9" x14ac:dyDescent="0.25">
      <c r="I67" s="99"/>
    </row>
    <row r="68" spans="9:9" x14ac:dyDescent="0.25">
      <c r="I68" s="99"/>
    </row>
    <row r="69" spans="9:9" x14ac:dyDescent="0.25">
      <c r="I69" s="99"/>
    </row>
    <row r="70" spans="9:9" x14ac:dyDescent="0.25">
      <c r="I70" s="99"/>
    </row>
    <row r="71" spans="9:9" x14ac:dyDescent="0.25">
      <c r="I71" s="99"/>
    </row>
    <row r="72" spans="9:9" x14ac:dyDescent="0.25">
      <c r="I72" s="99"/>
    </row>
    <row r="73" spans="9:9" x14ac:dyDescent="0.25">
      <c r="I73" s="99"/>
    </row>
    <row r="74" spans="9:9" x14ac:dyDescent="0.25">
      <c r="I74" s="99"/>
    </row>
    <row r="75" spans="9:9" x14ac:dyDescent="0.25">
      <c r="I75" s="99"/>
    </row>
    <row r="76" spans="9:9" x14ac:dyDescent="0.25">
      <c r="I76" s="99"/>
    </row>
    <row r="77" spans="9:9" x14ac:dyDescent="0.25">
      <c r="I77" s="99"/>
    </row>
    <row r="78" spans="9:9" x14ac:dyDescent="0.25">
      <c r="I78" s="99"/>
    </row>
    <row r="79" spans="9:9" x14ac:dyDescent="0.25">
      <c r="I79" s="99"/>
    </row>
    <row r="80" spans="9:9" x14ac:dyDescent="0.25">
      <c r="I80" s="99"/>
    </row>
    <row r="81" spans="9:9" x14ac:dyDescent="0.25">
      <c r="I81" s="99"/>
    </row>
    <row r="82" spans="9:9" x14ac:dyDescent="0.25">
      <c r="I82" s="99"/>
    </row>
    <row r="83" spans="9:9" x14ac:dyDescent="0.25">
      <c r="I83" s="99"/>
    </row>
    <row r="84" spans="9:9" x14ac:dyDescent="0.25">
      <c r="I84" s="99"/>
    </row>
    <row r="85" spans="9:9" x14ac:dyDescent="0.25">
      <c r="I85" s="99"/>
    </row>
    <row r="86" spans="9:9" x14ac:dyDescent="0.25">
      <c r="I86" s="99"/>
    </row>
    <row r="87" spans="9:9" x14ac:dyDescent="0.25">
      <c r="I87" s="99"/>
    </row>
    <row r="88" spans="9:9" x14ac:dyDescent="0.25">
      <c r="I88" s="99"/>
    </row>
    <row r="89" spans="9:9" x14ac:dyDescent="0.25">
      <c r="I89" s="99"/>
    </row>
    <row r="90" spans="9:9" x14ac:dyDescent="0.25">
      <c r="I90" s="99"/>
    </row>
    <row r="91" spans="9:9" x14ac:dyDescent="0.25">
      <c r="I91" s="99"/>
    </row>
    <row r="92" spans="9:9" x14ac:dyDescent="0.25">
      <c r="I92" s="99"/>
    </row>
    <row r="93" spans="9:9" x14ac:dyDescent="0.25">
      <c r="I93" s="99"/>
    </row>
    <row r="94" spans="9:9" x14ac:dyDescent="0.25">
      <c r="I94" s="99"/>
    </row>
    <row r="95" spans="9:9" x14ac:dyDescent="0.25">
      <c r="I95" s="99"/>
    </row>
    <row r="96" spans="9:9" x14ac:dyDescent="0.25">
      <c r="I96" s="99"/>
    </row>
    <row r="97" spans="9:9" x14ac:dyDescent="0.25">
      <c r="I97" s="99"/>
    </row>
    <row r="98" spans="9:9" x14ac:dyDescent="0.25">
      <c r="I98" s="99"/>
    </row>
    <row r="99" spans="9:9" x14ac:dyDescent="0.25">
      <c r="I99" s="99"/>
    </row>
    <row r="100" spans="9:9" x14ac:dyDescent="0.25">
      <c r="I100" s="99"/>
    </row>
    <row r="101" spans="9:9" x14ac:dyDescent="0.25">
      <c r="I101" s="99"/>
    </row>
    <row r="102" spans="9:9" x14ac:dyDescent="0.25">
      <c r="I102" s="99"/>
    </row>
    <row r="103" spans="9:9" x14ac:dyDescent="0.25">
      <c r="I103" s="99"/>
    </row>
    <row r="104" spans="9:9" x14ac:dyDescent="0.25">
      <c r="I104" s="99"/>
    </row>
    <row r="105" spans="9:9" x14ac:dyDescent="0.25">
      <c r="I105" s="99"/>
    </row>
    <row r="106" spans="9:9" x14ac:dyDescent="0.25">
      <c r="I106" s="99"/>
    </row>
    <row r="107" spans="9:9" x14ac:dyDescent="0.25">
      <c r="I107" s="99"/>
    </row>
    <row r="108" spans="9:9" x14ac:dyDescent="0.25">
      <c r="I108" s="99"/>
    </row>
    <row r="109" spans="9:9" x14ac:dyDescent="0.25">
      <c r="I109" s="99"/>
    </row>
    <row r="110" spans="9:9" x14ac:dyDescent="0.25">
      <c r="I110" s="99"/>
    </row>
    <row r="111" spans="9:9" x14ac:dyDescent="0.25">
      <c r="I111" s="99"/>
    </row>
    <row r="112" spans="9:9" x14ac:dyDescent="0.25">
      <c r="I112" s="99"/>
    </row>
    <row r="113" spans="9:9" x14ac:dyDescent="0.25">
      <c r="I113" s="99"/>
    </row>
    <row r="114" spans="9:9" x14ac:dyDescent="0.25">
      <c r="I114" s="99"/>
    </row>
    <row r="115" spans="9:9" x14ac:dyDescent="0.25">
      <c r="I115" s="99"/>
    </row>
    <row r="116" spans="9:9" x14ac:dyDescent="0.25">
      <c r="I116" s="99"/>
    </row>
    <row r="117" spans="9:9" x14ac:dyDescent="0.25">
      <c r="I117" s="99"/>
    </row>
    <row r="118" spans="9:9" x14ac:dyDescent="0.25">
      <c r="I118" s="99"/>
    </row>
    <row r="119" spans="9:9" x14ac:dyDescent="0.25">
      <c r="I119" s="99"/>
    </row>
    <row r="120" spans="9:9" x14ac:dyDescent="0.25">
      <c r="I120" s="99"/>
    </row>
    <row r="121" spans="9:9" x14ac:dyDescent="0.25">
      <c r="I121" s="99"/>
    </row>
    <row r="122" spans="9:9" x14ac:dyDescent="0.25">
      <c r="I122" s="99"/>
    </row>
    <row r="123" spans="9:9" x14ac:dyDescent="0.25">
      <c r="I123" s="99"/>
    </row>
    <row r="124" spans="9:9" x14ac:dyDescent="0.25">
      <c r="I124" s="99"/>
    </row>
    <row r="125" spans="9:9" x14ac:dyDescent="0.25">
      <c r="I125" s="99"/>
    </row>
    <row r="126" spans="9:9" x14ac:dyDescent="0.25">
      <c r="I126" s="99"/>
    </row>
    <row r="127" spans="9:9" x14ac:dyDescent="0.25">
      <c r="I127" s="99"/>
    </row>
    <row r="128" spans="9:9" x14ac:dyDescent="0.25">
      <c r="I128" s="99"/>
    </row>
    <row r="129" spans="9:9" x14ac:dyDescent="0.25">
      <c r="I129" s="99"/>
    </row>
    <row r="130" spans="9:9" x14ac:dyDescent="0.25">
      <c r="I130" s="99"/>
    </row>
    <row r="131" spans="9:9" x14ac:dyDescent="0.25">
      <c r="I131" s="99"/>
    </row>
    <row r="132" spans="9:9" x14ac:dyDescent="0.25">
      <c r="I132" s="99"/>
    </row>
    <row r="133" spans="9:9" x14ac:dyDescent="0.25">
      <c r="I133" s="99"/>
    </row>
    <row r="134" spans="9:9" x14ac:dyDescent="0.25">
      <c r="I134" s="99"/>
    </row>
    <row r="135" spans="9:9" x14ac:dyDescent="0.25">
      <c r="I135" s="99"/>
    </row>
    <row r="136" spans="9:9" x14ac:dyDescent="0.25">
      <c r="I136" s="99"/>
    </row>
    <row r="137" spans="9:9" x14ac:dyDescent="0.25">
      <c r="I137" s="99"/>
    </row>
    <row r="138" spans="9:9" x14ac:dyDescent="0.25">
      <c r="I138" s="99"/>
    </row>
    <row r="139" spans="9:9" x14ac:dyDescent="0.25">
      <c r="I139" s="99"/>
    </row>
    <row r="140" spans="9:9" x14ac:dyDescent="0.25">
      <c r="I140" s="99"/>
    </row>
    <row r="141" spans="9:9" x14ac:dyDescent="0.25">
      <c r="I141" s="99"/>
    </row>
    <row r="142" spans="9:9" x14ac:dyDescent="0.25">
      <c r="I142" s="99"/>
    </row>
    <row r="143" spans="9:9" x14ac:dyDescent="0.25">
      <c r="I143" s="99"/>
    </row>
    <row r="144" spans="9:9" x14ac:dyDescent="0.25">
      <c r="I144" s="99"/>
    </row>
    <row r="145" spans="9:9" x14ac:dyDescent="0.25">
      <c r="I145" s="99"/>
    </row>
    <row r="146" spans="9:9" x14ac:dyDescent="0.25">
      <c r="I146" s="99"/>
    </row>
    <row r="147" spans="9:9" x14ac:dyDescent="0.25">
      <c r="I147" s="99"/>
    </row>
    <row r="148" spans="9:9" x14ac:dyDescent="0.25">
      <c r="I148" s="99"/>
    </row>
    <row r="149" spans="9:9" x14ac:dyDescent="0.25">
      <c r="I149" s="99"/>
    </row>
    <row r="150" spans="9:9" x14ac:dyDescent="0.25">
      <c r="I150" s="99"/>
    </row>
    <row r="151" spans="9:9" x14ac:dyDescent="0.25">
      <c r="I151" s="99"/>
    </row>
    <row r="152" spans="9:9" x14ac:dyDescent="0.25">
      <c r="I152" s="99"/>
    </row>
    <row r="153" spans="9:9" x14ac:dyDescent="0.25">
      <c r="I153" s="99"/>
    </row>
    <row r="154" spans="9:9" x14ac:dyDescent="0.25">
      <c r="I154" s="99"/>
    </row>
    <row r="155" spans="9:9" x14ac:dyDescent="0.25">
      <c r="I155" s="99"/>
    </row>
    <row r="156" spans="9:9" x14ac:dyDescent="0.25">
      <c r="I156" s="99"/>
    </row>
    <row r="157" spans="9:9" x14ac:dyDescent="0.25">
      <c r="I157" s="99"/>
    </row>
    <row r="158" spans="9:9" x14ac:dyDescent="0.25">
      <c r="I158" s="99"/>
    </row>
    <row r="159" spans="9:9" x14ac:dyDescent="0.25">
      <c r="I159" s="99"/>
    </row>
    <row r="160" spans="9:9" x14ac:dyDescent="0.25">
      <c r="I160" s="99"/>
    </row>
    <row r="161" spans="9:9" x14ac:dyDescent="0.25">
      <c r="I161" s="99"/>
    </row>
    <row r="162" spans="9:9" x14ac:dyDescent="0.25">
      <c r="I162" s="99"/>
    </row>
    <row r="163" spans="9:9" x14ac:dyDescent="0.25">
      <c r="I163" s="99"/>
    </row>
    <row r="164" spans="9:9" x14ac:dyDescent="0.25">
      <c r="I164" s="99"/>
    </row>
    <row r="165" spans="9:9" x14ac:dyDescent="0.25">
      <c r="I165" s="99"/>
    </row>
    <row r="166" spans="9:9" x14ac:dyDescent="0.25">
      <c r="I166" s="99"/>
    </row>
    <row r="167" spans="9:9" x14ac:dyDescent="0.25">
      <c r="I167" s="99"/>
    </row>
    <row r="168" spans="9:9" x14ac:dyDescent="0.25">
      <c r="I168" s="99"/>
    </row>
    <row r="169" spans="9:9" x14ac:dyDescent="0.25">
      <c r="I169" s="99"/>
    </row>
    <row r="170" spans="9:9" x14ac:dyDescent="0.25">
      <c r="I170" s="99"/>
    </row>
    <row r="171" spans="9:9" x14ac:dyDescent="0.25">
      <c r="I171" s="99"/>
    </row>
    <row r="172" spans="9:9" x14ac:dyDescent="0.25">
      <c r="I172" s="99"/>
    </row>
    <row r="173" spans="9:9" x14ac:dyDescent="0.25">
      <c r="I173" s="99"/>
    </row>
    <row r="174" spans="9:9" x14ac:dyDescent="0.25">
      <c r="I174" s="99"/>
    </row>
    <row r="175" spans="9:9" x14ac:dyDescent="0.25">
      <c r="I175" s="99"/>
    </row>
    <row r="176" spans="9:9" x14ac:dyDescent="0.25">
      <c r="I176" s="99"/>
    </row>
    <row r="177" spans="9:9" x14ac:dyDescent="0.25">
      <c r="I177" s="99"/>
    </row>
    <row r="178" spans="9:9" x14ac:dyDescent="0.25">
      <c r="I178" s="99"/>
    </row>
    <row r="179" spans="9:9" x14ac:dyDescent="0.25">
      <c r="I179" s="99"/>
    </row>
    <row r="180" spans="9:9" x14ac:dyDescent="0.25">
      <c r="I180" s="99"/>
    </row>
    <row r="181" spans="9:9" x14ac:dyDescent="0.25">
      <c r="I181" s="99"/>
    </row>
    <row r="182" spans="9:9" x14ac:dyDescent="0.25">
      <c r="I182" s="99"/>
    </row>
    <row r="183" spans="9:9" x14ac:dyDescent="0.25">
      <c r="I183" s="99"/>
    </row>
    <row r="184" spans="9:9" x14ac:dyDescent="0.25">
      <c r="I184" s="99"/>
    </row>
    <row r="185" spans="9:9" x14ac:dyDescent="0.25">
      <c r="I185" s="99"/>
    </row>
    <row r="186" spans="9:9" x14ac:dyDescent="0.25">
      <c r="I186" s="99"/>
    </row>
    <row r="187" spans="9:9" x14ac:dyDescent="0.25">
      <c r="I187" s="99"/>
    </row>
    <row r="188" spans="9:9" x14ac:dyDescent="0.25">
      <c r="I188" s="99"/>
    </row>
    <row r="189" spans="9:9" x14ac:dyDescent="0.25">
      <c r="I189" s="99"/>
    </row>
    <row r="190" spans="9:9" x14ac:dyDescent="0.25">
      <c r="I190" s="99"/>
    </row>
    <row r="191" spans="9:9" x14ac:dyDescent="0.25">
      <c r="I191" s="99"/>
    </row>
    <row r="192" spans="9:9" x14ac:dyDescent="0.25">
      <c r="I192" s="99"/>
    </row>
    <row r="193" spans="9:9" x14ac:dyDescent="0.25">
      <c r="I193" s="99"/>
    </row>
    <row r="194" spans="9:9" x14ac:dyDescent="0.25">
      <c r="I194" s="99"/>
    </row>
    <row r="195" spans="9:9" x14ac:dyDescent="0.25">
      <c r="I195" s="99"/>
    </row>
    <row r="196" spans="9:9" x14ac:dyDescent="0.25">
      <c r="I196" s="99"/>
    </row>
    <row r="197" spans="9:9" x14ac:dyDescent="0.25">
      <c r="I197" s="99"/>
    </row>
    <row r="198" spans="9:9" x14ac:dyDescent="0.25">
      <c r="I198" s="99"/>
    </row>
    <row r="199" spans="9:9" x14ac:dyDescent="0.25">
      <c r="I199" s="99"/>
    </row>
    <row r="200" spans="9:9" x14ac:dyDescent="0.25">
      <c r="I200" s="99"/>
    </row>
    <row r="201" spans="9:9" x14ac:dyDescent="0.25">
      <c r="I201" s="99"/>
    </row>
    <row r="202" spans="9:9" x14ac:dyDescent="0.25">
      <c r="I202" s="99"/>
    </row>
    <row r="203" spans="9:9" x14ac:dyDescent="0.25">
      <c r="I203" s="99"/>
    </row>
    <row r="204" spans="9:9" x14ac:dyDescent="0.25">
      <c r="I204" s="99"/>
    </row>
    <row r="205" spans="9:9" x14ac:dyDescent="0.25">
      <c r="I205" s="99"/>
    </row>
    <row r="206" spans="9:9" x14ac:dyDescent="0.25">
      <c r="I206" s="99"/>
    </row>
    <row r="207" spans="9:9" x14ac:dyDescent="0.25">
      <c r="I207" s="99"/>
    </row>
    <row r="208" spans="9:9" x14ac:dyDescent="0.25">
      <c r="I208" s="99"/>
    </row>
    <row r="209" spans="9:9" x14ac:dyDescent="0.25">
      <c r="I209" s="99"/>
    </row>
    <row r="210" spans="9:9" x14ac:dyDescent="0.25">
      <c r="I210" s="99"/>
    </row>
    <row r="211" spans="9:9" x14ac:dyDescent="0.25">
      <c r="I211" s="99"/>
    </row>
    <row r="212" spans="9:9" x14ac:dyDescent="0.25">
      <c r="I212" s="99"/>
    </row>
    <row r="213" spans="9:9" x14ac:dyDescent="0.25">
      <c r="I213" s="99"/>
    </row>
    <row r="214" spans="9:9" x14ac:dyDescent="0.25">
      <c r="I214" s="99"/>
    </row>
    <row r="215" spans="9:9" x14ac:dyDescent="0.25">
      <c r="I215" s="99"/>
    </row>
    <row r="216" spans="9:9" x14ac:dyDescent="0.25">
      <c r="I216" s="99"/>
    </row>
    <row r="217" spans="9:9" x14ac:dyDescent="0.25">
      <c r="I217" s="99"/>
    </row>
    <row r="218" spans="9:9" x14ac:dyDescent="0.25">
      <c r="I218" s="99"/>
    </row>
    <row r="219" spans="9:9" x14ac:dyDescent="0.25">
      <c r="I219" s="99"/>
    </row>
    <row r="220" spans="9:9" x14ac:dyDescent="0.25">
      <c r="I220" s="99"/>
    </row>
    <row r="221" spans="9:9" x14ac:dyDescent="0.25">
      <c r="I221" s="99"/>
    </row>
    <row r="222" spans="9:9" x14ac:dyDescent="0.25">
      <c r="I222" s="99"/>
    </row>
    <row r="223" spans="9:9" x14ac:dyDescent="0.25">
      <c r="I223" s="99"/>
    </row>
    <row r="224" spans="9:9" x14ac:dyDescent="0.25">
      <c r="I224" s="99"/>
    </row>
    <row r="225" spans="9:9" x14ac:dyDescent="0.25">
      <c r="I225" s="99"/>
    </row>
    <row r="226" spans="9:9" x14ac:dyDescent="0.25">
      <c r="I226" s="99"/>
    </row>
    <row r="227" spans="9:9" x14ac:dyDescent="0.25">
      <c r="I227" s="99"/>
    </row>
    <row r="228" spans="9:9" x14ac:dyDescent="0.25">
      <c r="I228" s="99"/>
    </row>
    <row r="229" spans="9:9" x14ac:dyDescent="0.25">
      <c r="I229" s="99"/>
    </row>
    <row r="230" spans="9:9" x14ac:dyDescent="0.25">
      <c r="I230" s="99"/>
    </row>
    <row r="231" spans="9:9" x14ac:dyDescent="0.25">
      <c r="I231" s="99"/>
    </row>
    <row r="232" spans="9:9" x14ac:dyDescent="0.25">
      <c r="I232" s="99"/>
    </row>
    <row r="233" spans="9:9" x14ac:dyDescent="0.25">
      <c r="I233" s="99"/>
    </row>
    <row r="234" spans="9:9" x14ac:dyDescent="0.25">
      <c r="I234" s="99"/>
    </row>
    <row r="235" spans="9:9" x14ac:dyDescent="0.25">
      <c r="I235" s="99"/>
    </row>
    <row r="236" spans="9:9" x14ac:dyDescent="0.25">
      <c r="I236" s="99"/>
    </row>
    <row r="237" spans="9:9" x14ac:dyDescent="0.25">
      <c r="I237" s="99"/>
    </row>
    <row r="238" spans="9:9" x14ac:dyDescent="0.25">
      <c r="I238" s="99"/>
    </row>
    <row r="239" spans="9:9" x14ac:dyDescent="0.25">
      <c r="I239" s="99"/>
    </row>
    <row r="240" spans="9:9" x14ac:dyDescent="0.25">
      <c r="I240" s="99"/>
    </row>
    <row r="241" spans="9:9" x14ac:dyDescent="0.25">
      <c r="I241" s="99"/>
    </row>
    <row r="242" spans="9:9" x14ac:dyDescent="0.25">
      <c r="I242" s="99"/>
    </row>
    <row r="243" spans="9:9" x14ac:dyDescent="0.25">
      <c r="I243" s="99"/>
    </row>
    <row r="244" spans="9:9" x14ac:dyDescent="0.25">
      <c r="I244" s="99"/>
    </row>
    <row r="245" spans="9:9" x14ac:dyDescent="0.25">
      <c r="I245" s="99"/>
    </row>
    <row r="246" spans="9:9" x14ac:dyDescent="0.25">
      <c r="I246" s="99"/>
    </row>
    <row r="247" spans="9:9" x14ac:dyDescent="0.25">
      <c r="I247" s="99"/>
    </row>
    <row r="248" spans="9:9" x14ac:dyDescent="0.25">
      <c r="I248" s="99"/>
    </row>
    <row r="249" spans="9:9" x14ac:dyDescent="0.25">
      <c r="I249" s="99"/>
    </row>
    <row r="250" spans="9:9" x14ac:dyDescent="0.25">
      <c r="I250" s="99"/>
    </row>
    <row r="251" spans="9:9" x14ac:dyDescent="0.25">
      <c r="I251" s="99"/>
    </row>
    <row r="252" spans="9:9" x14ac:dyDescent="0.25">
      <c r="I252" s="99"/>
    </row>
    <row r="253" spans="9:9" x14ac:dyDescent="0.25">
      <c r="I253" s="99"/>
    </row>
    <row r="254" spans="9:9" x14ac:dyDescent="0.25">
      <c r="I254" s="99"/>
    </row>
    <row r="255" spans="9:9" x14ac:dyDescent="0.25">
      <c r="I255" s="99"/>
    </row>
    <row r="256" spans="9:9" x14ac:dyDescent="0.25">
      <c r="I256" s="99"/>
    </row>
    <row r="257" spans="9:9" x14ac:dyDescent="0.25">
      <c r="I257" s="99"/>
    </row>
    <row r="258" spans="9:9" x14ac:dyDescent="0.25">
      <c r="I258" s="99"/>
    </row>
    <row r="259" spans="9:9" x14ac:dyDescent="0.25">
      <c r="I259" s="99"/>
    </row>
    <row r="260" spans="9:9" x14ac:dyDescent="0.25">
      <c r="I260" s="99"/>
    </row>
    <row r="261" spans="9:9" x14ac:dyDescent="0.25">
      <c r="I261" s="99"/>
    </row>
    <row r="262" spans="9:9" x14ac:dyDescent="0.25">
      <c r="I262" s="99"/>
    </row>
    <row r="263" spans="9:9" x14ac:dyDescent="0.25">
      <c r="I263" s="99"/>
    </row>
    <row r="264" spans="9:9" x14ac:dyDescent="0.25">
      <c r="I264" s="99"/>
    </row>
    <row r="265" spans="9:9" x14ac:dyDescent="0.25">
      <c r="I265" s="99"/>
    </row>
    <row r="266" spans="9:9" x14ac:dyDescent="0.25">
      <c r="I266" s="99"/>
    </row>
    <row r="267" spans="9:9" x14ac:dyDescent="0.25">
      <c r="I267" s="99"/>
    </row>
    <row r="268" spans="9:9" x14ac:dyDescent="0.25">
      <c r="I268" s="99"/>
    </row>
    <row r="269" spans="9:9" x14ac:dyDescent="0.25">
      <c r="I269" s="99"/>
    </row>
    <row r="270" spans="9:9" x14ac:dyDescent="0.25">
      <c r="I270" s="99"/>
    </row>
    <row r="271" spans="9:9" x14ac:dyDescent="0.25">
      <c r="I271" s="99"/>
    </row>
    <row r="272" spans="9:9" x14ac:dyDescent="0.25">
      <c r="I272" s="99"/>
    </row>
    <row r="273" spans="9:9" x14ac:dyDescent="0.25">
      <c r="I273" s="99"/>
    </row>
    <row r="274" spans="9:9" x14ac:dyDescent="0.25">
      <c r="I274" s="99"/>
    </row>
    <row r="275" spans="9:9" x14ac:dyDescent="0.25">
      <c r="I275" s="99"/>
    </row>
    <row r="276" spans="9:9" x14ac:dyDescent="0.25">
      <c r="I276" s="99"/>
    </row>
    <row r="277" spans="9:9" x14ac:dyDescent="0.25">
      <c r="I277" s="99"/>
    </row>
    <row r="278" spans="9:9" x14ac:dyDescent="0.25">
      <c r="I278" s="99"/>
    </row>
    <row r="279" spans="9:9" x14ac:dyDescent="0.25">
      <c r="I279" s="99"/>
    </row>
    <row r="280" spans="9:9" x14ac:dyDescent="0.25">
      <c r="I280" s="99"/>
    </row>
    <row r="281" spans="9:9" x14ac:dyDescent="0.25">
      <c r="I281" s="99"/>
    </row>
    <row r="282" spans="9:9" x14ac:dyDescent="0.25">
      <c r="I282" s="99"/>
    </row>
    <row r="283" spans="9:9" x14ac:dyDescent="0.25">
      <c r="I283" s="99"/>
    </row>
    <row r="284" spans="9:9" x14ac:dyDescent="0.25">
      <c r="I284" s="99"/>
    </row>
    <row r="285" spans="9:9" x14ac:dyDescent="0.25">
      <c r="I285" s="99"/>
    </row>
    <row r="286" spans="9:9" x14ac:dyDescent="0.25">
      <c r="I286" s="99"/>
    </row>
    <row r="287" spans="9:9" x14ac:dyDescent="0.25">
      <c r="I287" s="99"/>
    </row>
    <row r="288" spans="9:9" x14ac:dyDescent="0.25">
      <c r="I288" s="99"/>
    </row>
    <row r="289" spans="9:9" x14ac:dyDescent="0.25">
      <c r="I289" s="99"/>
    </row>
    <row r="290" spans="9:9" x14ac:dyDescent="0.25">
      <c r="I290" s="99"/>
    </row>
    <row r="291" spans="9:9" x14ac:dyDescent="0.25">
      <c r="I291" s="99"/>
    </row>
    <row r="292" spans="9:9" x14ac:dyDescent="0.25">
      <c r="I292" s="99"/>
    </row>
    <row r="293" spans="9:9" x14ac:dyDescent="0.25">
      <c r="I293" s="99"/>
    </row>
    <row r="294" spans="9:9" x14ac:dyDescent="0.25">
      <c r="I294" s="99"/>
    </row>
    <row r="295" spans="9:9" x14ac:dyDescent="0.25">
      <c r="I295" s="99"/>
    </row>
    <row r="296" spans="9:9" x14ac:dyDescent="0.25">
      <c r="I296" s="99"/>
    </row>
    <row r="297" spans="9:9" x14ac:dyDescent="0.25">
      <c r="I297" s="99"/>
    </row>
    <row r="298" spans="9:9" x14ac:dyDescent="0.25">
      <c r="I298" s="99"/>
    </row>
    <row r="299" spans="9:9" x14ac:dyDescent="0.25">
      <c r="I299" s="99"/>
    </row>
    <row r="300" spans="9:9" x14ac:dyDescent="0.25">
      <c r="I300" s="99"/>
    </row>
    <row r="301" spans="9:9" x14ac:dyDescent="0.25">
      <c r="I301" s="99"/>
    </row>
    <row r="302" spans="9:9" x14ac:dyDescent="0.25">
      <c r="I302" s="99"/>
    </row>
    <row r="303" spans="9:9" x14ac:dyDescent="0.25">
      <c r="I303" s="99"/>
    </row>
    <row r="304" spans="9:9" x14ac:dyDescent="0.25">
      <c r="I304" s="99"/>
    </row>
    <row r="305" spans="9:9" x14ac:dyDescent="0.25">
      <c r="I305" s="99"/>
    </row>
    <row r="306" spans="9:9" x14ac:dyDescent="0.25">
      <c r="I306" s="99"/>
    </row>
    <row r="307" spans="9:9" x14ac:dyDescent="0.25">
      <c r="I307" s="99"/>
    </row>
    <row r="308" spans="9:9" x14ac:dyDescent="0.25">
      <c r="I308" s="99"/>
    </row>
    <row r="309" spans="9:9" x14ac:dyDescent="0.25">
      <c r="I309" s="99"/>
    </row>
    <row r="310" spans="9:9" x14ac:dyDescent="0.25">
      <c r="I310" s="99"/>
    </row>
    <row r="311" spans="9:9" x14ac:dyDescent="0.25">
      <c r="I311" s="99"/>
    </row>
    <row r="312" spans="9:9" x14ac:dyDescent="0.25">
      <c r="I312" s="99"/>
    </row>
    <row r="313" spans="9:9" x14ac:dyDescent="0.25">
      <c r="I313" s="99"/>
    </row>
    <row r="314" spans="9:9" x14ac:dyDescent="0.25">
      <c r="I314" s="99"/>
    </row>
    <row r="315" spans="9:9" x14ac:dyDescent="0.25">
      <c r="I315" s="99"/>
    </row>
    <row r="316" spans="9:9" x14ac:dyDescent="0.25">
      <c r="I316" s="99"/>
    </row>
    <row r="317" spans="9:9" x14ac:dyDescent="0.25">
      <c r="I317" s="99"/>
    </row>
    <row r="318" spans="9:9" x14ac:dyDescent="0.25">
      <c r="I318" s="99"/>
    </row>
    <row r="319" spans="9:9" x14ac:dyDescent="0.25">
      <c r="I319" s="99"/>
    </row>
    <row r="320" spans="9:9" x14ac:dyDescent="0.25">
      <c r="I320" s="99"/>
    </row>
    <row r="321" spans="9:9" x14ac:dyDescent="0.25">
      <c r="I321" s="99"/>
    </row>
    <row r="322" spans="9:9" x14ac:dyDescent="0.25">
      <c r="I322" s="99"/>
    </row>
    <row r="323" spans="9:9" x14ac:dyDescent="0.25">
      <c r="I323" s="99"/>
    </row>
    <row r="324" spans="9:9" x14ac:dyDescent="0.25">
      <c r="I324" s="99"/>
    </row>
    <row r="325" spans="9:9" x14ac:dyDescent="0.25">
      <c r="I325" s="99"/>
    </row>
    <row r="326" spans="9:9" x14ac:dyDescent="0.25">
      <c r="I326" s="99"/>
    </row>
    <row r="327" spans="9:9" x14ac:dyDescent="0.25">
      <c r="I327" s="99"/>
    </row>
    <row r="328" spans="9:9" x14ac:dyDescent="0.25">
      <c r="I328" s="99"/>
    </row>
    <row r="329" spans="9:9" x14ac:dyDescent="0.25">
      <c r="I329" s="99"/>
    </row>
    <row r="330" spans="9:9" x14ac:dyDescent="0.25">
      <c r="I330" s="99"/>
    </row>
    <row r="331" spans="9:9" x14ac:dyDescent="0.25">
      <c r="I331" s="99"/>
    </row>
    <row r="332" spans="9:9" x14ac:dyDescent="0.25">
      <c r="I332" s="99"/>
    </row>
    <row r="333" spans="9:9" x14ac:dyDescent="0.25">
      <c r="I333" s="99"/>
    </row>
    <row r="334" spans="9:9" x14ac:dyDescent="0.25">
      <c r="I334" s="99"/>
    </row>
    <row r="335" spans="9:9" x14ac:dyDescent="0.25">
      <c r="I335" s="99"/>
    </row>
    <row r="336" spans="9:9" x14ac:dyDescent="0.25">
      <c r="I336" s="99"/>
    </row>
    <row r="337" spans="9:9" x14ac:dyDescent="0.25">
      <c r="I337" s="99"/>
    </row>
    <row r="338" spans="9:9" x14ac:dyDescent="0.25">
      <c r="I338" s="99"/>
    </row>
    <row r="339" spans="9:9" x14ac:dyDescent="0.25">
      <c r="I339" s="99"/>
    </row>
    <row r="340" spans="9:9" x14ac:dyDescent="0.25">
      <c r="I340" s="99"/>
    </row>
    <row r="341" spans="9:9" x14ac:dyDescent="0.25">
      <c r="I341" s="99"/>
    </row>
    <row r="342" spans="9:9" x14ac:dyDescent="0.25">
      <c r="I342" s="99"/>
    </row>
    <row r="343" spans="9:9" x14ac:dyDescent="0.25">
      <c r="I343" s="99"/>
    </row>
    <row r="344" spans="9:9" x14ac:dyDescent="0.25">
      <c r="I344" s="99"/>
    </row>
    <row r="345" spans="9:9" x14ac:dyDescent="0.25">
      <c r="I345" s="99"/>
    </row>
    <row r="346" spans="9:9" x14ac:dyDescent="0.25">
      <c r="I346" s="99"/>
    </row>
    <row r="347" spans="9:9" x14ac:dyDescent="0.25">
      <c r="I347" s="99"/>
    </row>
    <row r="348" spans="9:9" x14ac:dyDescent="0.25">
      <c r="I348" s="99"/>
    </row>
    <row r="349" spans="9:9" x14ac:dyDescent="0.25">
      <c r="I349" s="99"/>
    </row>
    <row r="350" spans="9:9" x14ac:dyDescent="0.25">
      <c r="I350" s="99"/>
    </row>
    <row r="351" spans="9:9" x14ac:dyDescent="0.25">
      <c r="I351" s="99"/>
    </row>
    <row r="352" spans="9:9" x14ac:dyDescent="0.25">
      <c r="I352" s="99"/>
    </row>
    <row r="353" spans="9:9" x14ac:dyDescent="0.25">
      <c r="I353" s="99"/>
    </row>
    <row r="354" spans="9:9" x14ac:dyDescent="0.25">
      <c r="I354" s="99"/>
    </row>
    <row r="355" spans="9:9" x14ac:dyDescent="0.25">
      <c r="I355" s="99"/>
    </row>
    <row r="356" spans="9:9" x14ac:dyDescent="0.25">
      <c r="I356" s="99"/>
    </row>
    <row r="357" spans="9:9" x14ac:dyDescent="0.25">
      <c r="I357" s="99"/>
    </row>
    <row r="358" spans="9:9" x14ac:dyDescent="0.25">
      <c r="I358" s="99"/>
    </row>
    <row r="359" spans="9:9" x14ac:dyDescent="0.25">
      <c r="I359" s="99"/>
    </row>
    <row r="360" spans="9:9" x14ac:dyDescent="0.25">
      <c r="I360" s="99"/>
    </row>
    <row r="361" spans="9:9" x14ac:dyDescent="0.25">
      <c r="I361" s="99"/>
    </row>
    <row r="362" spans="9:9" x14ac:dyDescent="0.25">
      <c r="I362" s="99"/>
    </row>
    <row r="363" spans="9:9" x14ac:dyDescent="0.25">
      <c r="I363" s="99"/>
    </row>
    <row r="364" spans="9:9" x14ac:dyDescent="0.25">
      <c r="I364" s="99"/>
    </row>
    <row r="365" spans="9:9" x14ac:dyDescent="0.25">
      <c r="I365" s="99"/>
    </row>
    <row r="366" spans="9:9" x14ac:dyDescent="0.25">
      <c r="I366" s="99"/>
    </row>
    <row r="367" spans="9:9" x14ac:dyDescent="0.25">
      <c r="I367" s="99"/>
    </row>
    <row r="368" spans="9:9" x14ac:dyDescent="0.25">
      <c r="I368" s="99"/>
    </row>
    <row r="369" spans="9:9" x14ac:dyDescent="0.25">
      <c r="I369" s="99"/>
    </row>
    <row r="370" spans="9:9" x14ac:dyDescent="0.25">
      <c r="I370" s="99"/>
    </row>
    <row r="371" spans="9:9" x14ac:dyDescent="0.25">
      <c r="I371" s="99"/>
    </row>
    <row r="372" spans="9:9" x14ac:dyDescent="0.25">
      <c r="I372" s="99"/>
    </row>
    <row r="373" spans="9:9" x14ac:dyDescent="0.25">
      <c r="I373" s="99"/>
    </row>
    <row r="374" spans="9:9" x14ac:dyDescent="0.25">
      <c r="I374" s="99"/>
    </row>
    <row r="375" spans="9:9" x14ac:dyDescent="0.25">
      <c r="I375" s="99"/>
    </row>
    <row r="376" spans="9:9" x14ac:dyDescent="0.25">
      <c r="I376" s="99"/>
    </row>
    <row r="377" spans="9:9" x14ac:dyDescent="0.25">
      <c r="I377" s="99"/>
    </row>
    <row r="378" spans="9:9" x14ac:dyDescent="0.25">
      <c r="I378" s="99"/>
    </row>
    <row r="379" spans="9:9" x14ac:dyDescent="0.25">
      <c r="I379" s="99"/>
    </row>
    <row r="380" spans="9:9" x14ac:dyDescent="0.25">
      <c r="I380" s="99"/>
    </row>
    <row r="381" spans="9:9" x14ac:dyDescent="0.25">
      <c r="I381" s="99"/>
    </row>
    <row r="382" spans="9:9" x14ac:dyDescent="0.25">
      <c r="I382" s="99"/>
    </row>
    <row r="383" spans="9:9" x14ac:dyDescent="0.25">
      <c r="I383" s="99"/>
    </row>
    <row r="384" spans="9:9" x14ac:dyDescent="0.25">
      <c r="I384" s="99"/>
    </row>
    <row r="385" spans="9:9" x14ac:dyDescent="0.25">
      <c r="I385" s="99"/>
    </row>
    <row r="386" spans="9:9" x14ac:dyDescent="0.25">
      <c r="I386" s="99"/>
    </row>
    <row r="387" spans="9:9" x14ac:dyDescent="0.25">
      <c r="I387" s="99"/>
    </row>
    <row r="388" spans="9:9" x14ac:dyDescent="0.25">
      <c r="I388" s="99"/>
    </row>
    <row r="389" spans="9:9" x14ac:dyDescent="0.25">
      <c r="I389" s="99"/>
    </row>
    <row r="390" spans="9:9" x14ac:dyDescent="0.25">
      <c r="I390" s="99"/>
    </row>
    <row r="391" spans="9:9" x14ac:dyDescent="0.25">
      <c r="I391" s="99"/>
    </row>
    <row r="392" spans="9:9" x14ac:dyDescent="0.25">
      <c r="I392" s="99"/>
    </row>
    <row r="393" spans="9:9" x14ac:dyDescent="0.25">
      <c r="I393" s="99"/>
    </row>
    <row r="394" spans="9:9" x14ac:dyDescent="0.25">
      <c r="I394" s="99"/>
    </row>
    <row r="395" spans="9:9" x14ac:dyDescent="0.25">
      <c r="I395" s="99"/>
    </row>
    <row r="396" spans="9:9" x14ac:dyDescent="0.25">
      <c r="I396" s="99"/>
    </row>
    <row r="397" spans="9:9" x14ac:dyDescent="0.25">
      <c r="I397" s="99"/>
    </row>
    <row r="398" spans="9:9" x14ac:dyDescent="0.25">
      <c r="I398" s="99"/>
    </row>
    <row r="399" spans="9:9" x14ac:dyDescent="0.25">
      <c r="I399" s="99"/>
    </row>
    <row r="400" spans="9:9" x14ac:dyDescent="0.25">
      <c r="I400" s="99"/>
    </row>
    <row r="401" spans="9:9" x14ac:dyDescent="0.25">
      <c r="I401" s="99"/>
    </row>
    <row r="402" spans="9:9" x14ac:dyDescent="0.25">
      <c r="I402" s="99"/>
    </row>
    <row r="403" spans="9:9" x14ac:dyDescent="0.25">
      <c r="I403" s="99"/>
    </row>
    <row r="404" spans="9:9" x14ac:dyDescent="0.25">
      <c r="I404" s="99"/>
    </row>
    <row r="405" spans="9:9" x14ac:dyDescent="0.25">
      <c r="I405" s="99"/>
    </row>
    <row r="406" spans="9:9" x14ac:dyDescent="0.25">
      <c r="I406" s="99"/>
    </row>
    <row r="407" spans="9:9" x14ac:dyDescent="0.25">
      <c r="I407" s="99"/>
    </row>
    <row r="408" spans="9:9" x14ac:dyDescent="0.25">
      <c r="I408" s="99"/>
    </row>
    <row r="409" spans="9:9" x14ac:dyDescent="0.25">
      <c r="I409" s="99"/>
    </row>
    <row r="410" spans="9:9" x14ac:dyDescent="0.25">
      <c r="I410" s="99"/>
    </row>
    <row r="411" spans="9:9" x14ac:dyDescent="0.25">
      <c r="I411" s="99"/>
    </row>
    <row r="412" spans="9:9" x14ac:dyDescent="0.25">
      <c r="I412" s="99"/>
    </row>
    <row r="413" spans="9:9" x14ac:dyDescent="0.25">
      <c r="I413" s="99"/>
    </row>
    <row r="414" spans="9:9" x14ac:dyDescent="0.25">
      <c r="I414" s="99"/>
    </row>
    <row r="415" spans="9:9" x14ac:dyDescent="0.25">
      <c r="I415" s="99"/>
    </row>
    <row r="416" spans="9:9" x14ac:dyDescent="0.25">
      <c r="I416" s="99"/>
    </row>
    <row r="417" spans="9:9" x14ac:dyDescent="0.25">
      <c r="I417" s="99"/>
    </row>
    <row r="418" spans="9:9" x14ac:dyDescent="0.25">
      <c r="I418" s="99"/>
    </row>
    <row r="419" spans="9:9" x14ac:dyDescent="0.25">
      <c r="I419" s="99"/>
    </row>
    <row r="420" spans="9:9" x14ac:dyDescent="0.25">
      <c r="I420" s="99"/>
    </row>
    <row r="421" spans="9:9" x14ac:dyDescent="0.25">
      <c r="I421" s="99"/>
    </row>
    <row r="422" spans="9:9" x14ac:dyDescent="0.25">
      <c r="I422" s="99"/>
    </row>
    <row r="423" spans="9:9" x14ac:dyDescent="0.25">
      <c r="I423" s="99"/>
    </row>
    <row r="424" spans="9:9" x14ac:dyDescent="0.25">
      <c r="I424" s="99"/>
    </row>
    <row r="425" spans="9:9" x14ac:dyDescent="0.25">
      <c r="I425" s="99"/>
    </row>
    <row r="426" spans="9:9" x14ac:dyDescent="0.25">
      <c r="I426" s="99"/>
    </row>
    <row r="427" spans="9:9" x14ac:dyDescent="0.25">
      <c r="I427" s="99"/>
    </row>
    <row r="428" spans="9:9" x14ac:dyDescent="0.25">
      <c r="I428" s="99"/>
    </row>
    <row r="429" spans="9:9" x14ac:dyDescent="0.25">
      <c r="I429" s="99"/>
    </row>
    <row r="430" spans="9:9" x14ac:dyDescent="0.25">
      <c r="I430" s="99"/>
    </row>
    <row r="431" spans="9:9" x14ac:dyDescent="0.25">
      <c r="I431" s="99"/>
    </row>
    <row r="432" spans="9:9" x14ac:dyDescent="0.25">
      <c r="I432" s="99"/>
    </row>
    <row r="433" spans="9:9" x14ac:dyDescent="0.25">
      <c r="I433" s="99"/>
    </row>
    <row r="434" spans="9:9" x14ac:dyDescent="0.25">
      <c r="I434" s="99"/>
    </row>
    <row r="435" spans="9:9" x14ac:dyDescent="0.25">
      <c r="I435" s="99"/>
    </row>
    <row r="436" spans="9:9" x14ac:dyDescent="0.25">
      <c r="I436" s="99"/>
    </row>
    <row r="437" spans="9:9" x14ac:dyDescent="0.25">
      <c r="I437" s="99"/>
    </row>
    <row r="438" spans="9:9" x14ac:dyDescent="0.25">
      <c r="I438" s="99"/>
    </row>
    <row r="439" spans="9:9" x14ac:dyDescent="0.25">
      <c r="I439" s="99"/>
    </row>
    <row r="440" spans="9:9" x14ac:dyDescent="0.25">
      <c r="I440" s="99"/>
    </row>
    <row r="441" spans="9:9" x14ac:dyDescent="0.25">
      <c r="I441" s="99"/>
    </row>
    <row r="442" spans="9:9" x14ac:dyDescent="0.25">
      <c r="I442" s="99"/>
    </row>
    <row r="443" spans="9:9" x14ac:dyDescent="0.25">
      <c r="I443" s="99"/>
    </row>
    <row r="444" spans="9:9" x14ac:dyDescent="0.25">
      <c r="I444" s="99"/>
    </row>
    <row r="445" spans="9:9" x14ac:dyDescent="0.25">
      <c r="I445" s="99"/>
    </row>
    <row r="446" spans="9:9" x14ac:dyDescent="0.25">
      <c r="I446" s="99"/>
    </row>
    <row r="447" spans="9:9" x14ac:dyDescent="0.25">
      <c r="I447" s="99"/>
    </row>
    <row r="448" spans="9:9" x14ac:dyDescent="0.25">
      <c r="I448" s="99"/>
    </row>
    <row r="449" spans="9:9" x14ac:dyDescent="0.25">
      <c r="I449" s="99"/>
    </row>
    <row r="450" spans="9:9" x14ac:dyDescent="0.25">
      <c r="I450" s="99"/>
    </row>
    <row r="451" spans="9:9" x14ac:dyDescent="0.25">
      <c r="I451" s="99"/>
    </row>
    <row r="452" spans="9:9" x14ac:dyDescent="0.25">
      <c r="I452" s="99"/>
    </row>
    <row r="453" spans="9:9" x14ac:dyDescent="0.25">
      <c r="I453" s="99"/>
    </row>
    <row r="454" spans="9:9" x14ac:dyDescent="0.25">
      <c r="I454" s="99"/>
    </row>
    <row r="455" spans="9:9" x14ac:dyDescent="0.25">
      <c r="I455" s="99"/>
    </row>
    <row r="456" spans="9:9" x14ac:dyDescent="0.25">
      <c r="I456" s="99"/>
    </row>
    <row r="457" spans="9:9" x14ac:dyDescent="0.25">
      <c r="I457" s="99"/>
    </row>
    <row r="458" spans="9:9" x14ac:dyDescent="0.25">
      <c r="I458" s="99"/>
    </row>
    <row r="459" spans="9:9" x14ac:dyDescent="0.25">
      <c r="I459" s="99"/>
    </row>
    <row r="460" spans="9:9" x14ac:dyDescent="0.25">
      <c r="I460" s="99"/>
    </row>
    <row r="461" spans="9:9" x14ac:dyDescent="0.25">
      <c r="I461" s="99"/>
    </row>
    <row r="462" spans="9:9" x14ac:dyDescent="0.25">
      <c r="I462" s="99"/>
    </row>
    <row r="463" spans="9:9" x14ac:dyDescent="0.25">
      <c r="I463" s="99"/>
    </row>
    <row r="464" spans="9:9" x14ac:dyDescent="0.25">
      <c r="I464" s="99"/>
    </row>
    <row r="465" spans="9:9" x14ac:dyDescent="0.25">
      <c r="I465" s="99"/>
    </row>
    <row r="466" spans="9:9" x14ac:dyDescent="0.25">
      <c r="I466" s="99"/>
    </row>
    <row r="467" spans="9:9" x14ac:dyDescent="0.25">
      <c r="I467" s="99"/>
    </row>
    <row r="468" spans="9:9" x14ac:dyDescent="0.25">
      <c r="I468" s="99"/>
    </row>
    <row r="469" spans="9:9" x14ac:dyDescent="0.25">
      <c r="I469" s="99"/>
    </row>
    <row r="470" spans="9:9" x14ac:dyDescent="0.25">
      <c r="I470" s="99"/>
    </row>
    <row r="471" spans="9:9" x14ac:dyDescent="0.25">
      <c r="I471" s="99"/>
    </row>
    <row r="472" spans="9:9" x14ac:dyDescent="0.25">
      <c r="I472" s="99"/>
    </row>
    <row r="473" spans="9:9" x14ac:dyDescent="0.25">
      <c r="I473" s="99"/>
    </row>
    <row r="474" spans="9:9" x14ac:dyDescent="0.25">
      <c r="I474" s="99"/>
    </row>
    <row r="475" spans="9:9" x14ac:dyDescent="0.25">
      <c r="I475" s="99"/>
    </row>
    <row r="476" spans="9:9" x14ac:dyDescent="0.25">
      <c r="I476" s="99"/>
    </row>
    <row r="477" spans="9:9" x14ac:dyDescent="0.25">
      <c r="I477" s="99"/>
    </row>
    <row r="478" spans="9:9" x14ac:dyDescent="0.25">
      <c r="I478" s="99"/>
    </row>
    <row r="479" spans="9:9" x14ac:dyDescent="0.25">
      <c r="I479" s="99"/>
    </row>
    <row r="480" spans="9:9" x14ac:dyDescent="0.25">
      <c r="I480" s="99"/>
    </row>
    <row r="481" spans="9:9" x14ac:dyDescent="0.25">
      <c r="I481" s="99"/>
    </row>
    <row r="482" spans="9:9" x14ac:dyDescent="0.25">
      <c r="I482" s="99"/>
    </row>
    <row r="483" spans="9:9" x14ac:dyDescent="0.25">
      <c r="I483" s="99"/>
    </row>
    <row r="484" spans="9:9" x14ac:dyDescent="0.25">
      <c r="I484" s="99"/>
    </row>
    <row r="485" spans="9:9" x14ac:dyDescent="0.25">
      <c r="I485" s="99"/>
    </row>
    <row r="486" spans="9:9" x14ac:dyDescent="0.25">
      <c r="I486" s="99"/>
    </row>
    <row r="487" spans="9:9" x14ac:dyDescent="0.25">
      <c r="I487" s="99"/>
    </row>
    <row r="488" spans="9:9" x14ac:dyDescent="0.25">
      <c r="I488" s="99"/>
    </row>
    <row r="489" spans="9:9" x14ac:dyDescent="0.25">
      <c r="I489" s="99"/>
    </row>
    <row r="490" spans="9:9" x14ac:dyDescent="0.25">
      <c r="I490" s="99"/>
    </row>
    <row r="491" spans="9:9" x14ac:dyDescent="0.25">
      <c r="I491" s="99"/>
    </row>
    <row r="492" spans="9:9" x14ac:dyDescent="0.25">
      <c r="I492" s="99"/>
    </row>
    <row r="493" spans="9:9" x14ac:dyDescent="0.25">
      <c r="I493" s="99"/>
    </row>
    <row r="494" spans="9:9" x14ac:dyDescent="0.25">
      <c r="I494" s="99"/>
    </row>
    <row r="495" spans="9:9" x14ac:dyDescent="0.25">
      <c r="I495" s="99"/>
    </row>
    <row r="496" spans="9:9" x14ac:dyDescent="0.25">
      <c r="I496" s="99"/>
    </row>
    <row r="497" spans="9:9" x14ac:dyDescent="0.25">
      <c r="I497" s="99"/>
    </row>
    <row r="498" spans="9:9" x14ac:dyDescent="0.25">
      <c r="I498" s="99"/>
    </row>
    <row r="499" spans="9:9" x14ac:dyDescent="0.25">
      <c r="I499" s="99"/>
    </row>
    <row r="500" spans="9:9" x14ac:dyDescent="0.25">
      <c r="I500" s="99"/>
    </row>
    <row r="501" spans="9:9" x14ac:dyDescent="0.25">
      <c r="I501" s="99"/>
    </row>
  </sheetData>
  <mergeCells count="4">
    <mergeCell ref="A50:H50"/>
    <mergeCell ref="A3:H3"/>
    <mergeCell ref="A51:H51"/>
    <mergeCell ref="A1:H1"/>
  </mergeCells>
  <pageMargins left="0.75" right="0.75" top="1" bottom="1" header="0.5" footer="0.5"/>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Hoja31">
    <tabColor rgb="FF00B050"/>
  </sheetPr>
  <dimension ref="A1:I61"/>
  <sheetViews>
    <sheetView showGridLines="0" workbookViewId="0">
      <selection sqref="A1:I1"/>
    </sheetView>
  </sheetViews>
  <sheetFormatPr baseColWidth="10" defaultColWidth="9.140625" defaultRowHeight="15" x14ac:dyDescent="0.25"/>
  <cols>
    <col min="1" max="1" width="10" customWidth="1"/>
    <col min="2" max="2" width="22" customWidth="1"/>
    <col min="3" max="3" width="35" customWidth="1"/>
    <col min="4" max="4" width="12" customWidth="1"/>
    <col min="5" max="5" width="35" customWidth="1"/>
    <col min="6" max="6" width="12" customWidth="1"/>
    <col min="7" max="7" width="30" customWidth="1"/>
    <col min="8" max="8" width="15" customWidth="1"/>
    <col min="9" max="9" width="18" customWidth="1"/>
  </cols>
  <sheetData>
    <row r="1" spans="1:9" ht="24.95" customHeight="1" x14ac:dyDescent="0.25">
      <c r="A1" s="262" t="s">
        <v>1330</v>
      </c>
      <c r="B1" s="146"/>
      <c r="C1" s="146"/>
      <c r="D1" s="146"/>
      <c r="E1" s="146"/>
      <c r="F1" s="146"/>
      <c r="G1" s="146"/>
      <c r="H1" s="146"/>
      <c r="I1" s="146"/>
    </row>
    <row r="3" spans="1:9" x14ac:dyDescent="0.25">
      <c r="A3" s="56" t="s">
        <v>1331</v>
      </c>
      <c r="B3" s="4" t="s">
        <v>1332</v>
      </c>
    </row>
    <row r="4" spans="1:9" x14ac:dyDescent="0.25">
      <c r="A4" s="56" t="s">
        <v>1333</v>
      </c>
      <c r="B4" s="4" t="s">
        <v>124</v>
      </c>
    </row>
    <row r="5" spans="1:9" x14ac:dyDescent="0.25">
      <c r="A5" s="56" t="s">
        <v>1334</v>
      </c>
      <c r="B5" s="4" t="s">
        <v>1046</v>
      </c>
    </row>
    <row r="6" spans="1:9" x14ac:dyDescent="0.25">
      <c r="A6" s="56" t="s">
        <v>1335</v>
      </c>
      <c r="B6" s="4" t="s">
        <v>913</v>
      </c>
    </row>
    <row r="9" spans="1:9" ht="15.75" customHeight="1" x14ac:dyDescent="0.25">
      <c r="A9" s="263" t="s">
        <v>1336</v>
      </c>
      <c r="B9" s="146"/>
      <c r="C9" s="146"/>
      <c r="D9" s="146"/>
      <c r="E9" s="146"/>
      <c r="F9" s="146"/>
      <c r="G9" s="146"/>
      <c r="H9" s="146"/>
      <c r="I9" s="146"/>
    </row>
    <row r="11" spans="1:9" ht="35.1" customHeight="1" x14ac:dyDescent="0.25">
      <c r="A11" s="57" t="s">
        <v>1022</v>
      </c>
      <c r="B11" s="57" t="s">
        <v>1337</v>
      </c>
      <c r="C11" s="57" t="s">
        <v>108</v>
      </c>
      <c r="D11" s="57" t="s">
        <v>1338</v>
      </c>
      <c r="E11" s="57" t="s">
        <v>1339</v>
      </c>
      <c r="F11" s="57" t="s">
        <v>1340</v>
      </c>
      <c r="G11" s="57" t="s">
        <v>1341</v>
      </c>
      <c r="H11" s="57" t="s">
        <v>1041</v>
      </c>
      <c r="I11" s="57" t="s">
        <v>1342</v>
      </c>
    </row>
    <row r="12" spans="1:9" ht="30" customHeight="1" x14ac:dyDescent="0.25">
      <c r="A12" s="20" t="s">
        <v>1304</v>
      </c>
      <c r="B12" s="47" t="s">
        <v>1305</v>
      </c>
      <c r="C12" s="47" t="s">
        <v>1306</v>
      </c>
      <c r="D12" s="58" t="s">
        <v>1308</v>
      </c>
      <c r="E12" s="47" t="s">
        <v>1343</v>
      </c>
      <c r="F12" s="54" t="s">
        <v>1308</v>
      </c>
      <c r="G12" s="47" t="s">
        <v>1344</v>
      </c>
      <c r="H12" s="47" t="s">
        <v>913</v>
      </c>
      <c r="I12" s="47" t="s">
        <v>1345</v>
      </c>
    </row>
    <row r="13" spans="1:9" x14ac:dyDescent="0.25">
      <c r="A13" s="20" t="s">
        <v>1310</v>
      </c>
      <c r="B13" s="47" t="s">
        <v>1311</v>
      </c>
      <c r="C13" s="47" t="s">
        <v>1312</v>
      </c>
      <c r="D13" s="58" t="s">
        <v>1308</v>
      </c>
      <c r="E13" s="47" t="s">
        <v>1346</v>
      </c>
      <c r="F13" s="54" t="s">
        <v>1308</v>
      </c>
      <c r="G13" s="47" t="s">
        <v>1347</v>
      </c>
      <c r="H13" s="47" t="s">
        <v>1268</v>
      </c>
      <c r="I13" s="47" t="s">
        <v>1348</v>
      </c>
    </row>
    <row r="14" spans="1:9" x14ac:dyDescent="0.25">
      <c r="A14" s="20" t="s">
        <v>1324</v>
      </c>
      <c r="B14" s="47" t="s">
        <v>1325</v>
      </c>
      <c r="C14" s="47" t="s">
        <v>1349</v>
      </c>
      <c r="D14" s="58" t="s">
        <v>1308</v>
      </c>
      <c r="E14" s="47" t="s">
        <v>1350</v>
      </c>
      <c r="F14" s="54" t="s">
        <v>1308</v>
      </c>
      <c r="G14" s="47" t="s">
        <v>1351</v>
      </c>
      <c r="H14" s="47" t="s">
        <v>913</v>
      </c>
      <c r="I14" s="47" t="s">
        <v>1352</v>
      </c>
    </row>
    <row r="55" spans="1:4" x14ac:dyDescent="0.25">
      <c r="A55" s="264" t="s">
        <v>1353</v>
      </c>
      <c r="B55" s="146"/>
      <c r="C55" s="146"/>
      <c r="D55" s="146"/>
    </row>
    <row r="57" spans="1:4" ht="15.75" customHeight="1" x14ac:dyDescent="0.25">
      <c r="A57" s="59" t="s">
        <v>1354</v>
      </c>
      <c r="B57" s="60" t="s">
        <v>1355</v>
      </c>
    </row>
    <row r="58" spans="1:4" ht="15.75" customHeight="1" x14ac:dyDescent="0.25">
      <c r="A58" s="59" t="s">
        <v>1356</v>
      </c>
      <c r="B58" s="60" t="s">
        <v>1104</v>
      </c>
    </row>
    <row r="59" spans="1:4" ht="15.75" customHeight="1" x14ac:dyDescent="0.25">
      <c r="A59" s="59" t="s">
        <v>1357</v>
      </c>
      <c r="B59" s="60" t="s">
        <v>1104</v>
      </c>
    </row>
    <row r="60" spans="1:4" ht="15.75" customHeight="1" x14ac:dyDescent="0.25">
      <c r="A60" s="59" t="s">
        <v>1358</v>
      </c>
      <c r="B60" s="60" t="s">
        <v>1104</v>
      </c>
    </row>
    <row r="61" spans="1:4" ht="15.75" customHeight="1" x14ac:dyDescent="0.25">
      <c r="A61" s="59" t="s">
        <v>1359</v>
      </c>
      <c r="B61" s="60" t="s">
        <v>1105</v>
      </c>
    </row>
  </sheetData>
  <mergeCells count="3">
    <mergeCell ref="A1:I1"/>
    <mergeCell ref="A9:I9"/>
    <mergeCell ref="A55:D55"/>
  </mergeCells>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Hoja32">
    <tabColor rgb="FFE74C3C"/>
  </sheetPr>
  <dimension ref="A1:I503"/>
  <sheetViews>
    <sheetView showGridLines="0" workbookViewId="0">
      <selection sqref="A1:G1"/>
    </sheetView>
  </sheetViews>
  <sheetFormatPr baseColWidth="10" defaultColWidth="9.140625" defaultRowHeight="15" x14ac:dyDescent="0.25"/>
  <cols>
    <col min="1" max="1" width="10" customWidth="1"/>
    <col min="2" max="2" width="20" customWidth="1"/>
    <col min="3" max="3" width="45" customWidth="1"/>
    <col min="4" max="4" width="12" customWidth="1"/>
    <col min="5" max="5" width="15" customWidth="1"/>
    <col min="6" max="6" width="12" customWidth="1"/>
    <col min="7" max="8" width="15" customWidth="1"/>
    <col min="9" max="9" width="20" customWidth="1"/>
  </cols>
  <sheetData>
    <row r="1" spans="1:9" ht="24.95" customHeight="1" x14ac:dyDescent="0.25">
      <c r="A1" s="219" t="s">
        <v>1360</v>
      </c>
      <c r="B1" s="146"/>
      <c r="C1" s="146"/>
      <c r="D1" s="146"/>
      <c r="E1" s="146"/>
      <c r="F1" s="146"/>
      <c r="G1" s="146"/>
    </row>
    <row r="3" spans="1:9" x14ac:dyDescent="0.25">
      <c r="A3" s="258" t="s">
        <v>1361</v>
      </c>
      <c r="B3" s="146"/>
      <c r="C3" s="146"/>
      <c r="D3" s="146"/>
      <c r="E3" s="146"/>
      <c r="F3" s="146"/>
      <c r="G3" s="146"/>
      <c r="H3" s="95" t="s">
        <v>1138</v>
      </c>
      <c r="I3" s="97" t="s">
        <v>709</v>
      </c>
    </row>
    <row r="4" spans="1:9" x14ac:dyDescent="0.25">
      <c r="I4" s="99"/>
    </row>
    <row r="5" spans="1:9" ht="30" customHeight="1" x14ac:dyDescent="0.25">
      <c r="A5" s="61" t="s">
        <v>1022</v>
      </c>
      <c r="B5" s="61" t="s">
        <v>1122</v>
      </c>
      <c r="C5" s="61" t="s">
        <v>108</v>
      </c>
      <c r="D5" s="61" t="s">
        <v>901</v>
      </c>
      <c r="E5" s="61" t="s">
        <v>1362</v>
      </c>
      <c r="F5" s="61" t="s">
        <v>943</v>
      </c>
      <c r="G5" s="61" t="s">
        <v>1363</v>
      </c>
      <c r="I5" s="99"/>
    </row>
    <row r="6" spans="1:9" ht="30" customHeight="1" x14ac:dyDescent="0.25">
      <c r="A6" s="20" t="s">
        <v>1364</v>
      </c>
      <c r="B6" s="47" t="s">
        <v>1365</v>
      </c>
      <c r="C6" s="47" t="s">
        <v>1366</v>
      </c>
      <c r="D6" s="20" t="s">
        <v>1367</v>
      </c>
      <c r="E6" s="20" t="s">
        <v>1368</v>
      </c>
      <c r="F6" s="21" t="s">
        <v>971</v>
      </c>
      <c r="G6" s="20" t="s">
        <v>1369</v>
      </c>
      <c r="I6" s="99"/>
    </row>
    <row r="7" spans="1:9" x14ac:dyDescent="0.25">
      <c r="A7" s="20" t="s">
        <v>1370</v>
      </c>
      <c r="B7" s="47" t="s">
        <v>1371</v>
      </c>
      <c r="C7" s="47" t="s">
        <v>1372</v>
      </c>
      <c r="D7" s="20" t="s">
        <v>1367</v>
      </c>
      <c r="E7" s="20" t="s">
        <v>1368</v>
      </c>
      <c r="F7" s="21" t="s">
        <v>971</v>
      </c>
      <c r="G7" s="20" t="s">
        <v>1373</v>
      </c>
      <c r="I7" s="99"/>
    </row>
    <row r="8" spans="1:9" x14ac:dyDescent="0.25">
      <c r="A8" s="20" t="s">
        <v>1374</v>
      </c>
      <c r="B8" s="47" t="s">
        <v>1375</v>
      </c>
      <c r="C8" s="47" t="s">
        <v>1376</v>
      </c>
      <c r="D8" s="20" t="s">
        <v>1367</v>
      </c>
      <c r="E8" s="20" t="s">
        <v>1368</v>
      </c>
      <c r="F8" s="22" t="s">
        <v>974</v>
      </c>
      <c r="G8" s="20" t="s">
        <v>1377</v>
      </c>
      <c r="I8" s="99"/>
    </row>
    <row r="9" spans="1:9" ht="30" customHeight="1" x14ac:dyDescent="0.25">
      <c r="A9" s="20" t="s">
        <v>1378</v>
      </c>
      <c r="B9" s="47" t="s">
        <v>1379</v>
      </c>
      <c r="C9" s="47" t="s">
        <v>1380</v>
      </c>
      <c r="D9" s="20" t="s">
        <v>1367</v>
      </c>
      <c r="E9" s="20" t="s">
        <v>1381</v>
      </c>
      <c r="F9" s="62" t="s">
        <v>1111</v>
      </c>
      <c r="G9" s="20" t="s">
        <v>1382</v>
      </c>
      <c r="I9" s="99"/>
    </row>
    <row r="10" spans="1:9" x14ac:dyDescent="0.25">
      <c r="A10" s="20" t="s">
        <v>1383</v>
      </c>
      <c r="B10" s="47" t="s">
        <v>1384</v>
      </c>
      <c r="C10" s="47" t="s">
        <v>1385</v>
      </c>
      <c r="D10" s="20" t="s">
        <v>1386</v>
      </c>
      <c r="E10" s="20" t="s">
        <v>1387</v>
      </c>
      <c r="F10" s="21" t="s">
        <v>971</v>
      </c>
      <c r="G10" s="20" t="s">
        <v>1388</v>
      </c>
      <c r="I10" s="99"/>
    </row>
    <row r="11" spans="1:9" x14ac:dyDescent="0.25">
      <c r="A11" s="20" t="s">
        <v>1389</v>
      </c>
      <c r="B11" s="47" t="s">
        <v>1390</v>
      </c>
      <c r="C11" s="47" t="s">
        <v>1391</v>
      </c>
      <c r="D11" s="20" t="s">
        <v>1392</v>
      </c>
      <c r="E11" s="20" t="s">
        <v>1393</v>
      </c>
      <c r="F11" s="22" t="s">
        <v>974</v>
      </c>
      <c r="G11" s="20" t="s">
        <v>1323</v>
      </c>
      <c r="I11" s="99"/>
    </row>
    <row r="12" spans="1:9" x14ac:dyDescent="0.25">
      <c r="A12" s="20" t="s">
        <v>1394</v>
      </c>
      <c r="B12" s="47" t="s">
        <v>1395</v>
      </c>
      <c r="C12" s="47" t="s">
        <v>1396</v>
      </c>
      <c r="D12" s="20" t="s">
        <v>1392</v>
      </c>
      <c r="E12" s="20" t="s">
        <v>1393</v>
      </c>
      <c r="F12" s="21" t="s">
        <v>971</v>
      </c>
      <c r="G12" s="20" t="s">
        <v>1323</v>
      </c>
      <c r="I12" s="99"/>
    </row>
    <row r="13" spans="1:9" x14ac:dyDescent="0.25">
      <c r="A13" s="20" t="s">
        <v>1397</v>
      </c>
      <c r="B13" s="47" t="s">
        <v>1398</v>
      </c>
      <c r="C13" s="47" t="s">
        <v>1399</v>
      </c>
      <c r="D13" s="20" t="s">
        <v>1386</v>
      </c>
      <c r="E13" s="20" t="s">
        <v>1387</v>
      </c>
      <c r="F13" s="22" t="s">
        <v>974</v>
      </c>
      <c r="G13" s="20" t="s">
        <v>1323</v>
      </c>
      <c r="I13" s="99"/>
    </row>
    <row r="14" spans="1:9" x14ac:dyDescent="0.25">
      <c r="I14" s="99"/>
    </row>
    <row r="15" spans="1:9" x14ac:dyDescent="0.25">
      <c r="I15" s="99"/>
    </row>
    <row r="16" spans="1:9" x14ac:dyDescent="0.25">
      <c r="I16" s="99"/>
    </row>
    <row r="17" spans="9:9" x14ac:dyDescent="0.25">
      <c r="I17" s="99"/>
    </row>
    <row r="18" spans="9:9" x14ac:dyDescent="0.25">
      <c r="I18" s="99"/>
    </row>
    <row r="19" spans="9:9" x14ac:dyDescent="0.25">
      <c r="I19" s="99"/>
    </row>
    <row r="20" spans="9:9" x14ac:dyDescent="0.25">
      <c r="I20" s="99"/>
    </row>
    <row r="21" spans="9:9" x14ac:dyDescent="0.25">
      <c r="I21" s="99"/>
    </row>
    <row r="22" spans="9:9" x14ac:dyDescent="0.25">
      <c r="I22" s="99"/>
    </row>
    <row r="23" spans="9:9" x14ac:dyDescent="0.25">
      <c r="I23" s="99"/>
    </row>
    <row r="24" spans="9:9" x14ac:dyDescent="0.25">
      <c r="I24" s="99"/>
    </row>
    <row r="25" spans="9:9" x14ac:dyDescent="0.25">
      <c r="I25" s="99"/>
    </row>
    <row r="26" spans="9:9" x14ac:dyDescent="0.25">
      <c r="I26" s="99"/>
    </row>
    <row r="27" spans="9:9" x14ac:dyDescent="0.25">
      <c r="I27" s="99"/>
    </row>
    <row r="28" spans="9:9" x14ac:dyDescent="0.25">
      <c r="I28" s="99"/>
    </row>
    <row r="29" spans="9:9" x14ac:dyDescent="0.25">
      <c r="I29" s="99"/>
    </row>
    <row r="30" spans="9:9" x14ac:dyDescent="0.25">
      <c r="I30" s="99"/>
    </row>
    <row r="31" spans="9:9" x14ac:dyDescent="0.25">
      <c r="I31" s="99"/>
    </row>
    <row r="32" spans="9:9" x14ac:dyDescent="0.25">
      <c r="I32" s="99"/>
    </row>
    <row r="33" spans="9:9" x14ac:dyDescent="0.25">
      <c r="I33" s="99"/>
    </row>
    <row r="34" spans="9:9" x14ac:dyDescent="0.25">
      <c r="I34" s="99"/>
    </row>
    <row r="35" spans="9:9" x14ac:dyDescent="0.25">
      <c r="I35" s="99"/>
    </row>
    <row r="36" spans="9:9" x14ac:dyDescent="0.25">
      <c r="I36" s="99"/>
    </row>
    <row r="37" spans="9:9" x14ac:dyDescent="0.25">
      <c r="I37" s="99"/>
    </row>
    <row r="38" spans="9:9" x14ac:dyDescent="0.25">
      <c r="I38" s="99"/>
    </row>
    <row r="39" spans="9:9" x14ac:dyDescent="0.25">
      <c r="I39" s="99"/>
    </row>
    <row r="40" spans="9:9" x14ac:dyDescent="0.25">
      <c r="I40" s="99"/>
    </row>
    <row r="41" spans="9:9" x14ac:dyDescent="0.25">
      <c r="I41" s="99"/>
    </row>
    <row r="42" spans="9:9" x14ac:dyDescent="0.25">
      <c r="I42" s="99"/>
    </row>
    <row r="43" spans="9:9" x14ac:dyDescent="0.25">
      <c r="I43" s="99"/>
    </row>
    <row r="44" spans="9:9" x14ac:dyDescent="0.25">
      <c r="I44" s="99"/>
    </row>
    <row r="45" spans="9:9" x14ac:dyDescent="0.25">
      <c r="I45" s="99"/>
    </row>
    <row r="46" spans="9:9" x14ac:dyDescent="0.25">
      <c r="I46" s="99"/>
    </row>
    <row r="47" spans="9:9" x14ac:dyDescent="0.25">
      <c r="I47" s="99"/>
    </row>
    <row r="48" spans="9:9" x14ac:dyDescent="0.25">
      <c r="I48" s="99"/>
    </row>
    <row r="49" spans="1:9" x14ac:dyDescent="0.25">
      <c r="I49" s="99"/>
    </row>
    <row r="50" spans="1:9" x14ac:dyDescent="0.25">
      <c r="A50" s="266" t="s">
        <v>1400</v>
      </c>
      <c r="B50" s="146"/>
      <c r="C50" s="146"/>
      <c r="I50" s="99"/>
    </row>
    <row r="51" spans="1:9" x14ac:dyDescent="0.25">
      <c r="I51" s="99"/>
    </row>
    <row r="52" spans="1:9" x14ac:dyDescent="0.25">
      <c r="A52" s="63" t="s">
        <v>1367</v>
      </c>
      <c r="B52" s="265" t="s">
        <v>1401</v>
      </c>
      <c r="C52" s="244"/>
      <c r="D52" s="245"/>
      <c r="I52" s="99"/>
    </row>
    <row r="53" spans="1:9" x14ac:dyDescent="0.25">
      <c r="A53" s="63" t="s">
        <v>1386</v>
      </c>
      <c r="B53" s="265" t="s">
        <v>1402</v>
      </c>
      <c r="C53" s="244"/>
      <c r="D53" s="245"/>
      <c r="I53" s="99"/>
    </row>
    <row r="54" spans="1:9" x14ac:dyDescent="0.25">
      <c r="A54" s="63" t="s">
        <v>1392</v>
      </c>
      <c r="B54" s="265" t="s">
        <v>1403</v>
      </c>
      <c r="C54" s="244"/>
      <c r="D54" s="245"/>
      <c r="I54" s="99"/>
    </row>
    <row r="55" spans="1:9" x14ac:dyDescent="0.25">
      <c r="I55" s="99"/>
    </row>
    <row r="56" spans="1:9" x14ac:dyDescent="0.25">
      <c r="I56" s="99"/>
    </row>
    <row r="57" spans="1:9" x14ac:dyDescent="0.25">
      <c r="I57" s="99"/>
    </row>
    <row r="58" spans="1:9" x14ac:dyDescent="0.25">
      <c r="I58" s="99"/>
    </row>
    <row r="59" spans="1:9" x14ac:dyDescent="0.25">
      <c r="I59" s="99"/>
    </row>
    <row r="60" spans="1:9" x14ac:dyDescent="0.25">
      <c r="I60" s="99"/>
    </row>
    <row r="61" spans="1:9" x14ac:dyDescent="0.25">
      <c r="I61" s="99"/>
    </row>
    <row r="62" spans="1:9" x14ac:dyDescent="0.25">
      <c r="I62" s="99"/>
    </row>
    <row r="63" spans="1:9" x14ac:dyDescent="0.25">
      <c r="I63" s="99"/>
    </row>
    <row r="64" spans="1:9" x14ac:dyDescent="0.25">
      <c r="I64" s="99"/>
    </row>
    <row r="65" spans="9:9" x14ac:dyDescent="0.25">
      <c r="I65" s="99"/>
    </row>
    <row r="66" spans="9:9" x14ac:dyDescent="0.25">
      <c r="I66" s="99"/>
    </row>
    <row r="67" spans="9:9" x14ac:dyDescent="0.25">
      <c r="I67" s="99"/>
    </row>
    <row r="68" spans="9:9" x14ac:dyDescent="0.25">
      <c r="I68" s="99"/>
    </row>
    <row r="69" spans="9:9" x14ac:dyDescent="0.25">
      <c r="I69" s="99"/>
    </row>
    <row r="70" spans="9:9" x14ac:dyDescent="0.25">
      <c r="I70" s="99"/>
    </row>
    <row r="71" spans="9:9" x14ac:dyDescent="0.25">
      <c r="I71" s="99"/>
    </row>
    <row r="72" spans="9:9" x14ac:dyDescent="0.25">
      <c r="I72" s="99"/>
    </row>
    <row r="73" spans="9:9" x14ac:dyDescent="0.25">
      <c r="I73" s="99"/>
    </row>
    <row r="74" spans="9:9" x14ac:dyDescent="0.25">
      <c r="I74" s="99"/>
    </row>
    <row r="75" spans="9:9" x14ac:dyDescent="0.25">
      <c r="I75" s="99"/>
    </row>
    <row r="76" spans="9:9" x14ac:dyDescent="0.25">
      <c r="I76" s="99"/>
    </row>
    <row r="77" spans="9:9" x14ac:dyDescent="0.25">
      <c r="I77" s="99"/>
    </row>
    <row r="78" spans="9:9" x14ac:dyDescent="0.25">
      <c r="I78" s="99"/>
    </row>
    <row r="79" spans="9:9" x14ac:dyDescent="0.25">
      <c r="I79" s="99"/>
    </row>
    <row r="80" spans="9:9" x14ac:dyDescent="0.25">
      <c r="I80" s="99"/>
    </row>
    <row r="81" spans="9:9" x14ac:dyDescent="0.25">
      <c r="I81" s="99"/>
    </row>
    <row r="82" spans="9:9" x14ac:dyDescent="0.25">
      <c r="I82" s="99"/>
    </row>
    <row r="83" spans="9:9" x14ac:dyDescent="0.25">
      <c r="I83" s="99"/>
    </row>
    <row r="84" spans="9:9" x14ac:dyDescent="0.25">
      <c r="I84" s="99"/>
    </row>
    <row r="85" spans="9:9" x14ac:dyDescent="0.25">
      <c r="I85" s="99"/>
    </row>
    <row r="86" spans="9:9" x14ac:dyDescent="0.25">
      <c r="I86" s="99"/>
    </row>
    <row r="87" spans="9:9" x14ac:dyDescent="0.25">
      <c r="I87" s="99"/>
    </row>
    <row r="88" spans="9:9" x14ac:dyDescent="0.25">
      <c r="I88" s="99"/>
    </row>
    <row r="89" spans="9:9" x14ac:dyDescent="0.25">
      <c r="I89" s="99"/>
    </row>
    <row r="90" spans="9:9" x14ac:dyDescent="0.25">
      <c r="I90" s="99"/>
    </row>
    <row r="91" spans="9:9" x14ac:dyDescent="0.25">
      <c r="I91" s="99"/>
    </row>
    <row r="92" spans="9:9" x14ac:dyDescent="0.25">
      <c r="I92" s="99"/>
    </row>
    <row r="93" spans="9:9" x14ac:dyDescent="0.25">
      <c r="I93" s="99"/>
    </row>
    <row r="94" spans="9:9" x14ac:dyDescent="0.25">
      <c r="I94" s="99"/>
    </row>
    <row r="95" spans="9:9" x14ac:dyDescent="0.25">
      <c r="I95" s="99"/>
    </row>
    <row r="96" spans="9:9" x14ac:dyDescent="0.25">
      <c r="I96" s="99"/>
    </row>
    <row r="97" spans="9:9" x14ac:dyDescent="0.25">
      <c r="I97" s="99"/>
    </row>
    <row r="98" spans="9:9" x14ac:dyDescent="0.25">
      <c r="I98" s="99"/>
    </row>
    <row r="99" spans="9:9" x14ac:dyDescent="0.25">
      <c r="I99" s="99"/>
    </row>
    <row r="100" spans="9:9" x14ac:dyDescent="0.25">
      <c r="I100" s="99"/>
    </row>
    <row r="101" spans="9:9" x14ac:dyDescent="0.25">
      <c r="I101" s="99"/>
    </row>
    <row r="102" spans="9:9" x14ac:dyDescent="0.25">
      <c r="I102" s="99"/>
    </row>
    <row r="103" spans="9:9" x14ac:dyDescent="0.25">
      <c r="I103" s="99"/>
    </row>
    <row r="104" spans="9:9" x14ac:dyDescent="0.25">
      <c r="I104" s="99"/>
    </row>
    <row r="105" spans="9:9" x14ac:dyDescent="0.25">
      <c r="I105" s="99"/>
    </row>
    <row r="106" spans="9:9" x14ac:dyDescent="0.25">
      <c r="I106" s="99"/>
    </row>
    <row r="107" spans="9:9" x14ac:dyDescent="0.25">
      <c r="I107" s="99"/>
    </row>
    <row r="108" spans="9:9" x14ac:dyDescent="0.25">
      <c r="I108" s="99"/>
    </row>
    <row r="109" spans="9:9" x14ac:dyDescent="0.25">
      <c r="I109" s="99"/>
    </row>
    <row r="110" spans="9:9" x14ac:dyDescent="0.25">
      <c r="I110" s="99"/>
    </row>
    <row r="111" spans="9:9" x14ac:dyDescent="0.25">
      <c r="I111" s="99"/>
    </row>
    <row r="112" spans="9:9" x14ac:dyDescent="0.25">
      <c r="I112" s="99"/>
    </row>
    <row r="113" spans="9:9" x14ac:dyDescent="0.25">
      <c r="I113" s="99"/>
    </row>
    <row r="114" spans="9:9" x14ac:dyDescent="0.25">
      <c r="I114" s="99"/>
    </row>
    <row r="115" spans="9:9" x14ac:dyDescent="0.25">
      <c r="I115" s="99"/>
    </row>
    <row r="116" spans="9:9" x14ac:dyDescent="0.25">
      <c r="I116" s="99"/>
    </row>
    <row r="117" spans="9:9" x14ac:dyDescent="0.25">
      <c r="I117" s="99"/>
    </row>
    <row r="118" spans="9:9" x14ac:dyDescent="0.25">
      <c r="I118" s="99"/>
    </row>
    <row r="119" spans="9:9" x14ac:dyDescent="0.25">
      <c r="I119" s="99"/>
    </row>
    <row r="120" spans="9:9" x14ac:dyDescent="0.25">
      <c r="I120" s="99"/>
    </row>
    <row r="121" spans="9:9" x14ac:dyDescent="0.25">
      <c r="I121" s="99"/>
    </row>
    <row r="122" spans="9:9" x14ac:dyDescent="0.25">
      <c r="I122" s="99"/>
    </row>
    <row r="123" spans="9:9" x14ac:dyDescent="0.25">
      <c r="I123" s="99"/>
    </row>
    <row r="124" spans="9:9" x14ac:dyDescent="0.25">
      <c r="I124" s="99"/>
    </row>
    <row r="125" spans="9:9" x14ac:dyDescent="0.25">
      <c r="I125" s="99"/>
    </row>
    <row r="126" spans="9:9" x14ac:dyDescent="0.25">
      <c r="I126" s="99"/>
    </row>
    <row r="127" spans="9:9" x14ac:dyDescent="0.25">
      <c r="I127" s="99"/>
    </row>
    <row r="128" spans="9:9" x14ac:dyDescent="0.25">
      <c r="I128" s="99"/>
    </row>
    <row r="129" spans="9:9" x14ac:dyDescent="0.25">
      <c r="I129" s="99"/>
    </row>
    <row r="130" spans="9:9" x14ac:dyDescent="0.25">
      <c r="I130" s="99"/>
    </row>
    <row r="131" spans="9:9" x14ac:dyDescent="0.25">
      <c r="I131" s="99"/>
    </row>
    <row r="132" spans="9:9" x14ac:dyDescent="0.25">
      <c r="I132" s="99"/>
    </row>
    <row r="133" spans="9:9" x14ac:dyDescent="0.25">
      <c r="I133" s="99"/>
    </row>
    <row r="134" spans="9:9" x14ac:dyDescent="0.25">
      <c r="I134" s="99"/>
    </row>
    <row r="135" spans="9:9" x14ac:dyDescent="0.25">
      <c r="I135" s="99"/>
    </row>
    <row r="136" spans="9:9" x14ac:dyDescent="0.25">
      <c r="I136" s="99"/>
    </row>
    <row r="137" spans="9:9" x14ac:dyDescent="0.25">
      <c r="I137" s="99"/>
    </row>
    <row r="138" spans="9:9" x14ac:dyDescent="0.25">
      <c r="I138" s="99"/>
    </row>
    <row r="139" spans="9:9" x14ac:dyDescent="0.25">
      <c r="I139" s="99"/>
    </row>
    <row r="140" spans="9:9" x14ac:dyDescent="0.25">
      <c r="I140" s="99"/>
    </row>
    <row r="141" spans="9:9" x14ac:dyDescent="0.25">
      <c r="I141" s="99"/>
    </row>
    <row r="142" spans="9:9" x14ac:dyDescent="0.25">
      <c r="I142" s="99"/>
    </row>
    <row r="143" spans="9:9" x14ac:dyDescent="0.25">
      <c r="I143" s="99"/>
    </row>
    <row r="144" spans="9:9" x14ac:dyDescent="0.25">
      <c r="I144" s="99"/>
    </row>
    <row r="145" spans="9:9" x14ac:dyDescent="0.25">
      <c r="I145" s="99"/>
    </row>
    <row r="146" spans="9:9" x14ac:dyDescent="0.25">
      <c r="I146" s="99"/>
    </row>
    <row r="147" spans="9:9" x14ac:dyDescent="0.25">
      <c r="I147" s="99"/>
    </row>
    <row r="148" spans="9:9" x14ac:dyDescent="0.25">
      <c r="I148" s="99"/>
    </row>
    <row r="149" spans="9:9" x14ac:dyDescent="0.25">
      <c r="I149" s="99"/>
    </row>
    <row r="150" spans="9:9" x14ac:dyDescent="0.25">
      <c r="I150" s="99"/>
    </row>
    <row r="151" spans="9:9" x14ac:dyDescent="0.25">
      <c r="I151" s="99"/>
    </row>
    <row r="152" spans="9:9" x14ac:dyDescent="0.25">
      <c r="I152" s="99"/>
    </row>
    <row r="153" spans="9:9" x14ac:dyDescent="0.25">
      <c r="I153" s="99"/>
    </row>
    <row r="154" spans="9:9" x14ac:dyDescent="0.25">
      <c r="I154" s="99"/>
    </row>
    <row r="155" spans="9:9" x14ac:dyDescent="0.25">
      <c r="I155" s="99"/>
    </row>
    <row r="156" spans="9:9" x14ac:dyDescent="0.25">
      <c r="I156" s="99"/>
    </row>
    <row r="157" spans="9:9" x14ac:dyDescent="0.25">
      <c r="I157" s="99"/>
    </row>
    <row r="158" spans="9:9" x14ac:dyDescent="0.25">
      <c r="I158" s="99"/>
    </row>
    <row r="159" spans="9:9" x14ac:dyDescent="0.25">
      <c r="I159" s="99"/>
    </row>
    <row r="160" spans="9:9" x14ac:dyDescent="0.25">
      <c r="I160" s="99"/>
    </row>
    <row r="161" spans="9:9" x14ac:dyDescent="0.25">
      <c r="I161" s="99"/>
    </row>
    <row r="162" spans="9:9" x14ac:dyDescent="0.25">
      <c r="I162" s="99"/>
    </row>
    <row r="163" spans="9:9" x14ac:dyDescent="0.25">
      <c r="I163" s="99"/>
    </row>
    <row r="164" spans="9:9" x14ac:dyDescent="0.25">
      <c r="I164" s="99"/>
    </row>
    <row r="165" spans="9:9" x14ac:dyDescent="0.25">
      <c r="I165" s="99"/>
    </row>
    <row r="166" spans="9:9" x14ac:dyDescent="0.25">
      <c r="I166" s="99"/>
    </row>
    <row r="167" spans="9:9" x14ac:dyDescent="0.25">
      <c r="I167" s="99"/>
    </row>
    <row r="168" spans="9:9" x14ac:dyDescent="0.25">
      <c r="I168" s="99"/>
    </row>
    <row r="169" spans="9:9" x14ac:dyDescent="0.25">
      <c r="I169" s="99"/>
    </row>
    <row r="170" spans="9:9" x14ac:dyDescent="0.25">
      <c r="I170" s="99"/>
    </row>
    <row r="171" spans="9:9" x14ac:dyDescent="0.25">
      <c r="I171" s="99"/>
    </row>
    <row r="172" spans="9:9" x14ac:dyDescent="0.25">
      <c r="I172" s="99"/>
    </row>
    <row r="173" spans="9:9" x14ac:dyDescent="0.25">
      <c r="I173" s="99"/>
    </row>
    <row r="174" spans="9:9" x14ac:dyDescent="0.25">
      <c r="I174" s="99"/>
    </row>
    <row r="175" spans="9:9" x14ac:dyDescent="0.25">
      <c r="I175" s="99"/>
    </row>
    <row r="176" spans="9:9" x14ac:dyDescent="0.25">
      <c r="I176" s="99"/>
    </row>
    <row r="177" spans="9:9" x14ac:dyDescent="0.25">
      <c r="I177" s="99"/>
    </row>
    <row r="178" spans="9:9" x14ac:dyDescent="0.25">
      <c r="I178" s="99"/>
    </row>
    <row r="179" spans="9:9" x14ac:dyDescent="0.25">
      <c r="I179" s="99"/>
    </row>
    <row r="180" spans="9:9" x14ac:dyDescent="0.25">
      <c r="I180" s="99"/>
    </row>
    <row r="181" spans="9:9" x14ac:dyDescent="0.25">
      <c r="I181" s="99"/>
    </row>
    <row r="182" spans="9:9" x14ac:dyDescent="0.25">
      <c r="I182" s="99"/>
    </row>
    <row r="183" spans="9:9" x14ac:dyDescent="0.25">
      <c r="I183" s="99"/>
    </row>
    <row r="184" spans="9:9" x14ac:dyDescent="0.25">
      <c r="I184" s="99"/>
    </row>
    <row r="185" spans="9:9" x14ac:dyDescent="0.25">
      <c r="I185" s="99"/>
    </row>
    <row r="186" spans="9:9" x14ac:dyDescent="0.25">
      <c r="I186" s="99"/>
    </row>
    <row r="187" spans="9:9" x14ac:dyDescent="0.25">
      <c r="I187" s="99"/>
    </row>
    <row r="188" spans="9:9" x14ac:dyDescent="0.25">
      <c r="I188" s="99"/>
    </row>
    <row r="189" spans="9:9" x14ac:dyDescent="0.25">
      <c r="I189" s="99"/>
    </row>
    <row r="190" spans="9:9" x14ac:dyDescent="0.25">
      <c r="I190" s="99"/>
    </row>
    <row r="191" spans="9:9" x14ac:dyDescent="0.25">
      <c r="I191" s="99"/>
    </row>
    <row r="192" spans="9:9" x14ac:dyDescent="0.25">
      <c r="I192" s="99"/>
    </row>
    <row r="193" spans="9:9" x14ac:dyDescent="0.25">
      <c r="I193" s="99"/>
    </row>
    <row r="194" spans="9:9" x14ac:dyDescent="0.25">
      <c r="I194" s="99"/>
    </row>
    <row r="195" spans="9:9" x14ac:dyDescent="0.25">
      <c r="I195" s="99"/>
    </row>
    <row r="196" spans="9:9" x14ac:dyDescent="0.25">
      <c r="I196" s="99"/>
    </row>
    <row r="197" spans="9:9" x14ac:dyDescent="0.25">
      <c r="I197" s="99"/>
    </row>
    <row r="198" spans="9:9" x14ac:dyDescent="0.25">
      <c r="I198" s="99"/>
    </row>
    <row r="199" spans="9:9" x14ac:dyDescent="0.25">
      <c r="I199" s="99"/>
    </row>
    <row r="200" spans="9:9" x14ac:dyDescent="0.25">
      <c r="I200" s="99"/>
    </row>
    <row r="201" spans="9:9" x14ac:dyDescent="0.25">
      <c r="I201" s="99"/>
    </row>
    <row r="202" spans="9:9" x14ac:dyDescent="0.25">
      <c r="I202" s="99"/>
    </row>
    <row r="203" spans="9:9" x14ac:dyDescent="0.25">
      <c r="I203" s="99"/>
    </row>
    <row r="204" spans="9:9" x14ac:dyDescent="0.25">
      <c r="I204" s="99"/>
    </row>
    <row r="205" spans="9:9" x14ac:dyDescent="0.25">
      <c r="I205" s="99"/>
    </row>
    <row r="206" spans="9:9" x14ac:dyDescent="0.25">
      <c r="I206" s="99"/>
    </row>
    <row r="207" spans="9:9" x14ac:dyDescent="0.25">
      <c r="I207" s="99"/>
    </row>
    <row r="208" spans="9:9" x14ac:dyDescent="0.25">
      <c r="I208" s="99"/>
    </row>
    <row r="209" spans="9:9" x14ac:dyDescent="0.25">
      <c r="I209" s="99"/>
    </row>
    <row r="210" spans="9:9" x14ac:dyDescent="0.25">
      <c r="I210" s="99"/>
    </row>
    <row r="211" spans="9:9" x14ac:dyDescent="0.25">
      <c r="I211" s="99"/>
    </row>
    <row r="212" spans="9:9" x14ac:dyDescent="0.25">
      <c r="I212" s="99"/>
    </row>
    <row r="213" spans="9:9" x14ac:dyDescent="0.25">
      <c r="I213" s="99"/>
    </row>
    <row r="214" spans="9:9" x14ac:dyDescent="0.25">
      <c r="I214" s="99"/>
    </row>
    <row r="215" spans="9:9" x14ac:dyDescent="0.25">
      <c r="I215" s="99"/>
    </row>
    <row r="216" spans="9:9" x14ac:dyDescent="0.25">
      <c r="I216" s="99"/>
    </row>
    <row r="217" spans="9:9" x14ac:dyDescent="0.25">
      <c r="I217" s="99"/>
    </row>
    <row r="218" spans="9:9" x14ac:dyDescent="0.25">
      <c r="I218" s="99"/>
    </row>
    <row r="219" spans="9:9" x14ac:dyDescent="0.25">
      <c r="I219" s="99"/>
    </row>
    <row r="220" spans="9:9" x14ac:dyDescent="0.25">
      <c r="I220" s="99"/>
    </row>
    <row r="221" spans="9:9" x14ac:dyDescent="0.25">
      <c r="I221" s="99"/>
    </row>
    <row r="222" spans="9:9" x14ac:dyDescent="0.25">
      <c r="I222" s="99"/>
    </row>
    <row r="223" spans="9:9" x14ac:dyDescent="0.25">
      <c r="I223" s="99"/>
    </row>
    <row r="224" spans="9:9" x14ac:dyDescent="0.25">
      <c r="I224" s="99"/>
    </row>
    <row r="225" spans="9:9" x14ac:dyDescent="0.25">
      <c r="I225" s="99"/>
    </row>
    <row r="226" spans="9:9" x14ac:dyDescent="0.25">
      <c r="I226" s="99"/>
    </row>
    <row r="227" spans="9:9" x14ac:dyDescent="0.25">
      <c r="I227" s="99"/>
    </row>
    <row r="228" spans="9:9" x14ac:dyDescent="0.25">
      <c r="I228" s="99"/>
    </row>
    <row r="229" spans="9:9" x14ac:dyDescent="0.25">
      <c r="I229" s="99"/>
    </row>
    <row r="230" spans="9:9" x14ac:dyDescent="0.25">
      <c r="I230" s="99"/>
    </row>
    <row r="231" spans="9:9" x14ac:dyDescent="0.25">
      <c r="I231" s="99"/>
    </row>
    <row r="232" spans="9:9" x14ac:dyDescent="0.25">
      <c r="I232" s="99"/>
    </row>
    <row r="233" spans="9:9" x14ac:dyDescent="0.25">
      <c r="I233" s="99"/>
    </row>
    <row r="234" spans="9:9" x14ac:dyDescent="0.25">
      <c r="I234" s="99"/>
    </row>
    <row r="235" spans="9:9" x14ac:dyDescent="0.25">
      <c r="I235" s="99"/>
    </row>
    <row r="236" spans="9:9" x14ac:dyDescent="0.25">
      <c r="I236" s="99"/>
    </row>
    <row r="237" spans="9:9" x14ac:dyDescent="0.25">
      <c r="I237" s="99"/>
    </row>
    <row r="238" spans="9:9" x14ac:dyDescent="0.25">
      <c r="I238" s="99"/>
    </row>
    <row r="239" spans="9:9" x14ac:dyDescent="0.25">
      <c r="I239" s="99"/>
    </row>
    <row r="240" spans="9:9" x14ac:dyDescent="0.25">
      <c r="I240" s="99"/>
    </row>
    <row r="241" spans="9:9" x14ac:dyDescent="0.25">
      <c r="I241" s="99"/>
    </row>
    <row r="242" spans="9:9" x14ac:dyDescent="0.25">
      <c r="I242" s="99"/>
    </row>
    <row r="243" spans="9:9" x14ac:dyDescent="0.25">
      <c r="I243" s="99"/>
    </row>
    <row r="244" spans="9:9" x14ac:dyDescent="0.25">
      <c r="I244" s="99"/>
    </row>
    <row r="245" spans="9:9" x14ac:dyDescent="0.25">
      <c r="I245" s="99"/>
    </row>
    <row r="246" spans="9:9" x14ac:dyDescent="0.25">
      <c r="I246" s="99"/>
    </row>
    <row r="247" spans="9:9" x14ac:dyDescent="0.25">
      <c r="I247" s="99"/>
    </row>
    <row r="248" spans="9:9" x14ac:dyDescent="0.25">
      <c r="I248" s="99"/>
    </row>
    <row r="249" spans="9:9" x14ac:dyDescent="0.25">
      <c r="I249" s="99"/>
    </row>
    <row r="250" spans="9:9" x14ac:dyDescent="0.25">
      <c r="I250" s="99"/>
    </row>
    <row r="251" spans="9:9" x14ac:dyDescent="0.25">
      <c r="I251" s="99"/>
    </row>
    <row r="252" spans="9:9" x14ac:dyDescent="0.25">
      <c r="I252" s="99"/>
    </row>
    <row r="253" spans="9:9" x14ac:dyDescent="0.25">
      <c r="I253" s="99"/>
    </row>
    <row r="254" spans="9:9" x14ac:dyDescent="0.25">
      <c r="I254" s="99"/>
    </row>
    <row r="255" spans="9:9" x14ac:dyDescent="0.25">
      <c r="I255" s="99"/>
    </row>
    <row r="256" spans="9:9" x14ac:dyDescent="0.25">
      <c r="I256" s="99"/>
    </row>
    <row r="257" spans="9:9" x14ac:dyDescent="0.25">
      <c r="I257" s="99"/>
    </row>
    <row r="258" spans="9:9" x14ac:dyDescent="0.25">
      <c r="I258" s="99"/>
    </row>
    <row r="259" spans="9:9" x14ac:dyDescent="0.25">
      <c r="I259" s="99"/>
    </row>
    <row r="260" spans="9:9" x14ac:dyDescent="0.25">
      <c r="I260" s="99"/>
    </row>
    <row r="261" spans="9:9" x14ac:dyDescent="0.25">
      <c r="I261" s="99"/>
    </row>
    <row r="262" spans="9:9" x14ac:dyDescent="0.25">
      <c r="I262" s="99"/>
    </row>
    <row r="263" spans="9:9" x14ac:dyDescent="0.25">
      <c r="I263" s="99"/>
    </row>
    <row r="264" spans="9:9" x14ac:dyDescent="0.25">
      <c r="I264" s="99"/>
    </row>
    <row r="265" spans="9:9" x14ac:dyDescent="0.25">
      <c r="I265" s="99"/>
    </row>
    <row r="266" spans="9:9" x14ac:dyDescent="0.25">
      <c r="I266" s="99"/>
    </row>
    <row r="267" spans="9:9" x14ac:dyDescent="0.25">
      <c r="I267" s="99"/>
    </row>
    <row r="268" spans="9:9" x14ac:dyDescent="0.25">
      <c r="I268" s="99"/>
    </row>
    <row r="269" spans="9:9" x14ac:dyDescent="0.25">
      <c r="I269" s="99"/>
    </row>
    <row r="270" spans="9:9" x14ac:dyDescent="0.25">
      <c r="I270" s="99"/>
    </row>
    <row r="271" spans="9:9" x14ac:dyDescent="0.25">
      <c r="I271" s="99"/>
    </row>
    <row r="272" spans="9:9" x14ac:dyDescent="0.25">
      <c r="I272" s="99"/>
    </row>
    <row r="273" spans="9:9" x14ac:dyDescent="0.25">
      <c r="I273" s="99"/>
    </row>
    <row r="274" spans="9:9" x14ac:dyDescent="0.25">
      <c r="I274" s="99"/>
    </row>
    <row r="275" spans="9:9" x14ac:dyDescent="0.25">
      <c r="I275" s="99"/>
    </row>
    <row r="276" spans="9:9" x14ac:dyDescent="0.25">
      <c r="I276" s="99"/>
    </row>
    <row r="277" spans="9:9" x14ac:dyDescent="0.25">
      <c r="I277" s="99"/>
    </row>
    <row r="278" spans="9:9" x14ac:dyDescent="0.25">
      <c r="I278" s="99"/>
    </row>
    <row r="279" spans="9:9" x14ac:dyDescent="0.25">
      <c r="I279" s="99"/>
    </row>
    <row r="280" spans="9:9" x14ac:dyDescent="0.25">
      <c r="I280" s="99"/>
    </row>
    <row r="281" spans="9:9" x14ac:dyDescent="0.25">
      <c r="I281" s="99"/>
    </row>
    <row r="282" spans="9:9" x14ac:dyDescent="0.25">
      <c r="I282" s="99"/>
    </row>
    <row r="283" spans="9:9" x14ac:dyDescent="0.25">
      <c r="I283" s="99"/>
    </row>
    <row r="284" spans="9:9" x14ac:dyDescent="0.25">
      <c r="I284" s="99"/>
    </row>
    <row r="285" spans="9:9" x14ac:dyDescent="0.25">
      <c r="I285" s="99"/>
    </row>
    <row r="286" spans="9:9" x14ac:dyDescent="0.25">
      <c r="I286" s="99"/>
    </row>
    <row r="287" spans="9:9" x14ac:dyDescent="0.25">
      <c r="I287" s="99"/>
    </row>
    <row r="288" spans="9:9" x14ac:dyDescent="0.25">
      <c r="I288" s="99"/>
    </row>
    <row r="289" spans="9:9" x14ac:dyDescent="0.25">
      <c r="I289" s="99"/>
    </row>
    <row r="290" spans="9:9" x14ac:dyDescent="0.25">
      <c r="I290" s="99"/>
    </row>
    <row r="291" spans="9:9" x14ac:dyDescent="0.25">
      <c r="I291" s="99"/>
    </row>
    <row r="292" spans="9:9" x14ac:dyDescent="0.25">
      <c r="I292" s="99"/>
    </row>
    <row r="293" spans="9:9" x14ac:dyDescent="0.25">
      <c r="I293" s="99"/>
    </row>
    <row r="294" spans="9:9" x14ac:dyDescent="0.25">
      <c r="I294" s="99"/>
    </row>
    <row r="295" spans="9:9" x14ac:dyDescent="0.25">
      <c r="I295" s="99"/>
    </row>
    <row r="296" spans="9:9" x14ac:dyDescent="0.25">
      <c r="I296" s="99"/>
    </row>
    <row r="297" spans="9:9" x14ac:dyDescent="0.25">
      <c r="I297" s="99"/>
    </row>
    <row r="298" spans="9:9" x14ac:dyDescent="0.25">
      <c r="I298" s="99"/>
    </row>
    <row r="299" spans="9:9" x14ac:dyDescent="0.25">
      <c r="I299" s="99"/>
    </row>
    <row r="300" spans="9:9" x14ac:dyDescent="0.25">
      <c r="I300" s="99"/>
    </row>
    <row r="301" spans="9:9" x14ac:dyDescent="0.25">
      <c r="I301" s="99"/>
    </row>
    <row r="302" spans="9:9" x14ac:dyDescent="0.25">
      <c r="I302" s="99"/>
    </row>
    <row r="303" spans="9:9" x14ac:dyDescent="0.25">
      <c r="I303" s="99"/>
    </row>
    <row r="304" spans="9:9" x14ac:dyDescent="0.25">
      <c r="I304" s="99"/>
    </row>
    <row r="305" spans="9:9" x14ac:dyDescent="0.25">
      <c r="I305" s="99"/>
    </row>
    <row r="306" spans="9:9" x14ac:dyDescent="0.25">
      <c r="I306" s="99"/>
    </row>
    <row r="307" spans="9:9" x14ac:dyDescent="0.25">
      <c r="I307" s="99"/>
    </row>
    <row r="308" spans="9:9" x14ac:dyDescent="0.25">
      <c r="I308" s="99"/>
    </row>
    <row r="309" spans="9:9" x14ac:dyDescent="0.25">
      <c r="I309" s="99"/>
    </row>
    <row r="310" spans="9:9" x14ac:dyDescent="0.25">
      <c r="I310" s="99"/>
    </row>
    <row r="311" spans="9:9" x14ac:dyDescent="0.25">
      <c r="I311" s="99"/>
    </row>
    <row r="312" spans="9:9" x14ac:dyDescent="0.25">
      <c r="I312" s="99"/>
    </row>
    <row r="313" spans="9:9" x14ac:dyDescent="0.25">
      <c r="I313" s="99"/>
    </row>
    <row r="314" spans="9:9" x14ac:dyDescent="0.25">
      <c r="I314" s="99"/>
    </row>
    <row r="315" spans="9:9" x14ac:dyDescent="0.25">
      <c r="I315" s="99"/>
    </row>
    <row r="316" spans="9:9" x14ac:dyDescent="0.25">
      <c r="I316" s="99"/>
    </row>
    <row r="317" spans="9:9" x14ac:dyDescent="0.25">
      <c r="I317" s="99"/>
    </row>
    <row r="318" spans="9:9" x14ac:dyDescent="0.25">
      <c r="I318" s="99"/>
    </row>
    <row r="319" spans="9:9" x14ac:dyDescent="0.25">
      <c r="I319" s="99"/>
    </row>
    <row r="320" spans="9:9" x14ac:dyDescent="0.25">
      <c r="I320" s="99"/>
    </row>
    <row r="321" spans="9:9" x14ac:dyDescent="0.25">
      <c r="I321" s="99"/>
    </row>
    <row r="322" spans="9:9" x14ac:dyDescent="0.25">
      <c r="I322" s="99"/>
    </row>
    <row r="323" spans="9:9" x14ac:dyDescent="0.25">
      <c r="I323" s="99"/>
    </row>
    <row r="324" spans="9:9" x14ac:dyDescent="0.25">
      <c r="I324" s="99"/>
    </row>
    <row r="325" spans="9:9" x14ac:dyDescent="0.25">
      <c r="I325" s="99"/>
    </row>
    <row r="326" spans="9:9" x14ac:dyDescent="0.25">
      <c r="I326" s="99"/>
    </row>
    <row r="327" spans="9:9" x14ac:dyDescent="0.25">
      <c r="I327" s="99"/>
    </row>
    <row r="328" spans="9:9" x14ac:dyDescent="0.25">
      <c r="I328" s="99"/>
    </row>
    <row r="329" spans="9:9" x14ac:dyDescent="0.25">
      <c r="I329" s="99"/>
    </row>
    <row r="330" spans="9:9" x14ac:dyDescent="0.25">
      <c r="I330" s="99"/>
    </row>
    <row r="331" spans="9:9" x14ac:dyDescent="0.25">
      <c r="I331" s="99"/>
    </row>
    <row r="332" spans="9:9" x14ac:dyDescent="0.25">
      <c r="I332" s="99"/>
    </row>
    <row r="333" spans="9:9" x14ac:dyDescent="0.25">
      <c r="I333" s="99"/>
    </row>
    <row r="334" spans="9:9" x14ac:dyDescent="0.25">
      <c r="I334" s="99"/>
    </row>
    <row r="335" spans="9:9" x14ac:dyDescent="0.25">
      <c r="I335" s="99"/>
    </row>
    <row r="336" spans="9:9" x14ac:dyDescent="0.25">
      <c r="I336" s="99"/>
    </row>
    <row r="337" spans="9:9" x14ac:dyDescent="0.25">
      <c r="I337" s="99"/>
    </row>
    <row r="338" spans="9:9" x14ac:dyDescent="0.25">
      <c r="I338" s="99"/>
    </row>
    <row r="339" spans="9:9" x14ac:dyDescent="0.25">
      <c r="I339" s="99"/>
    </row>
    <row r="340" spans="9:9" x14ac:dyDescent="0.25">
      <c r="I340" s="99"/>
    </row>
    <row r="341" spans="9:9" x14ac:dyDescent="0.25">
      <c r="I341" s="99"/>
    </row>
    <row r="342" spans="9:9" x14ac:dyDescent="0.25">
      <c r="I342" s="99"/>
    </row>
    <row r="343" spans="9:9" x14ac:dyDescent="0.25">
      <c r="I343" s="99"/>
    </row>
    <row r="344" spans="9:9" x14ac:dyDescent="0.25">
      <c r="I344" s="99"/>
    </row>
    <row r="345" spans="9:9" x14ac:dyDescent="0.25">
      <c r="I345" s="99"/>
    </row>
    <row r="346" spans="9:9" x14ac:dyDescent="0.25">
      <c r="I346" s="99"/>
    </row>
    <row r="347" spans="9:9" x14ac:dyDescent="0.25">
      <c r="I347" s="99"/>
    </row>
    <row r="348" spans="9:9" x14ac:dyDescent="0.25">
      <c r="I348" s="99"/>
    </row>
    <row r="349" spans="9:9" x14ac:dyDescent="0.25">
      <c r="I349" s="99"/>
    </row>
    <row r="350" spans="9:9" x14ac:dyDescent="0.25">
      <c r="I350" s="99"/>
    </row>
    <row r="351" spans="9:9" x14ac:dyDescent="0.25">
      <c r="I351" s="99"/>
    </row>
    <row r="352" spans="9:9" x14ac:dyDescent="0.25">
      <c r="I352" s="99"/>
    </row>
    <row r="353" spans="9:9" x14ac:dyDescent="0.25">
      <c r="I353" s="99"/>
    </row>
    <row r="354" spans="9:9" x14ac:dyDescent="0.25">
      <c r="I354" s="99"/>
    </row>
    <row r="355" spans="9:9" x14ac:dyDescent="0.25">
      <c r="I355" s="99"/>
    </row>
    <row r="356" spans="9:9" x14ac:dyDescent="0.25">
      <c r="I356" s="99"/>
    </row>
    <row r="357" spans="9:9" x14ac:dyDescent="0.25">
      <c r="I357" s="99"/>
    </row>
    <row r="358" spans="9:9" x14ac:dyDescent="0.25">
      <c r="I358" s="99"/>
    </row>
    <row r="359" spans="9:9" x14ac:dyDescent="0.25">
      <c r="I359" s="99"/>
    </row>
    <row r="360" spans="9:9" x14ac:dyDescent="0.25">
      <c r="I360" s="99"/>
    </row>
    <row r="361" spans="9:9" x14ac:dyDescent="0.25">
      <c r="I361" s="99"/>
    </row>
    <row r="362" spans="9:9" x14ac:dyDescent="0.25">
      <c r="I362" s="99"/>
    </row>
    <row r="363" spans="9:9" x14ac:dyDescent="0.25">
      <c r="I363" s="99"/>
    </row>
    <row r="364" spans="9:9" x14ac:dyDescent="0.25">
      <c r="I364" s="99"/>
    </row>
    <row r="365" spans="9:9" x14ac:dyDescent="0.25">
      <c r="I365" s="99"/>
    </row>
    <row r="366" spans="9:9" x14ac:dyDescent="0.25">
      <c r="I366" s="99"/>
    </row>
    <row r="367" spans="9:9" x14ac:dyDescent="0.25">
      <c r="I367" s="99"/>
    </row>
    <row r="368" spans="9:9" x14ac:dyDescent="0.25">
      <c r="I368" s="99"/>
    </row>
    <row r="369" spans="9:9" x14ac:dyDescent="0.25">
      <c r="I369" s="99"/>
    </row>
    <row r="370" spans="9:9" x14ac:dyDescent="0.25">
      <c r="I370" s="99"/>
    </row>
    <row r="371" spans="9:9" x14ac:dyDescent="0.25">
      <c r="I371" s="99"/>
    </row>
    <row r="372" spans="9:9" x14ac:dyDescent="0.25">
      <c r="I372" s="99"/>
    </row>
    <row r="373" spans="9:9" x14ac:dyDescent="0.25">
      <c r="I373" s="99"/>
    </row>
    <row r="374" spans="9:9" x14ac:dyDescent="0.25">
      <c r="I374" s="99"/>
    </row>
    <row r="375" spans="9:9" x14ac:dyDescent="0.25">
      <c r="I375" s="99"/>
    </row>
    <row r="376" spans="9:9" x14ac:dyDescent="0.25">
      <c r="I376" s="99"/>
    </row>
    <row r="377" spans="9:9" x14ac:dyDescent="0.25">
      <c r="I377" s="99"/>
    </row>
    <row r="378" spans="9:9" x14ac:dyDescent="0.25">
      <c r="I378" s="99"/>
    </row>
    <row r="379" spans="9:9" x14ac:dyDescent="0.25">
      <c r="I379" s="99"/>
    </row>
    <row r="380" spans="9:9" x14ac:dyDescent="0.25">
      <c r="I380" s="99"/>
    </row>
    <row r="381" spans="9:9" x14ac:dyDescent="0.25">
      <c r="I381" s="99"/>
    </row>
    <row r="382" spans="9:9" x14ac:dyDescent="0.25">
      <c r="I382" s="99"/>
    </row>
    <row r="383" spans="9:9" x14ac:dyDescent="0.25">
      <c r="I383" s="99"/>
    </row>
    <row r="384" spans="9:9" x14ac:dyDescent="0.25">
      <c r="I384" s="99"/>
    </row>
    <row r="385" spans="9:9" x14ac:dyDescent="0.25">
      <c r="I385" s="99"/>
    </row>
    <row r="386" spans="9:9" x14ac:dyDescent="0.25">
      <c r="I386" s="99"/>
    </row>
    <row r="387" spans="9:9" x14ac:dyDescent="0.25">
      <c r="I387" s="99"/>
    </row>
    <row r="388" spans="9:9" x14ac:dyDescent="0.25">
      <c r="I388" s="99"/>
    </row>
    <row r="389" spans="9:9" x14ac:dyDescent="0.25">
      <c r="I389" s="99"/>
    </row>
    <row r="390" spans="9:9" x14ac:dyDescent="0.25">
      <c r="I390" s="99"/>
    </row>
    <row r="391" spans="9:9" x14ac:dyDescent="0.25">
      <c r="I391" s="99"/>
    </row>
    <row r="392" spans="9:9" x14ac:dyDescent="0.25">
      <c r="I392" s="99"/>
    </row>
    <row r="393" spans="9:9" x14ac:dyDescent="0.25">
      <c r="I393" s="99"/>
    </row>
    <row r="394" spans="9:9" x14ac:dyDescent="0.25">
      <c r="I394" s="99"/>
    </row>
    <row r="395" spans="9:9" x14ac:dyDescent="0.25">
      <c r="I395" s="99"/>
    </row>
    <row r="396" spans="9:9" x14ac:dyDescent="0.25">
      <c r="I396" s="99"/>
    </row>
    <row r="397" spans="9:9" x14ac:dyDescent="0.25">
      <c r="I397" s="99"/>
    </row>
    <row r="398" spans="9:9" x14ac:dyDescent="0.25">
      <c r="I398" s="99"/>
    </row>
    <row r="399" spans="9:9" x14ac:dyDescent="0.25">
      <c r="I399" s="99"/>
    </row>
    <row r="400" spans="9:9" x14ac:dyDescent="0.25">
      <c r="I400" s="99"/>
    </row>
    <row r="401" spans="9:9" x14ac:dyDescent="0.25">
      <c r="I401" s="99"/>
    </row>
    <row r="402" spans="9:9" x14ac:dyDescent="0.25">
      <c r="I402" s="99"/>
    </row>
    <row r="403" spans="9:9" x14ac:dyDescent="0.25">
      <c r="I403" s="99"/>
    </row>
    <row r="404" spans="9:9" x14ac:dyDescent="0.25">
      <c r="I404" s="99"/>
    </row>
    <row r="405" spans="9:9" x14ac:dyDescent="0.25">
      <c r="I405" s="99"/>
    </row>
    <row r="406" spans="9:9" x14ac:dyDescent="0.25">
      <c r="I406" s="99"/>
    </row>
    <row r="407" spans="9:9" x14ac:dyDescent="0.25">
      <c r="I407" s="99"/>
    </row>
    <row r="408" spans="9:9" x14ac:dyDescent="0.25">
      <c r="I408" s="99"/>
    </row>
    <row r="409" spans="9:9" x14ac:dyDescent="0.25">
      <c r="I409" s="99"/>
    </row>
    <row r="410" spans="9:9" x14ac:dyDescent="0.25">
      <c r="I410" s="99"/>
    </row>
    <row r="411" spans="9:9" x14ac:dyDescent="0.25">
      <c r="I411" s="99"/>
    </row>
    <row r="412" spans="9:9" x14ac:dyDescent="0.25">
      <c r="I412" s="99"/>
    </row>
    <row r="413" spans="9:9" x14ac:dyDescent="0.25">
      <c r="I413" s="99"/>
    </row>
    <row r="414" spans="9:9" x14ac:dyDescent="0.25">
      <c r="I414" s="99"/>
    </row>
    <row r="415" spans="9:9" x14ac:dyDescent="0.25">
      <c r="I415" s="99"/>
    </row>
    <row r="416" spans="9:9" x14ac:dyDescent="0.25">
      <c r="I416" s="99"/>
    </row>
    <row r="417" spans="9:9" x14ac:dyDescent="0.25">
      <c r="I417" s="99"/>
    </row>
    <row r="418" spans="9:9" x14ac:dyDescent="0.25">
      <c r="I418" s="99"/>
    </row>
    <row r="419" spans="9:9" x14ac:dyDescent="0.25">
      <c r="I419" s="99"/>
    </row>
    <row r="420" spans="9:9" x14ac:dyDescent="0.25">
      <c r="I420" s="99"/>
    </row>
    <row r="421" spans="9:9" x14ac:dyDescent="0.25">
      <c r="I421" s="99"/>
    </row>
    <row r="422" spans="9:9" x14ac:dyDescent="0.25">
      <c r="I422" s="99"/>
    </row>
    <row r="423" spans="9:9" x14ac:dyDescent="0.25">
      <c r="I423" s="99"/>
    </row>
    <row r="424" spans="9:9" x14ac:dyDescent="0.25">
      <c r="I424" s="99"/>
    </row>
    <row r="425" spans="9:9" x14ac:dyDescent="0.25">
      <c r="I425" s="99"/>
    </row>
    <row r="426" spans="9:9" x14ac:dyDescent="0.25">
      <c r="I426" s="99"/>
    </row>
    <row r="427" spans="9:9" x14ac:dyDescent="0.25">
      <c r="I427" s="99"/>
    </row>
    <row r="428" spans="9:9" x14ac:dyDescent="0.25">
      <c r="I428" s="99"/>
    </row>
    <row r="429" spans="9:9" x14ac:dyDescent="0.25">
      <c r="I429" s="99"/>
    </row>
    <row r="430" spans="9:9" x14ac:dyDescent="0.25">
      <c r="I430" s="99"/>
    </row>
    <row r="431" spans="9:9" x14ac:dyDescent="0.25">
      <c r="I431" s="99"/>
    </row>
    <row r="432" spans="9:9" x14ac:dyDescent="0.25">
      <c r="I432" s="99"/>
    </row>
    <row r="433" spans="9:9" x14ac:dyDescent="0.25">
      <c r="I433" s="99"/>
    </row>
    <row r="434" spans="9:9" x14ac:dyDescent="0.25">
      <c r="I434" s="99"/>
    </row>
    <row r="435" spans="9:9" x14ac:dyDescent="0.25">
      <c r="I435" s="99"/>
    </row>
    <row r="436" spans="9:9" x14ac:dyDescent="0.25">
      <c r="I436" s="99"/>
    </row>
    <row r="437" spans="9:9" x14ac:dyDescent="0.25">
      <c r="I437" s="99"/>
    </row>
    <row r="438" spans="9:9" x14ac:dyDescent="0.25">
      <c r="I438" s="99"/>
    </row>
    <row r="439" spans="9:9" x14ac:dyDescent="0.25">
      <c r="I439" s="99"/>
    </row>
    <row r="440" spans="9:9" x14ac:dyDescent="0.25">
      <c r="I440" s="99"/>
    </row>
    <row r="441" spans="9:9" x14ac:dyDescent="0.25">
      <c r="I441" s="99"/>
    </row>
    <row r="442" spans="9:9" x14ac:dyDescent="0.25">
      <c r="I442" s="99"/>
    </row>
    <row r="443" spans="9:9" x14ac:dyDescent="0.25">
      <c r="I443" s="99"/>
    </row>
    <row r="444" spans="9:9" x14ac:dyDescent="0.25">
      <c r="I444" s="99"/>
    </row>
    <row r="445" spans="9:9" x14ac:dyDescent="0.25">
      <c r="I445" s="99"/>
    </row>
    <row r="446" spans="9:9" x14ac:dyDescent="0.25">
      <c r="I446" s="99"/>
    </row>
    <row r="447" spans="9:9" x14ac:dyDescent="0.25">
      <c r="I447" s="99"/>
    </row>
    <row r="448" spans="9:9" x14ac:dyDescent="0.25">
      <c r="I448" s="99"/>
    </row>
    <row r="449" spans="9:9" x14ac:dyDescent="0.25">
      <c r="I449" s="99"/>
    </row>
    <row r="450" spans="9:9" x14ac:dyDescent="0.25">
      <c r="I450" s="99"/>
    </row>
    <row r="451" spans="9:9" x14ac:dyDescent="0.25">
      <c r="I451" s="99"/>
    </row>
    <row r="452" spans="9:9" x14ac:dyDescent="0.25">
      <c r="I452" s="99"/>
    </row>
    <row r="453" spans="9:9" x14ac:dyDescent="0.25">
      <c r="I453" s="99"/>
    </row>
    <row r="454" spans="9:9" x14ac:dyDescent="0.25">
      <c r="I454" s="99"/>
    </row>
    <row r="455" spans="9:9" x14ac:dyDescent="0.25">
      <c r="I455" s="99"/>
    </row>
    <row r="456" spans="9:9" x14ac:dyDescent="0.25">
      <c r="I456" s="99"/>
    </row>
    <row r="457" spans="9:9" x14ac:dyDescent="0.25">
      <c r="I457" s="99"/>
    </row>
    <row r="458" spans="9:9" x14ac:dyDescent="0.25">
      <c r="I458" s="99"/>
    </row>
    <row r="459" spans="9:9" x14ac:dyDescent="0.25">
      <c r="I459" s="99"/>
    </row>
    <row r="460" spans="9:9" x14ac:dyDescent="0.25">
      <c r="I460" s="99"/>
    </row>
    <row r="461" spans="9:9" x14ac:dyDescent="0.25">
      <c r="I461" s="99"/>
    </row>
    <row r="462" spans="9:9" x14ac:dyDescent="0.25">
      <c r="I462" s="99"/>
    </row>
    <row r="463" spans="9:9" x14ac:dyDescent="0.25">
      <c r="I463" s="99"/>
    </row>
    <row r="464" spans="9:9" x14ac:dyDescent="0.25">
      <c r="I464" s="99"/>
    </row>
    <row r="465" spans="9:9" x14ac:dyDescent="0.25">
      <c r="I465" s="99"/>
    </row>
    <row r="466" spans="9:9" x14ac:dyDescent="0.25">
      <c r="I466" s="99"/>
    </row>
    <row r="467" spans="9:9" x14ac:dyDescent="0.25">
      <c r="I467" s="99"/>
    </row>
    <row r="468" spans="9:9" x14ac:dyDescent="0.25">
      <c r="I468" s="99"/>
    </row>
    <row r="469" spans="9:9" x14ac:dyDescent="0.25">
      <c r="I469" s="99"/>
    </row>
    <row r="470" spans="9:9" x14ac:dyDescent="0.25">
      <c r="I470" s="99"/>
    </row>
    <row r="471" spans="9:9" x14ac:dyDescent="0.25">
      <c r="I471" s="99"/>
    </row>
    <row r="472" spans="9:9" x14ac:dyDescent="0.25">
      <c r="I472" s="99"/>
    </row>
    <row r="473" spans="9:9" x14ac:dyDescent="0.25">
      <c r="I473" s="99"/>
    </row>
    <row r="474" spans="9:9" x14ac:dyDescent="0.25">
      <c r="I474" s="99"/>
    </row>
    <row r="475" spans="9:9" x14ac:dyDescent="0.25">
      <c r="I475" s="99"/>
    </row>
    <row r="476" spans="9:9" x14ac:dyDescent="0.25">
      <c r="I476" s="99"/>
    </row>
    <row r="477" spans="9:9" x14ac:dyDescent="0.25">
      <c r="I477" s="99"/>
    </row>
    <row r="478" spans="9:9" x14ac:dyDescent="0.25">
      <c r="I478" s="99"/>
    </row>
    <row r="479" spans="9:9" x14ac:dyDescent="0.25">
      <c r="I479" s="99"/>
    </row>
    <row r="480" spans="9:9" x14ac:dyDescent="0.25">
      <c r="I480" s="99"/>
    </row>
    <row r="481" spans="9:9" x14ac:dyDescent="0.25">
      <c r="I481" s="99"/>
    </row>
    <row r="482" spans="9:9" x14ac:dyDescent="0.25">
      <c r="I482" s="99"/>
    </row>
    <row r="483" spans="9:9" x14ac:dyDescent="0.25">
      <c r="I483" s="99"/>
    </row>
    <row r="484" spans="9:9" x14ac:dyDescent="0.25">
      <c r="I484" s="99"/>
    </row>
    <row r="485" spans="9:9" x14ac:dyDescent="0.25">
      <c r="I485" s="99"/>
    </row>
    <row r="486" spans="9:9" x14ac:dyDescent="0.25">
      <c r="I486" s="99"/>
    </row>
    <row r="487" spans="9:9" x14ac:dyDescent="0.25">
      <c r="I487" s="99"/>
    </row>
    <row r="488" spans="9:9" x14ac:dyDescent="0.25">
      <c r="I488" s="99"/>
    </row>
    <row r="489" spans="9:9" x14ac:dyDescent="0.25">
      <c r="I489" s="99"/>
    </row>
    <row r="490" spans="9:9" x14ac:dyDescent="0.25">
      <c r="I490" s="99"/>
    </row>
    <row r="491" spans="9:9" x14ac:dyDescent="0.25">
      <c r="I491" s="99"/>
    </row>
    <row r="492" spans="9:9" x14ac:dyDescent="0.25">
      <c r="I492" s="99"/>
    </row>
    <row r="493" spans="9:9" x14ac:dyDescent="0.25">
      <c r="I493" s="99"/>
    </row>
    <row r="494" spans="9:9" x14ac:dyDescent="0.25">
      <c r="I494" s="99"/>
    </row>
    <row r="495" spans="9:9" x14ac:dyDescent="0.25">
      <c r="I495" s="99"/>
    </row>
    <row r="496" spans="9:9" x14ac:dyDescent="0.25">
      <c r="I496" s="99"/>
    </row>
    <row r="497" spans="9:9" x14ac:dyDescent="0.25">
      <c r="I497" s="99"/>
    </row>
    <row r="498" spans="9:9" x14ac:dyDescent="0.25">
      <c r="I498" s="99"/>
    </row>
    <row r="499" spans="9:9" x14ac:dyDescent="0.25">
      <c r="I499" s="99"/>
    </row>
    <row r="500" spans="9:9" x14ac:dyDescent="0.25">
      <c r="I500" s="99"/>
    </row>
    <row r="501" spans="9:9" x14ac:dyDescent="0.25">
      <c r="I501" s="99"/>
    </row>
    <row r="502" spans="9:9" x14ac:dyDescent="0.25">
      <c r="I502" s="99"/>
    </row>
    <row r="503" spans="9:9" x14ac:dyDescent="0.25">
      <c r="I503" s="99"/>
    </row>
  </sheetData>
  <mergeCells count="6">
    <mergeCell ref="B54:D54"/>
    <mergeCell ref="A1:G1"/>
    <mergeCell ref="A3:G3"/>
    <mergeCell ref="B52:D52"/>
    <mergeCell ref="B53:D53"/>
    <mergeCell ref="A50:C50"/>
  </mergeCells>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Hoja33">
    <tabColor rgb="FFFD6A02"/>
  </sheetPr>
  <dimension ref="A1:L5"/>
  <sheetViews>
    <sheetView showGridLines="0" workbookViewId="0">
      <selection sqref="A1:L1"/>
    </sheetView>
  </sheetViews>
  <sheetFormatPr baseColWidth="10" defaultColWidth="9.140625" defaultRowHeight="15" x14ac:dyDescent="0.25"/>
  <cols>
    <col min="1" max="1" width="12" customWidth="1"/>
    <col min="2" max="2" width="20" customWidth="1"/>
    <col min="3" max="3" width="35" customWidth="1"/>
    <col min="4" max="4" width="18" customWidth="1"/>
    <col min="5" max="5" width="15" customWidth="1"/>
    <col min="6" max="10" width="12" customWidth="1"/>
    <col min="11" max="11" width="15" customWidth="1"/>
    <col min="12" max="12" width="30" customWidth="1"/>
  </cols>
  <sheetData>
    <row r="1" spans="1:12" ht="24.95" customHeight="1" x14ac:dyDescent="0.25">
      <c r="A1" s="267" t="s">
        <v>1404</v>
      </c>
      <c r="B1" s="146"/>
      <c r="C1" s="146"/>
      <c r="D1" s="146"/>
      <c r="E1" s="146"/>
      <c r="F1" s="146"/>
      <c r="G1" s="146"/>
      <c r="H1" s="146"/>
      <c r="I1" s="146"/>
      <c r="J1" s="146"/>
      <c r="K1" s="146"/>
      <c r="L1" s="146"/>
    </row>
    <row r="3" spans="1:12" ht="30" customHeight="1" x14ac:dyDescent="0.25">
      <c r="A3" s="64" t="s">
        <v>1405</v>
      </c>
      <c r="B3" s="64" t="s">
        <v>1023</v>
      </c>
      <c r="C3" s="64" t="s">
        <v>108</v>
      </c>
      <c r="D3" s="64" t="s">
        <v>1406</v>
      </c>
      <c r="E3" s="64" t="s">
        <v>901</v>
      </c>
      <c r="F3" s="64" t="s">
        <v>1407</v>
      </c>
      <c r="G3" s="64" t="s">
        <v>1408</v>
      </c>
      <c r="H3" s="64" t="s">
        <v>905</v>
      </c>
      <c r="I3" s="64" t="s">
        <v>1409</v>
      </c>
      <c r="J3" s="64" t="s">
        <v>1410</v>
      </c>
      <c r="K3" s="64" t="s">
        <v>1041</v>
      </c>
      <c r="L3" s="64" t="s">
        <v>1411</v>
      </c>
    </row>
    <row r="4" spans="1:12" ht="30" customHeight="1" x14ac:dyDescent="0.25">
      <c r="A4" s="20" t="s">
        <v>1412</v>
      </c>
      <c r="B4" s="47" t="s">
        <v>1413</v>
      </c>
      <c r="C4" s="47" t="s">
        <v>1414</v>
      </c>
      <c r="D4" s="47" t="s">
        <v>1415</v>
      </c>
      <c r="E4" s="20" t="s">
        <v>1367</v>
      </c>
      <c r="F4" s="62" t="s">
        <v>1045</v>
      </c>
      <c r="G4" s="47" t="s">
        <v>1416</v>
      </c>
      <c r="H4" s="20" t="s">
        <v>1116</v>
      </c>
      <c r="I4" s="47" t="s">
        <v>1212</v>
      </c>
      <c r="J4" s="47"/>
      <c r="K4" s="47" t="s">
        <v>1417</v>
      </c>
      <c r="L4" s="47" t="s">
        <v>1418</v>
      </c>
    </row>
    <row r="5" spans="1:12" x14ac:dyDescent="0.25">
      <c r="A5" s="20" t="s">
        <v>1419</v>
      </c>
      <c r="B5" s="47" t="s">
        <v>1420</v>
      </c>
      <c r="C5" s="47" t="s">
        <v>1421</v>
      </c>
      <c r="D5" s="47" t="s">
        <v>1422</v>
      </c>
      <c r="E5" s="20" t="s">
        <v>1423</v>
      </c>
      <c r="F5" s="21" t="s">
        <v>950</v>
      </c>
      <c r="G5" s="47" t="s">
        <v>1424</v>
      </c>
      <c r="H5" s="20" t="s">
        <v>1425</v>
      </c>
      <c r="I5" s="47" t="s">
        <v>1426</v>
      </c>
      <c r="J5" s="47"/>
      <c r="K5" s="47" t="s">
        <v>924</v>
      </c>
      <c r="L5" s="47" t="s">
        <v>1427</v>
      </c>
    </row>
  </sheetData>
  <mergeCells count="1">
    <mergeCell ref="A1:L1"/>
  </mergeCells>
  <dataValidations count="2">
    <dataValidation type="list" sqref="F4:F1000" xr:uid="{00000000-0002-0000-2700-000000000000}">
      <formula1>"Crítica,Alta,Media,Baja"</formula1>
    </dataValidation>
    <dataValidation type="list" sqref="H4:H1000" xr:uid="{00000000-0002-0000-2700-000001000000}">
      <formula1>"Abierto,En Proceso,Completado,Cerrado,Cancelado"</formula1>
    </dataValidation>
  </dataValidations>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Hoja34">
    <tabColor rgb="FFC00000"/>
  </sheetPr>
  <dimension ref="A1:O4"/>
  <sheetViews>
    <sheetView showGridLines="0" workbookViewId="0">
      <selection sqref="A1:O1"/>
    </sheetView>
  </sheetViews>
  <sheetFormatPr baseColWidth="10" defaultColWidth="9.140625" defaultRowHeight="15" x14ac:dyDescent="0.25"/>
  <cols>
    <col min="1" max="2" width="14" customWidth="1"/>
    <col min="3" max="3" width="20" customWidth="1"/>
    <col min="4" max="4" width="30" customWidth="1"/>
    <col min="5" max="5" width="12" customWidth="1"/>
    <col min="6" max="6" width="10" customWidth="1"/>
    <col min="7" max="7" width="18" customWidth="1"/>
    <col min="8" max="8" width="15" customWidth="1"/>
    <col min="9" max="9" width="10" customWidth="1"/>
    <col min="10" max="10" width="15" customWidth="1"/>
    <col min="11" max="11" width="12" customWidth="1"/>
    <col min="12" max="12" width="10" customWidth="1"/>
    <col min="13" max="13" width="20" customWidth="1"/>
    <col min="14" max="15" width="30" customWidth="1"/>
  </cols>
  <sheetData>
    <row r="1" spans="1:15" ht="24.95" customHeight="1" x14ac:dyDescent="0.25">
      <c r="A1" s="242" t="s">
        <v>1428</v>
      </c>
      <c r="B1" s="146"/>
      <c r="C1" s="146"/>
      <c r="D1" s="146"/>
      <c r="E1" s="146"/>
      <c r="F1" s="146"/>
      <c r="G1" s="146"/>
      <c r="H1" s="146"/>
      <c r="I1" s="146"/>
      <c r="J1" s="146"/>
      <c r="K1" s="146"/>
      <c r="L1" s="146"/>
      <c r="M1" s="146"/>
      <c r="N1" s="146"/>
      <c r="O1" s="146"/>
    </row>
    <row r="3" spans="1:15" ht="35.1" customHeight="1" x14ac:dyDescent="0.25">
      <c r="A3" s="65" t="s">
        <v>1429</v>
      </c>
      <c r="B3" s="65" t="s">
        <v>1430</v>
      </c>
      <c r="C3" s="65" t="s">
        <v>900</v>
      </c>
      <c r="D3" s="65" t="s">
        <v>108</v>
      </c>
      <c r="E3" s="65" t="s">
        <v>901</v>
      </c>
      <c r="F3" s="65" t="s">
        <v>1407</v>
      </c>
      <c r="G3" s="65" t="s">
        <v>1431</v>
      </c>
      <c r="H3" s="65" t="s">
        <v>1432</v>
      </c>
      <c r="I3" s="65" t="s">
        <v>905</v>
      </c>
      <c r="J3" s="65" t="s">
        <v>1433</v>
      </c>
      <c r="K3" s="65" t="s">
        <v>1410</v>
      </c>
      <c r="L3" s="65" t="s">
        <v>1434</v>
      </c>
      <c r="M3" s="65" t="s">
        <v>1435</v>
      </c>
      <c r="N3" s="65" t="s">
        <v>1436</v>
      </c>
      <c r="O3" s="65" t="s">
        <v>1437</v>
      </c>
    </row>
    <row r="4" spans="1:15" ht="30" customHeight="1" x14ac:dyDescent="0.25">
      <c r="A4" s="20" t="s">
        <v>1438</v>
      </c>
      <c r="B4" s="47" t="s">
        <v>1439</v>
      </c>
      <c r="C4" s="47" t="s">
        <v>1440</v>
      </c>
      <c r="D4" s="47" t="s">
        <v>1441</v>
      </c>
      <c r="E4" s="20" t="s">
        <v>1371</v>
      </c>
      <c r="F4" s="20" t="s">
        <v>954</v>
      </c>
      <c r="G4" s="47" t="s">
        <v>1442</v>
      </c>
      <c r="H4" s="47" t="s">
        <v>1443</v>
      </c>
      <c r="I4" s="54" t="s">
        <v>1444</v>
      </c>
      <c r="J4" s="47" t="s">
        <v>1445</v>
      </c>
      <c r="K4" s="47" t="s">
        <v>1446</v>
      </c>
      <c r="L4" s="47" t="s">
        <v>1447</v>
      </c>
      <c r="M4" s="47" t="s">
        <v>1448</v>
      </c>
      <c r="N4" s="47" t="s">
        <v>1449</v>
      </c>
      <c r="O4" s="47" t="s">
        <v>1450</v>
      </c>
    </row>
  </sheetData>
  <mergeCells count="1">
    <mergeCell ref="A1:O1"/>
  </mergeCells>
  <dataValidations count="3">
    <dataValidation type="list" sqref="E4:E1000" xr:uid="{00000000-0002-0000-2800-000000000000}">
      <formula1>"Malware,Phishing,Acceso no autorizado,Pérdida de datos,Denegación de servicio,Otro"</formula1>
    </dataValidation>
    <dataValidation type="list" sqref="F4:F1000" xr:uid="{00000000-0002-0000-2800-000001000000}">
      <formula1>"Crítica,Alta,Media,Baja"</formula1>
    </dataValidation>
    <dataValidation type="list" sqref="I4:I1000" xr:uid="{00000000-0002-0000-2800-000002000000}">
      <formula1>"Nuevo,En Investigación,En Proceso,Resuelto,Cerrado"</formula1>
    </dataValidation>
  </dataValidations>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Hoja35">
    <tabColor rgb="FF1F4E78"/>
  </sheetPr>
  <dimension ref="A1:J8"/>
  <sheetViews>
    <sheetView showGridLines="0" workbookViewId="0">
      <selection sqref="A1:J1"/>
    </sheetView>
  </sheetViews>
  <sheetFormatPr baseColWidth="10" defaultColWidth="9.140625" defaultRowHeight="15" x14ac:dyDescent="0.25"/>
  <cols>
    <col min="1" max="1" width="14" customWidth="1"/>
    <col min="2" max="2" width="28" customWidth="1"/>
    <col min="3" max="3" width="35" customWidth="1"/>
    <col min="4" max="4" width="8" customWidth="1"/>
    <col min="5" max="7" width="12" customWidth="1"/>
    <col min="8" max="8" width="10" customWidth="1"/>
    <col min="9" max="9" width="20" customWidth="1"/>
    <col min="10" max="10" width="12" customWidth="1"/>
  </cols>
  <sheetData>
    <row r="1" spans="1:10" ht="24.95" customHeight="1" x14ac:dyDescent="0.25">
      <c r="A1" s="268" t="s">
        <v>1451</v>
      </c>
      <c r="B1" s="146"/>
      <c r="C1" s="146"/>
      <c r="D1" s="146"/>
      <c r="E1" s="146"/>
      <c r="F1" s="146"/>
      <c r="G1" s="146"/>
      <c r="H1" s="146"/>
      <c r="I1" s="146"/>
      <c r="J1" s="146"/>
    </row>
    <row r="3" spans="1:10" ht="30" customHeight="1" x14ac:dyDescent="0.25">
      <c r="A3" s="66" t="s">
        <v>688</v>
      </c>
      <c r="B3" s="66" t="s">
        <v>1452</v>
      </c>
      <c r="C3" s="66" t="s">
        <v>108</v>
      </c>
      <c r="D3" s="66" t="s">
        <v>116</v>
      </c>
      <c r="E3" s="66" t="s">
        <v>1453</v>
      </c>
      <c r="F3" s="66" t="s">
        <v>1454</v>
      </c>
      <c r="G3" s="66" t="s">
        <v>1455</v>
      </c>
      <c r="H3" s="66" t="s">
        <v>905</v>
      </c>
      <c r="I3" s="66" t="s">
        <v>1456</v>
      </c>
      <c r="J3" s="66" t="s">
        <v>1457</v>
      </c>
    </row>
    <row r="4" spans="1:10" x14ac:dyDescent="0.25">
      <c r="A4" s="20" t="s">
        <v>1345</v>
      </c>
      <c r="B4" s="47" t="s">
        <v>1458</v>
      </c>
      <c r="C4" s="47" t="s">
        <v>1459</v>
      </c>
      <c r="D4" s="20" t="s">
        <v>131</v>
      </c>
      <c r="E4" s="47" t="s">
        <v>912</v>
      </c>
      <c r="F4" s="47" t="s">
        <v>914</v>
      </c>
      <c r="G4" s="47" t="s">
        <v>917</v>
      </c>
      <c r="H4" s="54" t="s">
        <v>915</v>
      </c>
      <c r="I4" s="47" t="s">
        <v>918</v>
      </c>
      <c r="J4" s="20" t="s">
        <v>1304</v>
      </c>
    </row>
    <row r="5" spans="1:10" x14ac:dyDescent="0.25">
      <c r="A5" s="20" t="s">
        <v>1460</v>
      </c>
      <c r="B5" s="47" t="s">
        <v>1461</v>
      </c>
      <c r="C5" s="47" t="s">
        <v>1462</v>
      </c>
      <c r="D5" s="20" t="s">
        <v>922</v>
      </c>
      <c r="E5" s="47" t="s">
        <v>1463</v>
      </c>
      <c r="F5" s="47" t="s">
        <v>913</v>
      </c>
      <c r="G5" s="47" t="s">
        <v>1464</v>
      </c>
      <c r="H5" s="54" t="s">
        <v>915</v>
      </c>
      <c r="I5" s="47" t="s">
        <v>918</v>
      </c>
      <c r="J5" s="20" t="s">
        <v>1465</v>
      </c>
    </row>
    <row r="6" spans="1:10" x14ac:dyDescent="0.25">
      <c r="A6" s="20" t="s">
        <v>1352</v>
      </c>
      <c r="B6" s="47" t="s">
        <v>1466</v>
      </c>
      <c r="C6" s="47" t="s">
        <v>1467</v>
      </c>
      <c r="D6" s="20" t="s">
        <v>124</v>
      </c>
      <c r="E6" s="47" t="s">
        <v>1468</v>
      </c>
      <c r="F6" s="47" t="s">
        <v>913</v>
      </c>
      <c r="G6" s="47" t="s">
        <v>1469</v>
      </c>
      <c r="H6" s="54" t="s">
        <v>915</v>
      </c>
      <c r="I6" s="47" t="s">
        <v>918</v>
      </c>
      <c r="J6" s="20" t="s">
        <v>1324</v>
      </c>
    </row>
    <row r="7" spans="1:10" x14ac:dyDescent="0.25">
      <c r="A7" s="20" t="s">
        <v>1470</v>
      </c>
      <c r="B7" s="47" t="s">
        <v>1194</v>
      </c>
      <c r="C7" s="47" t="s">
        <v>1471</v>
      </c>
      <c r="D7" s="20" t="s">
        <v>124</v>
      </c>
      <c r="E7" s="47" t="s">
        <v>1472</v>
      </c>
      <c r="F7" s="47" t="s">
        <v>914</v>
      </c>
      <c r="G7" s="47" t="s">
        <v>1473</v>
      </c>
      <c r="H7" s="54" t="s">
        <v>915</v>
      </c>
      <c r="I7" s="47" t="s">
        <v>918</v>
      </c>
      <c r="J7" s="20" t="s">
        <v>1474</v>
      </c>
    </row>
    <row r="8" spans="1:10" x14ac:dyDescent="0.25">
      <c r="A8" s="20" t="s">
        <v>1475</v>
      </c>
      <c r="B8" s="47" t="s">
        <v>1476</v>
      </c>
      <c r="C8" s="47" t="s">
        <v>1477</v>
      </c>
      <c r="D8" s="20" t="s">
        <v>136</v>
      </c>
      <c r="E8" s="47" t="s">
        <v>1478</v>
      </c>
      <c r="F8" s="47" t="s">
        <v>913</v>
      </c>
      <c r="G8" s="47" t="s">
        <v>1479</v>
      </c>
      <c r="H8" s="54" t="s">
        <v>915</v>
      </c>
      <c r="I8" s="47" t="s">
        <v>918</v>
      </c>
      <c r="J8" s="20" t="s">
        <v>1480</v>
      </c>
    </row>
  </sheetData>
  <mergeCells count="1">
    <mergeCell ref="A1:J1"/>
  </mergeCells>
  <dataValidations count="1">
    <dataValidation type="list" sqref="H4:H1000" xr:uid="{00000000-0002-0000-2900-000000000000}">
      <formula1>"Vigente,En Revisión,Aprobada,Pendiente,Obsoleta"</formula1>
    </dataValidation>
  </dataValidations>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Hoja36">
    <tabColor rgb="FF548235"/>
  </sheetPr>
  <dimension ref="A1:I8"/>
  <sheetViews>
    <sheetView showGridLines="0" workbookViewId="0">
      <selection sqref="A1:I1"/>
    </sheetView>
  </sheetViews>
  <sheetFormatPr baseColWidth="10" defaultColWidth="9.140625" defaultRowHeight="15" x14ac:dyDescent="0.25"/>
  <cols>
    <col min="1" max="1" width="14" customWidth="1"/>
    <col min="2" max="2" width="30" customWidth="1"/>
    <col min="3" max="3" width="35" customWidth="1"/>
    <col min="4" max="4" width="8" customWidth="1"/>
    <col min="5" max="5" width="12" customWidth="1"/>
    <col min="6" max="6" width="15" customWidth="1"/>
    <col min="7" max="7" width="10" customWidth="1"/>
    <col min="8" max="8" width="22" customWidth="1"/>
    <col min="9" max="9" width="15" customWidth="1"/>
  </cols>
  <sheetData>
    <row r="1" spans="1:9" ht="24.95" customHeight="1" x14ac:dyDescent="0.25">
      <c r="A1" s="203" t="s">
        <v>1481</v>
      </c>
      <c r="B1" s="146"/>
      <c r="C1" s="146"/>
      <c r="D1" s="146"/>
      <c r="E1" s="146"/>
      <c r="F1" s="146"/>
      <c r="G1" s="146"/>
      <c r="H1" s="146"/>
      <c r="I1" s="146"/>
    </row>
    <row r="3" spans="1:9" ht="30" customHeight="1" x14ac:dyDescent="0.25">
      <c r="A3" s="67" t="s">
        <v>688</v>
      </c>
      <c r="B3" s="67" t="s">
        <v>1482</v>
      </c>
      <c r="C3" s="67" t="s">
        <v>108</v>
      </c>
      <c r="D3" s="67" t="s">
        <v>116</v>
      </c>
      <c r="E3" s="67" t="s">
        <v>1483</v>
      </c>
      <c r="F3" s="67" t="s">
        <v>1041</v>
      </c>
      <c r="G3" s="67" t="s">
        <v>905</v>
      </c>
      <c r="H3" s="67" t="s">
        <v>908</v>
      </c>
      <c r="I3" s="67" t="s">
        <v>1484</v>
      </c>
    </row>
    <row r="4" spans="1:9" ht="30" customHeight="1" x14ac:dyDescent="0.25">
      <c r="A4" s="20" t="s">
        <v>1485</v>
      </c>
      <c r="B4" s="47" t="s">
        <v>1486</v>
      </c>
      <c r="C4" s="47" t="s">
        <v>1487</v>
      </c>
      <c r="D4" s="20" t="s">
        <v>124</v>
      </c>
      <c r="E4" s="47" t="s">
        <v>1488</v>
      </c>
      <c r="F4" s="47" t="s">
        <v>924</v>
      </c>
      <c r="G4" s="54" t="s">
        <v>868</v>
      </c>
      <c r="H4" s="47" t="s">
        <v>927</v>
      </c>
      <c r="I4" s="47" t="s">
        <v>1460</v>
      </c>
    </row>
    <row r="5" spans="1:9" ht="30" customHeight="1" x14ac:dyDescent="0.25">
      <c r="A5" s="20" t="s">
        <v>1489</v>
      </c>
      <c r="B5" s="47" t="s">
        <v>1490</v>
      </c>
      <c r="C5" s="47" t="s">
        <v>1491</v>
      </c>
      <c r="D5" s="20" t="s">
        <v>124</v>
      </c>
      <c r="E5" s="47" t="s">
        <v>1488</v>
      </c>
      <c r="F5" s="47" t="s">
        <v>924</v>
      </c>
      <c r="G5" s="54" t="s">
        <v>868</v>
      </c>
      <c r="H5" s="47" t="s">
        <v>927</v>
      </c>
      <c r="I5" s="47" t="s">
        <v>1460</v>
      </c>
    </row>
    <row r="6" spans="1:9" ht="30" customHeight="1" x14ac:dyDescent="0.25">
      <c r="A6" s="20" t="s">
        <v>1492</v>
      </c>
      <c r="B6" s="47" t="s">
        <v>1493</v>
      </c>
      <c r="C6" s="47" t="s">
        <v>1494</v>
      </c>
      <c r="D6" s="20" t="s">
        <v>131</v>
      </c>
      <c r="E6" s="47" t="s">
        <v>1495</v>
      </c>
      <c r="F6" s="47" t="s">
        <v>1496</v>
      </c>
      <c r="G6" s="54" t="s">
        <v>868</v>
      </c>
      <c r="H6" s="47" t="s">
        <v>927</v>
      </c>
      <c r="I6" s="47" t="s">
        <v>1470</v>
      </c>
    </row>
    <row r="7" spans="1:9" ht="30" customHeight="1" x14ac:dyDescent="0.25">
      <c r="A7" s="20" t="s">
        <v>1497</v>
      </c>
      <c r="B7" s="47" t="s">
        <v>1498</v>
      </c>
      <c r="C7" s="47" t="s">
        <v>1499</v>
      </c>
      <c r="D7" s="20" t="s">
        <v>922</v>
      </c>
      <c r="E7" s="47" t="s">
        <v>1500</v>
      </c>
      <c r="F7" s="47" t="s">
        <v>913</v>
      </c>
      <c r="G7" s="54" t="s">
        <v>868</v>
      </c>
      <c r="H7" s="47" t="s">
        <v>927</v>
      </c>
      <c r="I7" s="47" t="s">
        <v>1475</v>
      </c>
    </row>
    <row r="8" spans="1:9" ht="30" customHeight="1" x14ac:dyDescent="0.25">
      <c r="A8" s="20" t="s">
        <v>1501</v>
      </c>
      <c r="B8" s="47" t="s">
        <v>1502</v>
      </c>
      <c r="C8" s="47" t="s">
        <v>1503</v>
      </c>
      <c r="D8" s="20" t="s">
        <v>124</v>
      </c>
      <c r="E8" s="47" t="s">
        <v>1504</v>
      </c>
      <c r="F8" s="47" t="s">
        <v>1496</v>
      </c>
      <c r="G8" s="54" t="s">
        <v>868</v>
      </c>
      <c r="H8" s="47" t="s">
        <v>927</v>
      </c>
      <c r="I8" s="47" t="s">
        <v>1345</v>
      </c>
    </row>
  </sheetData>
  <mergeCells count="1">
    <mergeCell ref="A1:I1"/>
  </mergeCells>
  <dataValidations count="1">
    <dataValidation type="list" sqref="G4:G1000" xr:uid="{00000000-0002-0000-2A00-000000000000}">
      <formula1>"Vigente,En Revisión,Aprobado,Pendiente,Obsoleto"</formula1>
    </dataValidation>
  </dataValidations>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Hoja37">
    <tabColor rgb="FF7030A0"/>
  </sheetPr>
  <dimension ref="A1:L6"/>
  <sheetViews>
    <sheetView showGridLines="0" workbookViewId="0">
      <selection sqref="A1:G1"/>
    </sheetView>
  </sheetViews>
  <sheetFormatPr baseColWidth="10" defaultColWidth="9.140625" defaultRowHeight="15" x14ac:dyDescent="0.25"/>
  <cols>
    <col min="1" max="1" width="14" customWidth="1"/>
    <col min="2" max="2" width="12" customWidth="1"/>
    <col min="3" max="3" width="10" customWidth="1"/>
    <col min="4" max="4" width="22" customWidth="1"/>
    <col min="5" max="5" width="18" customWidth="1"/>
    <col min="6" max="6" width="12" customWidth="1"/>
    <col min="7" max="7" width="10" customWidth="1"/>
    <col min="8" max="9" width="12" customWidth="1"/>
    <col min="10" max="10" width="18" customWidth="1"/>
    <col min="11" max="12" width="12" customWidth="1"/>
  </cols>
  <sheetData>
    <row r="1" spans="1:12" ht="24.95" customHeight="1" x14ac:dyDescent="0.25">
      <c r="A1" s="205" t="s">
        <v>1505</v>
      </c>
      <c r="B1" s="146"/>
      <c r="C1" s="146"/>
      <c r="D1" s="146"/>
      <c r="E1" s="146"/>
      <c r="F1" s="146"/>
      <c r="G1" s="146"/>
      <c r="H1" s="146"/>
      <c r="I1" s="146"/>
      <c r="J1" s="146"/>
      <c r="K1" s="146"/>
      <c r="L1" s="146"/>
    </row>
    <row r="3" spans="1:12" ht="30" customHeight="1" x14ac:dyDescent="0.25">
      <c r="A3" s="68" t="s">
        <v>1506</v>
      </c>
      <c r="B3" s="68" t="s">
        <v>1507</v>
      </c>
      <c r="C3" s="68" t="s">
        <v>901</v>
      </c>
      <c r="D3" s="68" t="s">
        <v>1508</v>
      </c>
      <c r="E3" s="68" t="s">
        <v>1509</v>
      </c>
      <c r="F3" s="68" t="s">
        <v>905</v>
      </c>
      <c r="G3" s="68" t="s">
        <v>1510</v>
      </c>
      <c r="H3" s="68" t="s">
        <v>1511</v>
      </c>
      <c r="I3" s="68" t="s">
        <v>1208</v>
      </c>
      <c r="J3" s="68" t="s">
        <v>1512</v>
      </c>
      <c r="K3" s="68" t="s">
        <v>1513</v>
      </c>
      <c r="L3" s="68" t="s">
        <v>874</v>
      </c>
    </row>
    <row r="4" spans="1:12" x14ac:dyDescent="0.25">
      <c r="A4" s="20" t="s">
        <v>1514</v>
      </c>
      <c r="B4" s="20" t="s">
        <v>1463</v>
      </c>
      <c r="C4" s="20" t="s">
        <v>1515</v>
      </c>
      <c r="D4" s="20" t="s">
        <v>1516</v>
      </c>
      <c r="E4" s="20" t="s">
        <v>1517</v>
      </c>
      <c r="F4" s="54" t="s">
        <v>1518</v>
      </c>
      <c r="G4" s="20" t="s">
        <v>1175</v>
      </c>
      <c r="H4" s="20" t="s">
        <v>961</v>
      </c>
      <c r="I4" s="20" t="s">
        <v>957</v>
      </c>
      <c r="J4" s="20" t="s">
        <v>1519</v>
      </c>
      <c r="K4" s="20" t="s">
        <v>1520</v>
      </c>
      <c r="L4" s="54" t="s">
        <v>1521</v>
      </c>
    </row>
    <row r="5" spans="1:12" x14ac:dyDescent="0.25">
      <c r="A5" s="20" t="s">
        <v>1522</v>
      </c>
      <c r="B5" s="20" t="s">
        <v>1523</v>
      </c>
      <c r="C5" s="20" t="s">
        <v>1524</v>
      </c>
      <c r="D5" s="20" t="s">
        <v>1525</v>
      </c>
      <c r="E5" s="20" t="s">
        <v>1526</v>
      </c>
      <c r="F5" s="37" t="s">
        <v>1527</v>
      </c>
      <c r="G5" s="20" t="s">
        <v>1176</v>
      </c>
      <c r="H5" s="20" t="s">
        <v>1104</v>
      </c>
      <c r="I5" s="20" t="s">
        <v>949</v>
      </c>
      <c r="J5" s="20" t="s">
        <v>1528</v>
      </c>
      <c r="K5" s="20" t="s">
        <v>1529</v>
      </c>
      <c r="L5" s="58" t="s">
        <v>1530</v>
      </c>
    </row>
    <row r="6" spans="1:12" x14ac:dyDescent="0.25">
      <c r="A6" s="20" t="s">
        <v>1531</v>
      </c>
      <c r="B6" s="20" t="s">
        <v>1532</v>
      </c>
      <c r="C6" s="20" t="s">
        <v>1515</v>
      </c>
      <c r="D6" s="20" t="s">
        <v>1476</v>
      </c>
      <c r="E6" s="20" t="s">
        <v>1517</v>
      </c>
      <c r="F6" s="20" t="s">
        <v>1533</v>
      </c>
      <c r="G6" s="20"/>
      <c r="H6" s="20"/>
      <c r="I6" s="20"/>
      <c r="J6" s="20"/>
      <c r="K6" s="20"/>
      <c r="L6" s="20" t="s">
        <v>1116</v>
      </c>
    </row>
  </sheetData>
  <mergeCells count="1">
    <mergeCell ref="A1:L1"/>
  </mergeCells>
  <dataValidations count="2">
    <dataValidation type="list" sqref="C4:C1000" xr:uid="{00000000-0002-0000-2B00-000000000000}">
      <formula1>"Interna,Externa,Certificación,Seguimiento"</formula1>
    </dataValidation>
    <dataValidation type="list" sqref="F4:F1000" xr:uid="{00000000-0002-0000-2B00-000001000000}">
      <formula1>"Abierto,En Proceso,Completado,Cerrado,Cancelado"</formula1>
    </dataValidation>
  </dataValidations>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Hoja38">
    <tabColor rgb="FFF4B183"/>
  </sheetPr>
  <dimension ref="A1:J6"/>
  <sheetViews>
    <sheetView showGridLines="0" workbookViewId="0">
      <selection sqref="A1:J1"/>
    </sheetView>
  </sheetViews>
  <sheetFormatPr baseColWidth="10" defaultColWidth="9.140625" defaultRowHeight="15" x14ac:dyDescent="0.25"/>
  <cols>
    <col min="1" max="1" width="14" customWidth="1"/>
    <col min="2" max="2" width="12" customWidth="1"/>
    <col min="3" max="3" width="30" customWidth="1"/>
    <col min="4" max="4" width="18" customWidth="1"/>
    <col min="5" max="6" width="10" customWidth="1"/>
    <col min="7" max="7" width="15" customWidth="1"/>
    <col min="8" max="8" width="12" customWidth="1"/>
    <col min="9" max="9" width="10" customWidth="1"/>
    <col min="10" max="10" width="18" customWidth="1"/>
  </cols>
  <sheetData>
    <row r="1" spans="1:10" ht="24.95" customHeight="1" x14ac:dyDescent="0.25">
      <c r="A1" s="269" t="s">
        <v>1534</v>
      </c>
      <c r="B1" s="146"/>
      <c r="C1" s="146"/>
      <c r="D1" s="146"/>
      <c r="E1" s="146"/>
      <c r="F1" s="146"/>
      <c r="G1" s="146"/>
      <c r="H1" s="146"/>
      <c r="I1" s="146"/>
      <c r="J1" s="146"/>
    </row>
    <row r="3" spans="1:10" ht="30" customHeight="1" x14ac:dyDescent="0.25">
      <c r="A3" s="69" t="s">
        <v>1535</v>
      </c>
      <c r="B3" s="69" t="s">
        <v>1507</v>
      </c>
      <c r="C3" s="69" t="s">
        <v>1536</v>
      </c>
      <c r="D3" s="69" t="s">
        <v>1537</v>
      </c>
      <c r="E3" s="69" t="s">
        <v>1538</v>
      </c>
      <c r="F3" s="69" t="s">
        <v>1539</v>
      </c>
      <c r="G3" s="69" t="s">
        <v>1540</v>
      </c>
      <c r="H3" s="69" t="s">
        <v>901</v>
      </c>
      <c r="I3" s="69" t="s">
        <v>1541</v>
      </c>
      <c r="J3" s="69" t="s">
        <v>1542</v>
      </c>
    </row>
    <row r="4" spans="1:10" ht="30" customHeight="1" x14ac:dyDescent="0.25">
      <c r="A4" s="20" t="s">
        <v>1543</v>
      </c>
      <c r="B4" s="20" t="s">
        <v>1495</v>
      </c>
      <c r="C4" s="20" t="s">
        <v>1544</v>
      </c>
      <c r="D4" s="20" t="s">
        <v>913</v>
      </c>
      <c r="E4" s="20" t="s">
        <v>961</v>
      </c>
      <c r="F4" s="20" t="s">
        <v>1545</v>
      </c>
      <c r="G4" s="20" t="s">
        <v>1546</v>
      </c>
      <c r="H4" s="20" t="s">
        <v>1547</v>
      </c>
      <c r="I4" s="20" t="s">
        <v>1548</v>
      </c>
      <c r="J4" s="20" t="s">
        <v>1549</v>
      </c>
    </row>
    <row r="5" spans="1:10" ht="30" customHeight="1" x14ac:dyDescent="0.25">
      <c r="A5" s="20" t="s">
        <v>1550</v>
      </c>
      <c r="B5" s="20" t="s">
        <v>1468</v>
      </c>
      <c r="C5" s="20" t="s">
        <v>1551</v>
      </c>
      <c r="D5" s="20" t="s">
        <v>1552</v>
      </c>
      <c r="E5" s="20" t="s">
        <v>957</v>
      </c>
      <c r="F5" s="20" t="s">
        <v>1553</v>
      </c>
      <c r="G5" s="20" t="s">
        <v>1265</v>
      </c>
      <c r="H5" s="20" t="s">
        <v>1554</v>
      </c>
      <c r="I5" s="20" t="s">
        <v>1555</v>
      </c>
      <c r="J5" s="20" t="s">
        <v>1556</v>
      </c>
    </row>
    <row r="6" spans="1:10" ht="30" customHeight="1" x14ac:dyDescent="0.25">
      <c r="A6" s="20" t="s">
        <v>1557</v>
      </c>
      <c r="B6" s="20" t="s">
        <v>1558</v>
      </c>
      <c r="C6" s="20" t="s">
        <v>1559</v>
      </c>
      <c r="D6" s="20" t="s">
        <v>1560</v>
      </c>
      <c r="E6" s="20" t="s">
        <v>953</v>
      </c>
      <c r="F6" s="20" t="s">
        <v>1176</v>
      </c>
      <c r="G6" s="20" t="s">
        <v>1283</v>
      </c>
      <c r="H6" s="20" t="s">
        <v>1367</v>
      </c>
      <c r="I6" s="20" t="s">
        <v>1561</v>
      </c>
      <c r="J6" s="20" t="s">
        <v>1562</v>
      </c>
    </row>
  </sheetData>
  <mergeCells count="1">
    <mergeCell ref="A1:J1"/>
  </mergeCells>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Hoja39">
    <tabColor rgb="FFE67E22"/>
  </sheetPr>
  <dimension ref="A1:H26"/>
  <sheetViews>
    <sheetView showGridLines="0" workbookViewId="0">
      <selection sqref="A1:H1"/>
    </sheetView>
  </sheetViews>
  <sheetFormatPr baseColWidth="10" defaultColWidth="9.140625" defaultRowHeight="15" x14ac:dyDescent="0.25"/>
  <cols>
    <col min="1" max="1" width="10" customWidth="1"/>
    <col min="2" max="2" width="18" customWidth="1"/>
    <col min="3" max="3" width="25" customWidth="1"/>
    <col min="4" max="4" width="35" customWidth="1"/>
    <col min="5" max="5" width="12" customWidth="1"/>
    <col min="6" max="6" width="14" customWidth="1"/>
    <col min="7" max="7" width="18" customWidth="1"/>
    <col min="8" max="8" width="30" customWidth="1"/>
  </cols>
  <sheetData>
    <row r="1" spans="1:8" ht="24.95" customHeight="1" x14ac:dyDescent="0.25">
      <c r="A1" s="271" t="s">
        <v>1563</v>
      </c>
      <c r="B1" s="146"/>
      <c r="C1" s="146"/>
      <c r="D1" s="146"/>
      <c r="E1" s="146"/>
      <c r="F1" s="146"/>
      <c r="G1" s="146"/>
      <c r="H1" s="146"/>
    </row>
    <row r="3" spans="1:8" x14ac:dyDescent="0.25">
      <c r="A3" s="258" t="s">
        <v>1564</v>
      </c>
      <c r="B3" s="146"/>
      <c r="C3" s="146"/>
      <c r="D3" s="146"/>
      <c r="E3" s="146"/>
      <c r="F3" s="146"/>
      <c r="G3" s="146"/>
      <c r="H3" s="146"/>
    </row>
    <row r="5" spans="1:8" ht="30" customHeight="1" x14ac:dyDescent="0.25">
      <c r="A5" s="70" t="s">
        <v>688</v>
      </c>
      <c r="B5" s="70" t="s">
        <v>1024</v>
      </c>
      <c r="C5" s="70" t="s">
        <v>1565</v>
      </c>
      <c r="D5" s="70" t="s">
        <v>108</v>
      </c>
      <c r="E5" s="70" t="s">
        <v>1566</v>
      </c>
      <c r="F5" s="70" t="s">
        <v>1567</v>
      </c>
      <c r="G5" s="70" t="s">
        <v>1568</v>
      </c>
      <c r="H5" s="70" t="s">
        <v>767</v>
      </c>
    </row>
    <row r="6" spans="1:8" ht="30" customHeight="1" x14ac:dyDescent="0.25">
      <c r="A6" s="20" t="s">
        <v>1569</v>
      </c>
      <c r="B6" s="47" t="s">
        <v>1365</v>
      </c>
      <c r="C6" s="47" t="s">
        <v>1570</v>
      </c>
      <c r="D6" s="47" t="s">
        <v>1571</v>
      </c>
      <c r="E6" s="21" t="s">
        <v>950</v>
      </c>
      <c r="F6" s="20" t="s">
        <v>1572</v>
      </c>
      <c r="G6" s="47" t="s">
        <v>913</v>
      </c>
      <c r="H6" s="47" t="s">
        <v>1573</v>
      </c>
    </row>
    <row r="7" spans="1:8" x14ac:dyDescent="0.25">
      <c r="A7" s="20" t="s">
        <v>1574</v>
      </c>
      <c r="B7" s="47" t="s">
        <v>1371</v>
      </c>
      <c r="C7" s="47" t="s">
        <v>1575</v>
      </c>
      <c r="D7" s="47" t="s">
        <v>1576</v>
      </c>
      <c r="E7" s="22" t="s">
        <v>954</v>
      </c>
      <c r="F7" s="20" t="s">
        <v>1577</v>
      </c>
      <c r="G7" s="47" t="s">
        <v>1578</v>
      </c>
      <c r="H7" s="47" t="s">
        <v>1579</v>
      </c>
    </row>
    <row r="8" spans="1:8" ht="30" customHeight="1" x14ac:dyDescent="0.25">
      <c r="A8" s="20" t="s">
        <v>1580</v>
      </c>
      <c r="B8" s="47" t="s">
        <v>1379</v>
      </c>
      <c r="C8" s="47" t="s">
        <v>1581</v>
      </c>
      <c r="D8" s="47" t="s">
        <v>1582</v>
      </c>
      <c r="E8" s="62" t="s">
        <v>1045</v>
      </c>
      <c r="F8" s="20" t="s">
        <v>1583</v>
      </c>
      <c r="G8" s="47" t="s">
        <v>1584</v>
      </c>
      <c r="H8" s="47" t="s">
        <v>1585</v>
      </c>
    </row>
    <row r="9" spans="1:8" ht="30" customHeight="1" x14ac:dyDescent="0.25">
      <c r="A9" s="20" t="s">
        <v>1586</v>
      </c>
      <c r="B9" s="47" t="s">
        <v>1587</v>
      </c>
      <c r="C9" s="47" t="s">
        <v>1588</v>
      </c>
      <c r="D9" s="47" t="s">
        <v>1589</v>
      </c>
      <c r="E9" s="21" t="s">
        <v>950</v>
      </c>
      <c r="F9" s="20" t="s">
        <v>1572</v>
      </c>
      <c r="G9" s="47" t="s">
        <v>913</v>
      </c>
      <c r="H9" s="47" t="s">
        <v>1590</v>
      </c>
    </row>
    <row r="10" spans="1:8" ht="30" customHeight="1" x14ac:dyDescent="0.25">
      <c r="A10" s="20" t="s">
        <v>1591</v>
      </c>
      <c r="B10" s="47" t="s">
        <v>1384</v>
      </c>
      <c r="C10" s="47" t="s">
        <v>1592</v>
      </c>
      <c r="D10" s="47" t="s">
        <v>1593</v>
      </c>
      <c r="E10" s="62" t="s">
        <v>1045</v>
      </c>
      <c r="F10" s="20" t="s">
        <v>1594</v>
      </c>
      <c r="G10" s="47" t="s">
        <v>1595</v>
      </c>
      <c r="H10" s="47" t="s">
        <v>1596</v>
      </c>
    </row>
    <row r="11" spans="1:8" x14ac:dyDescent="0.25">
      <c r="A11" s="20" t="s">
        <v>1597</v>
      </c>
      <c r="B11" s="47" t="s">
        <v>1123</v>
      </c>
      <c r="C11" s="47" t="s">
        <v>1598</v>
      </c>
      <c r="D11" s="47" t="s">
        <v>1599</v>
      </c>
      <c r="E11" s="21" t="s">
        <v>950</v>
      </c>
      <c r="F11" s="20" t="s">
        <v>1600</v>
      </c>
      <c r="G11" s="47" t="s">
        <v>924</v>
      </c>
      <c r="H11" s="47" t="s">
        <v>1601</v>
      </c>
    </row>
    <row r="12" spans="1:8" x14ac:dyDescent="0.25">
      <c r="A12" s="20" t="s">
        <v>1602</v>
      </c>
      <c r="B12" s="47" t="s">
        <v>1398</v>
      </c>
      <c r="C12" s="47" t="s">
        <v>1603</v>
      </c>
      <c r="D12" s="47" t="s">
        <v>1604</v>
      </c>
      <c r="E12" s="22" t="s">
        <v>954</v>
      </c>
      <c r="F12" s="20" t="s">
        <v>1600</v>
      </c>
      <c r="G12" s="47" t="s">
        <v>924</v>
      </c>
      <c r="H12" s="47" t="s">
        <v>1605</v>
      </c>
    </row>
    <row r="13" spans="1:8" ht="30" customHeight="1" x14ac:dyDescent="0.25">
      <c r="A13" s="20" t="s">
        <v>1606</v>
      </c>
      <c r="B13" s="47" t="s">
        <v>1607</v>
      </c>
      <c r="C13" s="47" t="s">
        <v>1608</v>
      </c>
      <c r="D13" s="47" t="s">
        <v>1609</v>
      </c>
      <c r="E13" s="21" t="s">
        <v>950</v>
      </c>
      <c r="F13" s="20" t="s">
        <v>1577</v>
      </c>
      <c r="G13" s="47" t="s">
        <v>1610</v>
      </c>
      <c r="H13" s="47" t="s">
        <v>1611</v>
      </c>
    </row>
    <row r="14" spans="1:8" x14ac:dyDescent="0.25">
      <c r="A14" s="20" t="s">
        <v>1612</v>
      </c>
      <c r="B14" s="47" t="s">
        <v>1613</v>
      </c>
      <c r="C14" s="47" t="s">
        <v>1614</v>
      </c>
      <c r="D14" s="47" t="s">
        <v>1615</v>
      </c>
      <c r="E14" s="22" t="s">
        <v>954</v>
      </c>
      <c r="F14" s="20" t="s">
        <v>1577</v>
      </c>
      <c r="G14" s="47" t="s">
        <v>1283</v>
      </c>
      <c r="H14" s="47" t="s">
        <v>1616</v>
      </c>
    </row>
    <row r="15" spans="1:8" x14ac:dyDescent="0.25">
      <c r="A15" s="20" t="s">
        <v>1617</v>
      </c>
      <c r="B15" s="47" t="s">
        <v>1618</v>
      </c>
      <c r="C15" s="47" t="s">
        <v>1619</v>
      </c>
      <c r="D15" s="47" t="s">
        <v>1620</v>
      </c>
      <c r="E15" s="22" t="s">
        <v>954</v>
      </c>
      <c r="F15" s="20" t="s">
        <v>1572</v>
      </c>
      <c r="G15" s="47" t="s">
        <v>1621</v>
      </c>
      <c r="H15" s="47" t="s">
        <v>1622</v>
      </c>
    </row>
    <row r="16" spans="1:8" x14ac:dyDescent="0.25">
      <c r="A16" s="20" t="s">
        <v>1623</v>
      </c>
      <c r="B16" s="47" t="s">
        <v>1624</v>
      </c>
      <c r="C16" s="47" t="s">
        <v>1625</v>
      </c>
      <c r="D16" s="47" t="s">
        <v>1626</v>
      </c>
      <c r="E16" s="21" t="s">
        <v>950</v>
      </c>
      <c r="F16" s="20" t="s">
        <v>1583</v>
      </c>
      <c r="G16" s="47" t="s">
        <v>1274</v>
      </c>
      <c r="H16" s="47" t="s">
        <v>1627</v>
      </c>
    </row>
    <row r="17" spans="1:8" x14ac:dyDescent="0.25">
      <c r="A17" s="20" t="s">
        <v>1628</v>
      </c>
      <c r="B17" s="47" t="s">
        <v>1629</v>
      </c>
      <c r="C17" s="47" t="s">
        <v>1630</v>
      </c>
      <c r="D17" s="47" t="s">
        <v>1631</v>
      </c>
      <c r="E17" s="22" t="s">
        <v>954</v>
      </c>
      <c r="F17" s="20" t="s">
        <v>1632</v>
      </c>
      <c r="G17" s="47" t="s">
        <v>1633</v>
      </c>
      <c r="H17" s="47" t="s">
        <v>1634</v>
      </c>
    </row>
    <row r="20" spans="1:8" ht="15.75" customHeight="1" x14ac:dyDescent="0.25">
      <c r="A20" s="270" t="s">
        <v>1635</v>
      </c>
      <c r="B20" s="146"/>
      <c r="C20" s="146"/>
      <c r="D20" s="146"/>
      <c r="E20" s="146"/>
      <c r="F20" s="146"/>
      <c r="G20" s="146"/>
      <c r="H20" s="146"/>
    </row>
    <row r="22" spans="1:8" x14ac:dyDescent="0.25">
      <c r="A22" s="71" t="s">
        <v>943</v>
      </c>
      <c r="B22" s="71" t="s">
        <v>1407</v>
      </c>
      <c r="C22" s="71" t="s">
        <v>711</v>
      </c>
      <c r="D22" s="71" t="s">
        <v>1567</v>
      </c>
      <c r="E22" s="71" t="s">
        <v>1568</v>
      </c>
      <c r="F22" s="71" t="s">
        <v>1636</v>
      </c>
    </row>
    <row r="23" spans="1:8" ht="30" customHeight="1" x14ac:dyDescent="0.25">
      <c r="A23" s="20" t="s">
        <v>965</v>
      </c>
      <c r="B23" s="48" t="s">
        <v>1045</v>
      </c>
      <c r="C23" s="47" t="s">
        <v>1637</v>
      </c>
      <c r="D23" s="47" t="s">
        <v>1638</v>
      </c>
      <c r="E23" s="47" t="s">
        <v>1595</v>
      </c>
      <c r="F23" s="47" t="s">
        <v>1639</v>
      </c>
    </row>
    <row r="24" spans="1:8" ht="30" customHeight="1" x14ac:dyDescent="0.25">
      <c r="A24" s="20" t="s">
        <v>961</v>
      </c>
      <c r="B24" s="49" t="s">
        <v>950</v>
      </c>
      <c r="C24" s="47" t="s">
        <v>1640</v>
      </c>
      <c r="D24" s="47" t="s">
        <v>1641</v>
      </c>
      <c r="E24" s="47" t="s">
        <v>1642</v>
      </c>
      <c r="F24" s="47" t="s">
        <v>1643</v>
      </c>
    </row>
    <row r="25" spans="1:8" ht="30" customHeight="1" x14ac:dyDescent="0.25">
      <c r="A25" s="20" t="s">
        <v>957</v>
      </c>
      <c r="B25" s="50" t="s">
        <v>954</v>
      </c>
      <c r="C25" s="47" t="s">
        <v>1644</v>
      </c>
      <c r="D25" s="47" t="s">
        <v>1645</v>
      </c>
      <c r="E25" s="47" t="s">
        <v>1646</v>
      </c>
      <c r="F25" s="47" t="s">
        <v>1647</v>
      </c>
    </row>
    <row r="26" spans="1:8" ht="30" customHeight="1" x14ac:dyDescent="0.25">
      <c r="A26" s="20" t="s">
        <v>953</v>
      </c>
      <c r="B26" s="52" t="s">
        <v>958</v>
      </c>
      <c r="C26" s="47" t="s">
        <v>1648</v>
      </c>
      <c r="D26" s="47" t="s">
        <v>1649</v>
      </c>
      <c r="E26" s="47" t="s">
        <v>1650</v>
      </c>
      <c r="F26" s="47" t="s">
        <v>1651</v>
      </c>
    </row>
  </sheetData>
  <mergeCells count="3">
    <mergeCell ref="A20:H20"/>
    <mergeCell ref="A3:H3"/>
    <mergeCell ref="A1:H1"/>
  </mergeCells>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Hoja40">
    <tabColor rgb="FF34495E"/>
  </sheetPr>
  <dimension ref="A1:K5"/>
  <sheetViews>
    <sheetView showGridLines="0" workbookViewId="0">
      <selection sqref="A1:K1"/>
    </sheetView>
  </sheetViews>
  <sheetFormatPr baseColWidth="10" defaultColWidth="9.140625" defaultRowHeight="15" x14ac:dyDescent="0.25"/>
  <cols>
    <col min="1" max="1" width="12" customWidth="1"/>
    <col min="2" max="2" width="14" customWidth="1"/>
    <col min="3" max="3" width="18" customWidth="1"/>
    <col min="4" max="4" width="15" customWidth="1"/>
    <col min="5" max="5" width="20" customWidth="1"/>
    <col min="6" max="6" width="35" customWidth="1"/>
    <col min="7" max="7" width="10" customWidth="1"/>
    <col min="8" max="9" width="12" customWidth="1"/>
    <col min="10" max="10" width="15" customWidth="1"/>
    <col min="11" max="11" width="30" customWidth="1"/>
  </cols>
  <sheetData>
    <row r="1" spans="1:11" ht="24.95" customHeight="1" x14ac:dyDescent="0.25">
      <c r="A1" s="225" t="s">
        <v>1652</v>
      </c>
      <c r="B1" s="146"/>
      <c r="C1" s="146"/>
      <c r="D1" s="146"/>
      <c r="E1" s="146"/>
      <c r="F1" s="146"/>
      <c r="G1" s="146"/>
      <c r="H1" s="146"/>
      <c r="I1" s="146"/>
      <c r="J1" s="146"/>
      <c r="K1" s="146"/>
    </row>
    <row r="3" spans="1:11" ht="30" customHeight="1" x14ac:dyDescent="0.25">
      <c r="A3" s="72" t="s">
        <v>1653</v>
      </c>
      <c r="B3" s="72" t="s">
        <v>1430</v>
      </c>
      <c r="C3" s="72" t="s">
        <v>1654</v>
      </c>
      <c r="D3" s="72" t="s">
        <v>1362</v>
      </c>
      <c r="E3" s="72" t="s">
        <v>1655</v>
      </c>
      <c r="F3" s="72" t="s">
        <v>108</v>
      </c>
      <c r="G3" s="72" t="s">
        <v>1407</v>
      </c>
      <c r="H3" s="72" t="s">
        <v>905</v>
      </c>
      <c r="I3" s="72" t="s">
        <v>1656</v>
      </c>
      <c r="J3" s="72" t="s">
        <v>1433</v>
      </c>
      <c r="K3" s="72" t="s">
        <v>1208</v>
      </c>
    </row>
    <row r="4" spans="1:11" ht="30" customHeight="1" x14ac:dyDescent="0.25">
      <c r="A4" s="20" t="s">
        <v>1657</v>
      </c>
      <c r="B4" s="47" t="s">
        <v>1658</v>
      </c>
      <c r="C4" s="47" t="s">
        <v>1659</v>
      </c>
      <c r="D4" s="47" t="s">
        <v>1660</v>
      </c>
      <c r="E4" s="47" t="s">
        <v>1661</v>
      </c>
      <c r="F4" s="47" t="s">
        <v>1662</v>
      </c>
      <c r="G4" s="20" t="s">
        <v>954</v>
      </c>
      <c r="H4" s="20" t="s">
        <v>1663</v>
      </c>
      <c r="I4" s="20" t="s">
        <v>1322</v>
      </c>
      <c r="J4" s="47" t="s">
        <v>924</v>
      </c>
      <c r="K4" s="47" t="s">
        <v>1664</v>
      </c>
    </row>
    <row r="5" spans="1:11" ht="30" customHeight="1" x14ac:dyDescent="0.25">
      <c r="A5" s="20" t="s">
        <v>1665</v>
      </c>
      <c r="B5" s="47" t="s">
        <v>1666</v>
      </c>
      <c r="C5" s="47" t="s">
        <v>1667</v>
      </c>
      <c r="D5" s="47" t="s">
        <v>1422</v>
      </c>
      <c r="E5" s="47" t="s">
        <v>1668</v>
      </c>
      <c r="F5" s="47" t="s">
        <v>1669</v>
      </c>
      <c r="G5" s="20" t="s">
        <v>950</v>
      </c>
      <c r="H5" s="20" t="s">
        <v>1670</v>
      </c>
      <c r="I5" s="20" t="s">
        <v>1308</v>
      </c>
      <c r="J5" s="47" t="s">
        <v>913</v>
      </c>
      <c r="K5" s="47" t="s">
        <v>1671</v>
      </c>
    </row>
  </sheetData>
  <mergeCells count="1">
    <mergeCell ref="A1:K1"/>
  </mergeCells>
  <dataValidations count="3">
    <dataValidation type="list" sqref="C4:C1000" xr:uid="{00000000-0002-0000-2E00-000000000000}">
      <formula1>"Login,Logout,Acceso,Modificación,Error,Alerta,Crítico"</formula1>
    </dataValidation>
    <dataValidation type="list" sqref="G4:G1000" xr:uid="{00000000-0002-0000-2E00-000001000000}">
      <formula1>"Crítica,Alta,Media,Baja"</formula1>
    </dataValidation>
    <dataValidation type="list" sqref="H4:H1000" xr:uid="{00000000-0002-0000-2E00-000002000000}">
      <formula1>"Nuevo,Revisado,Investigando,Cerrado"</formula1>
    </dataValidation>
  </dataValidations>
  <pageMargins left="0.75" right="0.75" top="1" bottom="1" header="0.5" footer="0.5"/>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Hoja41">
    <tabColor rgb="FF00B0F0"/>
  </sheetPr>
  <dimension ref="A1:F46"/>
  <sheetViews>
    <sheetView showGridLines="0" workbookViewId="0"/>
  </sheetViews>
  <sheetFormatPr baseColWidth="10" defaultColWidth="9.140625" defaultRowHeight="15" x14ac:dyDescent="0.25"/>
  <cols>
    <col min="1" max="1" width="80" customWidth="1"/>
    <col min="2" max="6" width="15" customWidth="1"/>
  </cols>
  <sheetData>
    <row r="1" spans="1:6" ht="30" customHeight="1" x14ac:dyDescent="0.25">
      <c r="A1" s="275" t="s">
        <v>1672</v>
      </c>
      <c r="B1" s="146"/>
      <c r="C1" s="146"/>
      <c r="D1" s="146"/>
      <c r="E1" s="146"/>
      <c r="F1" s="146"/>
    </row>
    <row r="3" spans="1:6" x14ac:dyDescent="0.25">
      <c r="A3" s="277" t="s">
        <v>1673</v>
      </c>
      <c r="B3" s="146"/>
      <c r="C3" s="146"/>
      <c r="D3" s="146"/>
      <c r="E3" s="146"/>
      <c r="F3" s="146"/>
    </row>
    <row r="5" spans="1:6" x14ac:dyDescent="0.25">
      <c r="A5" s="274" t="s">
        <v>1674</v>
      </c>
      <c r="B5" s="146"/>
      <c r="C5" s="146"/>
      <c r="D5" s="146"/>
      <c r="E5" s="146"/>
      <c r="F5" s="146"/>
    </row>
    <row r="6" spans="1:6" x14ac:dyDescent="0.25">
      <c r="A6" s="276" t="s">
        <v>1675</v>
      </c>
      <c r="B6" s="146"/>
      <c r="C6" s="146"/>
      <c r="D6" s="146"/>
      <c r="E6" s="146"/>
      <c r="F6" s="146"/>
    </row>
    <row r="7" spans="1:6" x14ac:dyDescent="0.25">
      <c r="A7" s="273" t="s">
        <v>1676</v>
      </c>
      <c r="B7" s="146"/>
      <c r="C7" s="146"/>
      <c r="D7" s="146"/>
      <c r="E7" s="146"/>
      <c r="F7" s="146"/>
    </row>
    <row r="8" spans="1:6" x14ac:dyDescent="0.25">
      <c r="A8" s="273" t="s">
        <v>1677</v>
      </c>
      <c r="B8" s="146"/>
      <c r="C8" s="146"/>
      <c r="D8" s="146"/>
      <c r="E8" s="146"/>
      <c r="F8" s="146"/>
    </row>
    <row r="9" spans="1:6" x14ac:dyDescent="0.25">
      <c r="A9" s="273" t="s">
        <v>1678</v>
      </c>
      <c r="B9" s="146"/>
      <c r="C9" s="146"/>
      <c r="D9" s="146"/>
      <c r="E9" s="146"/>
      <c r="F9" s="146"/>
    </row>
    <row r="10" spans="1:6" x14ac:dyDescent="0.25">
      <c r="A10" s="273" t="s">
        <v>1679</v>
      </c>
      <c r="B10" s="146"/>
      <c r="C10" s="146"/>
      <c r="D10" s="146"/>
      <c r="E10" s="146"/>
      <c r="F10" s="146"/>
    </row>
    <row r="11" spans="1:6" x14ac:dyDescent="0.25">
      <c r="A11" s="273" t="s">
        <v>1680</v>
      </c>
      <c r="B11" s="146"/>
      <c r="C11" s="146"/>
      <c r="D11" s="146"/>
      <c r="E11" s="146"/>
      <c r="F11" s="146"/>
    </row>
    <row r="13" spans="1:6" x14ac:dyDescent="0.25">
      <c r="A13" s="274" t="s">
        <v>1681</v>
      </c>
      <c r="B13" s="146"/>
      <c r="C13" s="146"/>
      <c r="D13" s="146"/>
      <c r="E13" s="146"/>
      <c r="F13" s="146"/>
    </row>
    <row r="14" spans="1:6" x14ac:dyDescent="0.25">
      <c r="A14" s="273" t="s">
        <v>1682</v>
      </c>
      <c r="B14" s="146"/>
      <c r="C14" s="146"/>
      <c r="D14" s="146"/>
      <c r="E14" s="146"/>
      <c r="F14" s="146"/>
    </row>
    <row r="15" spans="1:6" x14ac:dyDescent="0.25">
      <c r="A15" s="273" t="s">
        <v>1683</v>
      </c>
      <c r="B15" s="146"/>
      <c r="C15" s="146"/>
      <c r="D15" s="146"/>
      <c r="E15" s="146"/>
      <c r="F15" s="146"/>
    </row>
    <row r="16" spans="1:6" x14ac:dyDescent="0.25">
      <c r="A16" s="273" t="s">
        <v>1684</v>
      </c>
      <c r="B16" s="146"/>
      <c r="C16" s="146"/>
      <c r="D16" s="146"/>
      <c r="E16" s="146"/>
      <c r="F16" s="146"/>
    </row>
    <row r="17" spans="1:6" x14ac:dyDescent="0.25">
      <c r="A17" s="273" t="s">
        <v>1685</v>
      </c>
      <c r="B17" s="146"/>
      <c r="C17" s="146"/>
      <c r="D17" s="146"/>
      <c r="E17" s="146"/>
      <c r="F17" s="146"/>
    </row>
    <row r="18" spans="1:6" x14ac:dyDescent="0.25">
      <c r="A18" s="273" t="s">
        <v>1686</v>
      </c>
      <c r="B18" s="146"/>
      <c r="C18" s="146"/>
      <c r="D18" s="146"/>
      <c r="E18" s="146"/>
      <c r="F18" s="146"/>
    </row>
    <row r="20" spans="1:6" x14ac:dyDescent="0.25">
      <c r="A20" s="274" t="s">
        <v>1687</v>
      </c>
      <c r="B20" s="146"/>
      <c r="C20" s="146"/>
      <c r="D20" s="146"/>
      <c r="E20" s="146"/>
      <c r="F20" s="146"/>
    </row>
    <row r="21" spans="1:6" x14ac:dyDescent="0.25">
      <c r="A21" s="273" t="s">
        <v>1688</v>
      </c>
      <c r="B21" s="146"/>
      <c r="C21" s="146"/>
      <c r="D21" s="146"/>
      <c r="E21" s="146"/>
      <c r="F21" s="146"/>
    </row>
    <row r="22" spans="1:6" x14ac:dyDescent="0.25">
      <c r="A22" s="273" t="s">
        <v>1689</v>
      </c>
      <c r="B22" s="146"/>
      <c r="C22" s="146"/>
      <c r="D22" s="146"/>
      <c r="E22" s="146"/>
      <c r="F22" s="146"/>
    </row>
    <row r="23" spans="1:6" x14ac:dyDescent="0.25">
      <c r="A23" s="273" t="s">
        <v>1690</v>
      </c>
      <c r="B23" s="146"/>
      <c r="C23" s="146"/>
      <c r="D23" s="146"/>
      <c r="E23" s="146"/>
      <c r="F23" s="146"/>
    </row>
    <row r="24" spans="1:6" x14ac:dyDescent="0.25">
      <c r="A24" s="273" t="s">
        <v>1691</v>
      </c>
      <c r="B24" s="146"/>
      <c r="C24" s="146"/>
      <c r="D24" s="146"/>
      <c r="E24" s="146"/>
      <c r="F24" s="146"/>
    </row>
    <row r="25" spans="1:6" x14ac:dyDescent="0.25">
      <c r="A25" s="273" t="s">
        <v>1692</v>
      </c>
      <c r="B25" s="146"/>
      <c r="C25" s="146"/>
      <c r="D25" s="146"/>
      <c r="E25" s="146"/>
      <c r="F25" s="146"/>
    </row>
    <row r="26" spans="1:6" x14ac:dyDescent="0.25">
      <c r="A26" s="273" t="s">
        <v>1693</v>
      </c>
      <c r="B26" s="146"/>
      <c r="C26" s="146"/>
      <c r="D26" s="146"/>
      <c r="E26" s="146"/>
      <c r="F26" s="146"/>
    </row>
    <row r="27" spans="1:6" x14ac:dyDescent="0.25">
      <c r="A27" s="273" t="s">
        <v>1694</v>
      </c>
      <c r="B27" s="146"/>
      <c r="C27" s="146"/>
      <c r="D27" s="146"/>
      <c r="E27" s="146"/>
      <c r="F27" s="146"/>
    </row>
    <row r="29" spans="1:6" x14ac:dyDescent="0.25">
      <c r="A29" s="274" t="s">
        <v>1695</v>
      </c>
      <c r="B29" s="146"/>
      <c r="C29" s="146"/>
      <c r="D29" s="146"/>
      <c r="E29" s="146"/>
      <c r="F29" s="146"/>
    </row>
    <row r="30" spans="1:6" x14ac:dyDescent="0.25">
      <c r="A30" s="273" t="s">
        <v>1696</v>
      </c>
      <c r="B30" s="146"/>
      <c r="C30" s="146"/>
      <c r="D30" s="146"/>
      <c r="E30" s="146"/>
      <c r="F30" s="146"/>
    </row>
    <row r="31" spans="1:6" x14ac:dyDescent="0.25">
      <c r="A31" s="273" t="s">
        <v>1697</v>
      </c>
      <c r="B31" s="146"/>
      <c r="C31" s="146"/>
      <c r="D31" s="146"/>
      <c r="E31" s="146"/>
      <c r="F31" s="146"/>
    </row>
    <row r="32" spans="1:6" x14ac:dyDescent="0.25">
      <c r="A32" s="273" t="s">
        <v>1698</v>
      </c>
      <c r="B32" s="146"/>
      <c r="C32" s="146"/>
      <c r="D32" s="146"/>
      <c r="E32" s="146"/>
      <c r="F32" s="146"/>
    </row>
    <row r="34" spans="1:6" x14ac:dyDescent="0.25">
      <c r="A34" s="274" t="s">
        <v>1699</v>
      </c>
      <c r="B34" s="146"/>
      <c r="C34" s="146"/>
      <c r="D34" s="146"/>
      <c r="E34" s="146"/>
      <c r="F34" s="146"/>
    </row>
    <row r="35" spans="1:6" x14ac:dyDescent="0.25">
      <c r="A35" s="273" t="s">
        <v>1700</v>
      </c>
      <c r="B35" s="146"/>
      <c r="C35" s="146"/>
      <c r="D35" s="146"/>
      <c r="E35" s="146"/>
      <c r="F35" s="146"/>
    </row>
    <row r="36" spans="1:6" x14ac:dyDescent="0.25">
      <c r="A36" s="273" t="s">
        <v>1701</v>
      </c>
      <c r="B36" s="146"/>
      <c r="C36" s="146"/>
      <c r="D36" s="146"/>
      <c r="E36" s="146"/>
      <c r="F36" s="146"/>
    </row>
    <row r="37" spans="1:6" x14ac:dyDescent="0.25">
      <c r="A37" s="273" t="s">
        <v>1702</v>
      </c>
      <c r="B37" s="146"/>
      <c r="C37" s="146"/>
      <c r="D37" s="146"/>
      <c r="E37" s="146"/>
      <c r="F37" s="146"/>
    </row>
    <row r="38" spans="1:6" x14ac:dyDescent="0.25">
      <c r="A38" s="273" t="s">
        <v>1703</v>
      </c>
      <c r="B38" s="146"/>
      <c r="C38" s="146"/>
      <c r="D38" s="146"/>
      <c r="E38" s="146"/>
      <c r="F38" s="146"/>
    </row>
    <row r="39" spans="1:6" x14ac:dyDescent="0.25">
      <c r="A39" s="273" t="s">
        <v>1704</v>
      </c>
      <c r="B39" s="146"/>
      <c r="C39" s="146"/>
      <c r="D39" s="146"/>
      <c r="E39" s="146"/>
      <c r="F39" s="146"/>
    </row>
    <row r="41" spans="1:6" x14ac:dyDescent="0.25">
      <c r="A41" s="272" t="s">
        <v>1705</v>
      </c>
      <c r="B41" s="146"/>
      <c r="C41" s="146"/>
      <c r="D41" s="146"/>
      <c r="E41" s="146"/>
      <c r="F41" s="146"/>
    </row>
    <row r="42" spans="1:6" x14ac:dyDescent="0.25">
      <c r="A42" s="273" t="s">
        <v>1706</v>
      </c>
      <c r="B42" s="146"/>
      <c r="C42" s="146"/>
      <c r="D42" s="146"/>
      <c r="E42" s="146"/>
      <c r="F42" s="146"/>
    </row>
    <row r="43" spans="1:6" x14ac:dyDescent="0.25">
      <c r="A43" s="273" t="s">
        <v>1707</v>
      </c>
      <c r="B43" s="146"/>
      <c r="C43" s="146"/>
      <c r="D43" s="146"/>
      <c r="E43" s="146"/>
      <c r="F43" s="146"/>
    </row>
    <row r="44" spans="1:6" x14ac:dyDescent="0.25">
      <c r="A44" s="273" t="s">
        <v>1708</v>
      </c>
      <c r="B44" s="146"/>
      <c r="C44" s="146"/>
      <c r="D44" s="146"/>
      <c r="E44" s="146"/>
      <c r="F44" s="146"/>
    </row>
    <row r="45" spans="1:6" x14ac:dyDescent="0.25">
      <c r="A45" s="273" t="s">
        <v>1709</v>
      </c>
      <c r="B45" s="146"/>
      <c r="C45" s="146"/>
      <c r="D45" s="146"/>
      <c r="E45" s="146"/>
      <c r="F45" s="146"/>
    </row>
    <row r="46" spans="1:6" x14ac:dyDescent="0.25">
      <c r="A46" s="273" t="s">
        <v>1710</v>
      </c>
      <c r="B46" s="146"/>
      <c r="C46" s="146"/>
      <c r="D46" s="146"/>
      <c r="E46" s="146"/>
      <c r="F46" s="146"/>
    </row>
  </sheetData>
  <mergeCells count="39">
    <mergeCell ref="A1:F1"/>
    <mergeCell ref="A6:F6"/>
    <mergeCell ref="A7:F7"/>
    <mergeCell ref="A25:F25"/>
    <mergeCell ref="A13:F13"/>
    <mergeCell ref="A3:F3"/>
    <mergeCell ref="A5:F5"/>
    <mergeCell ref="A8:F8"/>
    <mergeCell ref="A22:F22"/>
    <mergeCell ref="A17:F17"/>
    <mergeCell ref="A10:F10"/>
    <mergeCell ref="A44:F44"/>
    <mergeCell ref="A9:F9"/>
    <mergeCell ref="A31:F31"/>
    <mergeCell ref="A34:F34"/>
    <mergeCell ref="A30:F30"/>
    <mergeCell ref="A39:F39"/>
    <mergeCell ref="A15:F15"/>
    <mergeCell ref="A24:F24"/>
    <mergeCell ref="A11:F11"/>
    <mergeCell ref="A36:F36"/>
    <mergeCell ref="A26:F26"/>
    <mergeCell ref="A21:F21"/>
    <mergeCell ref="A42:F42"/>
    <mergeCell ref="A14:F14"/>
    <mergeCell ref="A23:F23"/>
    <mergeCell ref="A41:F41"/>
    <mergeCell ref="A16:F16"/>
    <mergeCell ref="A46:F46"/>
    <mergeCell ref="A37:F37"/>
    <mergeCell ref="A27:F27"/>
    <mergeCell ref="A18:F18"/>
    <mergeCell ref="A43:F43"/>
    <mergeCell ref="A45:F45"/>
    <mergeCell ref="A35:F35"/>
    <mergeCell ref="A20:F20"/>
    <mergeCell ref="A29:F29"/>
    <mergeCell ref="A38:F38"/>
    <mergeCell ref="A32:F32"/>
  </mergeCells>
  <pageMargins left="0.75" right="0.75" top="1" bottom="1" header="0.5" footer="0.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Hoja42">
    <tabColor rgb="FF8E44AD"/>
  </sheetPr>
  <dimension ref="A1:J31"/>
  <sheetViews>
    <sheetView showGridLines="0" workbookViewId="0">
      <selection sqref="A1:J1"/>
    </sheetView>
  </sheetViews>
  <sheetFormatPr baseColWidth="10" defaultColWidth="9.140625" defaultRowHeight="15" x14ac:dyDescent="0.25"/>
  <cols>
    <col min="1" max="1" width="12" customWidth="1"/>
    <col min="2" max="2" width="22" customWidth="1"/>
    <col min="3" max="3" width="30" customWidth="1"/>
    <col min="4" max="4" width="12" customWidth="1"/>
    <col min="5" max="7" width="10" customWidth="1"/>
    <col min="8" max="8" width="15" customWidth="1"/>
    <col min="9" max="9" width="35" customWidth="1"/>
    <col min="10" max="10" width="30" customWidth="1"/>
  </cols>
  <sheetData>
    <row r="1" spans="1:10" ht="24.95" customHeight="1" x14ac:dyDescent="0.25">
      <c r="A1" s="218" t="s">
        <v>1711</v>
      </c>
      <c r="B1" s="146"/>
      <c r="C1" s="146"/>
      <c r="D1" s="146"/>
      <c r="E1" s="146"/>
      <c r="F1" s="146"/>
      <c r="G1" s="146"/>
      <c r="H1" s="146"/>
      <c r="I1" s="146"/>
      <c r="J1" s="146"/>
    </row>
    <row r="3" spans="1:10" ht="30" customHeight="1" x14ac:dyDescent="0.25">
      <c r="A3" s="73" t="s">
        <v>1712</v>
      </c>
      <c r="B3" s="73" t="s">
        <v>1713</v>
      </c>
      <c r="C3" s="73" t="s">
        <v>108</v>
      </c>
      <c r="D3" s="73" t="s">
        <v>1124</v>
      </c>
      <c r="E3" s="73" t="s">
        <v>711</v>
      </c>
      <c r="F3" s="73" t="s">
        <v>1714</v>
      </c>
      <c r="G3" s="73" t="s">
        <v>1715</v>
      </c>
      <c r="H3" s="73" t="s">
        <v>1041</v>
      </c>
      <c r="I3" s="73" t="s">
        <v>1716</v>
      </c>
      <c r="J3" s="73" t="s">
        <v>1717</v>
      </c>
    </row>
    <row r="4" spans="1:10" ht="30" customHeight="1" x14ac:dyDescent="0.25">
      <c r="A4" s="20" t="s">
        <v>1718</v>
      </c>
      <c r="B4" s="47" t="s">
        <v>1719</v>
      </c>
      <c r="C4" s="47" t="s">
        <v>1720</v>
      </c>
      <c r="D4" s="20" t="s">
        <v>954</v>
      </c>
      <c r="E4" s="20" t="s">
        <v>971</v>
      </c>
      <c r="F4" s="20" t="s">
        <v>1600</v>
      </c>
      <c r="G4" s="20" t="s">
        <v>1572</v>
      </c>
      <c r="H4" s="47" t="s">
        <v>1496</v>
      </c>
      <c r="I4" s="47" t="s">
        <v>1721</v>
      </c>
      <c r="J4" s="47" t="s">
        <v>1722</v>
      </c>
    </row>
    <row r="5" spans="1:10" x14ac:dyDescent="0.25">
      <c r="A5" s="20" t="s">
        <v>1723</v>
      </c>
      <c r="B5" s="47" t="s">
        <v>1149</v>
      </c>
      <c r="C5" s="47" t="s">
        <v>1724</v>
      </c>
      <c r="D5" s="20" t="s">
        <v>958</v>
      </c>
      <c r="E5" s="20" t="s">
        <v>1111</v>
      </c>
      <c r="F5" s="20" t="s">
        <v>1632</v>
      </c>
      <c r="G5" s="20" t="s">
        <v>1600</v>
      </c>
      <c r="H5" s="47" t="s">
        <v>913</v>
      </c>
      <c r="I5" s="47" t="s">
        <v>1725</v>
      </c>
      <c r="J5" s="47" t="s">
        <v>1726</v>
      </c>
    </row>
    <row r="6" spans="1:10" x14ac:dyDescent="0.25">
      <c r="A6" s="20" t="s">
        <v>1727</v>
      </c>
      <c r="B6" s="47" t="s">
        <v>1728</v>
      </c>
      <c r="C6" s="47" t="s">
        <v>1729</v>
      </c>
      <c r="D6" s="20" t="s">
        <v>1730</v>
      </c>
      <c r="E6" s="20" t="s">
        <v>1111</v>
      </c>
      <c r="F6" s="20" t="s">
        <v>1731</v>
      </c>
      <c r="G6" s="20" t="s">
        <v>1632</v>
      </c>
      <c r="H6" s="47" t="s">
        <v>1276</v>
      </c>
      <c r="I6" s="47" t="s">
        <v>1732</v>
      </c>
      <c r="J6" s="47" t="s">
        <v>1733</v>
      </c>
    </row>
    <row r="30" spans="1:10" x14ac:dyDescent="0.25">
      <c r="A30" s="259" t="s">
        <v>1734</v>
      </c>
      <c r="B30" s="146"/>
      <c r="C30" s="146"/>
      <c r="D30" s="146"/>
      <c r="E30" s="146"/>
      <c r="F30" s="146"/>
      <c r="G30" s="146"/>
      <c r="H30" s="146"/>
      <c r="I30" s="146"/>
      <c r="J30" s="146"/>
    </row>
    <row r="31" spans="1:10" x14ac:dyDescent="0.25">
      <c r="A31" s="259" t="s">
        <v>1735</v>
      </c>
      <c r="B31" s="146"/>
      <c r="C31" s="146"/>
      <c r="D31" s="146"/>
      <c r="E31" s="146"/>
      <c r="F31" s="146"/>
      <c r="G31" s="146"/>
      <c r="H31" s="146"/>
      <c r="I31" s="146"/>
      <c r="J31" s="146"/>
    </row>
  </sheetData>
  <mergeCells count="3">
    <mergeCell ref="A1:J1"/>
    <mergeCell ref="A31:J31"/>
    <mergeCell ref="A30:J30"/>
  </mergeCells>
  <dataValidations count="2">
    <dataValidation type="list" sqref="D4:D1000" xr:uid="{00000000-0002-0000-3000-000000000000}">
      <formula1>"Muy Alta,Alta,Media,Baja,Muy Baja"</formula1>
    </dataValidation>
    <dataValidation type="list" sqref="E4:E1000" xr:uid="{00000000-0002-0000-3000-000001000000}">
      <formula1>"Muy Alto,Alto,Medio,Bajo,Muy Bajo"</formula1>
    </dataValidation>
  </dataValidations>
  <pageMargins left="0.75" right="0.75" top="1" bottom="1" header="0.5" footer="0.5"/>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Hoja43">
    <tabColor rgb="FF16A085"/>
  </sheetPr>
  <dimension ref="A1:J8"/>
  <sheetViews>
    <sheetView showGridLines="0" workbookViewId="0">
      <selection sqref="A1:J1"/>
    </sheetView>
  </sheetViews>
  <sheetFormatPr baseColWidth="10" defaultColWidth="9.140625" defaultRowHeight="15" x14ac:dyDescent="0.25"/>
  <cols>
    <col min="1" max="1" width="10" customWidth="1"/>
    <col min="2" max="2" width="28" customWidth="1"/>
    <col min="3" max="3" width="35" customWidth="1"/>
    <col min="4" max="4" width="30" customWidth="1"/>
    <col min="5" max="5" width="12" customWidth="1"/>
    <col min="6" max="7" width="10" customWidth="1"/>
    <col min="8" max="8" width="12" customWidth="1"/>
    <col min="9" max="9" width="15" customWidth="1"/>
    <col min="10" max="10" width="14" customWidth="1"/>
  </cols>
  <sheetData>
    <row r="1" spans="1:10" ht="24.95" customHeight="1" x14ac:dyDescent="0.25">
      <c r="A1" s="222" t="s">
        <v>1736</v>
      </c>
      <c r="B1" s="146"/>
      <c r="C1" s="146"/>
      <c r="D1" s="146"/>
      <c r="E1" s="146"/>
      <c r="F1" s="146"/>
      <c r="G1" s="146"/>
      <c r="H1" s="146"/>
      <c r="I1" s="146"/>
      <c r="J1" s="146"/>
    </row>
    <row r="3" spans="1:10" ht="30" customHeight="1" x14ac:dyDescent="0.25">
      <c r="A3" s="74" t="s">
        <v>1737</v>
      </c>
      <c r="B3" s="74" t="s">
        <v>1738</v>
      </c>
      <c r="C3" s="74" t="s">
        <v>108</v>
      </c>
      <c r="D3" s="74" t="s">
        <v>1739</v>
      </c>
      <c r="E3" s="74" t="s">
        <v>944</v>
      </c>
      <c r="F3" s="74" t="s">
        <v>1740</v>
      </c>
      <c r="G3" s="74" t="s">
        <v>1741</v>
      </c>
      <c r="H3" s="74" t="s">
        <v>905</v>
      </c>
      <c r="I3" s="74" t="s">
        <v>1041</v>
      </c>
      <c r="J3" s="74" t="s">
        <v>1742</v>
      </c>
    </row>
    <row r="4" spans="1:10" ht="30" customHeight="1" x14ac:dyDescent="0.25">
      <c r="A4" s="20" t="s">
        <v>1743</v>
      </c>
      <c r="B4" s="47" t="s">
        <v>1744</v>
      </c>
      <c r="C4" s="47" t="s">
        <v>1745</v>
      </c>
      <c r="D4" s="47" t="s">
        <v>1746</v>
      </c>
      <c r="E4" s="20" t="s">
        <v>1747</v>
      </c>
      <c r="F4" s="47" t="s">
        <v>1748</v>
      </c>
      <c r="G4" s="47" t="s">
        <v>1749</v>
      </c>
      <c r="H4" s="54" t="s">
        <v>1750</v>
      </c>
      <c r="I4" s="47" t="s">
        <v>913</v>
      </c>
      <c r="J4" s="47" t="s">
        <v>1212</v>
      </c>
    </row>
    <row r="5" spans="1:10" ht="30" customHeight="1" x14ac:dyDescent="0.25">
      <c r="A5" s="20" t="s">
        <v>1751</v>
      </c>
      <c r="B5" s="47" t="s">
        <v>1752</v>
      </c>
      <c r="C5" s="47" t="s">
        <v>1753</v>
      </c>
      <c r="D5" s="47" t="s">
        <v>1754</v>
      </c>
      <c r="E5" s="20" t="s">
        <v>1747</v>
      </c>
      <c r="F5" s="47" t="s">
        <v>1755</v>
      </c>
      <c r="G5" s="47" t="s">
        <v>965</v>
      </c>
      <c r="H5" s="54" t="s">
        <v>1750</v>
      </c>
      <c r="I5" s="47" t="s">
        <v>913</v>
      </c>
      <c r="J5" s="47" t="s">
        <v>1212</v>
      </c>
    </row>
    <row r="6" spans="1:10" ht="30" customHeight="1" x14ac:dyDescent="0.25">
      <c r="A6" s="20" t="s">
        <v>1756</v>
      </c>
      <c r="B6" s="47" t="s">
        <v>1757</v>
      </c>
      <c r="C6" s="47" t="s">
        <v>1758</v>
      </c>
      <c r="D6" s="47" t="s">
        <v>1759</v>
      </c>
      <c r="E6" s="20" t="s">
        <v>1760</v>
      </c>
      <c r="F6" s="47" t="s">
        <v>1104</v>
      </c>
      <c r="G6" s="47" t="s">
        <v>961</v>
      </c>
      <c r="H6" s="22" t="s">
        <v>1761</v>
      </c>
      <c r="I6" s="47" t="s">
        <v>924</v>
      </c>
      <c r="J6" s="47" t="s">
        <v>1762</v>
      </c>
    </row>
    <row r="7" spans="1:10" ht="30" customHeight="1" x14ac:dyDescent="0.25">
      <c r="A7" s="20" t="s">
        <v>1763</v>
      </c>
      <c r="B7" s="47" t="s">
        <v>1764</v>
      </c>
      <c r="C7" s="47" t="s">
        <v>1765</v>
      </c>
      <c r="D7" s="47" t="s">
        <v>1766</v>
      </c>
      <c r="E7" s="20" t="s">
        <v>1767</v>
      </c>
      <c r="F7" s="47" t="s">
        <v>1768</v>
      </c>
      <c r="G7" s="47" t="s">
        <v>1548</v>
      </c>
      <c r="H7" s="22" t="s">
        <v>1761</v>
      </c>
      <c r="I7" s="47" t="s">
        <v>913</v>
      </c>
      <c r="J7" s="47" t="s">
        <v>1769</v>
      </c>
    </row>
    <row r="8" spans="1:10" x14ac:dyDescent="0.25">
      <c r="A8" s="20" t="s">
        <v>1770</v>
      </c>
      <c r="B8" s="47" t="s">
        <v>1771</v>
      </c>
      <c r="C8" s="47" t="s">
        <v>1772</v>
      </c>
      <c r="D8" s="47" t="s">
        <v>1773</v>
      </c>
      <c r="E8" s="20" t="s">
        <v>1774</v>
      </c>
      <c r="F8" s="47" t="s">
        <v>1775</v>
      </c>
      <c r="G8" s="47" t="s">
        <v>1776</v>
      </c>
      <c r="H8" s="54" t="s">
        <v>1750</v>
      </c>
      <c r="I8" s="47" t="s">
        <v>1268</v>
      </c>
      <c r="J8" s="47" t="s">
        <v>1777</v>
      </c>
    </row>
  </sheetData>
  <mergeCells count="1">
    <mergeCell ref="A1:J1"/>
  </mergeCells>
  <pageMargins left="0.75" right="0.75" top="1" bottom="1" header="0.5" footer="0.5"/>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Hoja45">
    <tabColor rgb="FF7F7F7F"/>
  </sheetPr>
  <dimension ref="A1:H22"/>
  <sheetViews>
    <sheetView showGridLines="0" workbookViewId="0">
      <selection sqref="A1:G1"/>
    </sheetView>
  </sheetViews>
  <sheetFormatPr baseColWidth="10" defaultColWidth="9.140625" defaultRowHeight="15" x14ac:dyDescent="0.25"/>
  <cols>
    <col min="1" max="1" width="15.42578125" bestFit="1" customWidth="1"/>
    <col min="2" max="2" width="12" customWidth="1"/>
    <col min="3" max="3" width="20" customWidth="1"/>
    <col min="4" max="4" width="18" customWidth="1"/>
    <col min="5" max="5" width="35" customWidth="1"/>
    <col min="6" max="6" width="12" customWidth="1"/>
    <col min="7" max="7" width="15" customWidth="1"/>
    <col min="8" max="8" width="30" customWidth="1"/>
  </cols>
  <sheetData>
    <row r="1" spans="1:8" ht="24.95" customHeight="1" x14ac:dyDescent="0.25">
      <c r="A1" s="278" t="s">
        <v>1778</v>
      </c>
      <c r="B1" s="146"/>
      <c r="C1" s="146"/>
      <c r="D1" s="146"/>
      <c r="E1" s="146"/>
      <c r="F1" s="146"/>
      <c r="G1" s="146"/>
      <c r="H1" s="146"/>
    </row>
    <row r="3" spans="1:8" ht="24.95" customHeight="1" x14ac:dyDescent="0.25">
      <c r="A3" s="77" t="s">
        <v>1430</v>
      </c>
      <c r="B3" s="77" t="s">
        <v>1037</v>
      </c>
      <c r="C3" s="77" t="s">
        <v>872</v>
      </c>
      <c r="D3" s="77" t="s">
        <v>1779</v>
      </c>
      <c r="E3" s="77" t="s">
        <v>1780</v>
      </c>
      <c r="F3" s="77" t="s">
        <v>905</v>
      </c>
      <c r="G3" s="77" t="s">
        <v>1781</v>
      </c>
      <c r="H3" s="77" t="s">
        <v>1208</v>
      </c>
    </row>
    <row r="4" spans="1:8" ht="30" customHeight="1" x14ac:dyDescent="0.25">
      <c r="A4" s="47" t="s">
        <v>1782</v>
      </c>
      <c r="B4" s="47" t="s">
        <v>1047</v>
      </c>
      <c r="C4" s="47" t="s">
        <v>1783</v>
      </c>
      <c r="D4" s="47" t="s">
        <v>1784</v>
      </c>
      <c r="E4" s="47" t="s">
        <v>1785</v>
      </c>
      <c r="F4" s="20" t="s">
        <v>1786</v>
      </c>
      <c r="G4" s="47" t="s">
        <v>1787</v>
      </c>
      <c r="H4" s="47" t="s">
        <v>1788</v>
      </c>
    </row>
    <row r="5" spans="1:8" ht="30" customHeight="1" x14ac:dyDescent="0.25">
      <c r="A5" s="47" t="s">
        <v>1782</v>
      </c>
      <c r="B5" s="47" t="s">
        <v>913</v>
      </c>
      <c r="C5" s="47" t="s">
        <v>1789</v>
      </c>
      <c r="D5" s="47" t="s">
        <v>1790</v>
      </c>
      <c r="E5" s="47" t="s">
        <v>1791</v>
      </c>
      <c r="F5" s="20" t="s">
        <v>1786</v>
      </c>
      <c r="G5" s="47" t="s">
        <v>1792</v>
      </c>
      <c r="H5" s="47" t="s">
        <v>1793</v>
      </c>
    </row>
    <row r="6" spans="1:8" x14ac:dyDescent="0.25">
      <c r="A6" s="94">
        <v>45967.788784722223</v>
      </c>
      <c r="B6" t="s">
        <v>1077</v>
      </c>
      <c r="C6" t="s">
        <v>1794</v>
      </c>
    </row>
    <row r="7" spans="1:8" x14ac:dyDescent="0.25">
      <c r="A7" s="94">
        <v>45967.801087962973</v>
      </c>
      <c r="B7" t="s">
        <v>1077</v>
      </c>
      <c r="C7" t="s">
        <v>1795</v>
      </c>
    </row>
    <row r="8" spans="1:8" x14ac:dyDescent="0.25">
      <c r="A8" s="94">
        <v>45967.803749999999</v>
      </c>
      <c r="B8" t="s">
        <v>1077</v>
      </c>
      <c r="C8" t="s">
        <v>1796</v>
      </c>
    </row>
    <row r="9" spans="1:8" x14ac:dyDescent="0.25">
      <c r="A9" s="94">
        <v>45967.80395833333</v>
      </c>
      <c r="B9" t="s">
        <v>1077</v>
      </c>
      <c r="C9" t="s">
        <v>1797</v>
      </c>
    </row>
    <row r="10" spans="1:8" x14ac:dyDescent="0.25">
      <c r="A10" s="94">
        <v>45967.804861111108</v>
      </c>
      <c r="B10" t="s">
        <v>1077</v>
      </c>
      <c r="C10" t="s">
        <v>1797</v>
      </c>
    </row>
    <row r="11" spans="1:8" x14ac:dyDescent="0.25">
      <c r="A11" s="94">
        <v>45967.804988425924</v>
      </c>
      <c r="B11" t="s">
        <v>1077</v>
      </c>
      <c r="C11" t="s">
        <v>1798</v>
      </c>
    </row>
    <row r="12" spans="1:8" x14ac:dyDescent="0.25">
      <c r="A12" s="94">
        <v>45967.808391203696</v>
      </c>
      <c r="B12" t="s">
        <v>1077</v>
      </c>
      <c r="C12" t="s">
        <v>1794</v>
      </c>
    </row>
    <row r="13" spans="1:8" x14ac:dyDescent="0.25">
      <c r="A13" s="94">
        <v>45967.824050925927</v>
      </c>
      <c r="B13" t="s">
        <v>1077</v>
      </c>
      <c r="C13" t="s">
        <v>1797</v>
      </c>
    </row>
    <row r="14" spans="1:8" x14ac:dyDescent="0.25">
      <c r="A14" s="94">
        <v>45967.824155092603</v>
      </c>
      <c r="B14" t="s">
        <v>1077</v>
      </c>
      <c r="C14" t="s">
        <v>1798</v>
      </c>
    </row>
    <row r="15" spans="1:8" x14ac:dyDescent="0.25">
      <c r="A15" s="94">
        <v>45967.836273148147</v>
      </c>
      <c r="B15" t="s">
        <v>1077</v>
      </c>
      <c r="C15" t="s">
        <v>1799</v>
      </c>
    </row>
    <row r="16" spans="1:8" x14ac:dyDescent="0.25">
      <c r="A16" s="94">
        <v>45967.83630787037</v>
      </c>
      <c r="B16" t="s">
        <v>1077</v>
      </c>
      <c r="C16" t="s">
        <v>1797</v>
      </c>
    </row>
    <row r="17" spans="1:4" x14ac:dyDescent="0.25">
      <c r="A17" s="94">
        <v>45967.84474537037</v>
      </c>
      <c r="B17" t="s">
        <v>1077</v>
      </c>
      <c r="C17" t="s">
        <v>1798</v>
      </c>
    </row>
    <row r="18" spans="1:4" x14ac:dyDescent="0.25">
      <c r="A18" s="94">
        <v>45967.844872685193</v>
      </c>
      <c r="B18" t="s">
        <v>1077</v>
      </c>
      <c r="C18" t="s">
        <v>1800</v>
      </c>
    </row>
    <row r="19" spans="1:4" x14ac:dyDescent="0.25">
      <c r="A19" s="94">
        <v>45967.845185185193</v>
      </c>
      <c r="B19" t="s">
        <v>1077</v>
      </c>
      <c r="C19" t="s">
        <v>1801</v>
      </c>
    </row>
    <row r="20" spans="1:4" x14ac:dyDescent="0.25">
      <c r="A20" s="94">
        <v>45973.232418981483</v>
      </c>
      <c r="B20" t="s">
        <v>1077</v>
      </c>
      <c r="C20" t="s">
        <v>1802</v>
      </c>
    </row>
    <row r="21" spans="1:4" x14ac:dyDescent="0.25">
      <c r="A21" s="136">
        <v>45973.267442129632</v>
      </c>
      <c r="B21" s="137" t="s">
        <v>1077</v>
      </c>
      <c r="C21" s="137" t="s">
        <v>1803</v>
      </c>
      <c r="D21" s="137" t="s">
        <v>1804</v>
      </c>
    </row>
    <row r="22" spans="1:4" x14ac:dyDescent="0.25">
      <c r="A22" s="136">
        <v>45973.26803240741</v>
      </c>
      <c r="B22" s="137" t="s">
        <v>1077</v>
      </c>
      <c r="C22" s="137" t="s">
        <v>1805</v>
      </c>
      <c r="D22" s="137" t="s">
        <v>1804</v>
      </c>
    </row>
  </sheetData>
  <mergeCells count="1">
    <mergeCell ref="A1:H1"/>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51</vt:i4>
      </vt:variant>
      <vt:variant>
        <vt:lpstr>Rangos con nombre</vt:lpstr>
      </vt:variant>
      <vt:variant>
        <vt:i4>7</vt:i4>
      </vt:variant>
    </vt:vector>
  </HeadingPairs>
  <TitlesOfParts>
    <vt:vector size="58" baseType="lpstr">
      <vt:lpstr>Panel_Control</vt:lpstr>
      <vt:lpstr>MITRE_Ataques</vt:lpstr>
      <vt:lpstr>MITRE_Mitigaciones</vt:lpstr>
      <vt:lpstr>MITRE_Assets_ICS</vt:lpstr>
      <vt:lpstr>MITRE_Ejemplos_Mapeo</vt:lpstr>
      <vt:lpstr>MITRE_Reglas_Auto</vt:lpstr>
      <vt:lpstr>MITRE_Como_Usar_Auto</vt:lpstr>
      <vt:lpstr>MITRE_Mapeo_Inteligente</vt:lpstr>
      <vt:lpstr>Control_Documentos</vt:lpstr>
      <vt:lpstr>Portada</vt:lpstr>
      <vt:lpstr>Metodologia_Riesgos</vt:lpstr>
      <vt:lpstr>SoA</vt:lpstr>
      <vt:lpstr>Plan_Auditoria</vt:lpstr>
      <vt:lpstr>Revision_Direccion</vt:lpstr>
      <vt:lpstr>Plan_Proyecto_SGSI</vt:lpstr>
      <vt:lpstr>Datos_Organizacion</vt:lpstr>
      <vt:lpstr>Activos</vt:lpstr>
      <vt:lpstr>Plan_Continuidad</vt:lpstr>
      <vt:lpstr>BIA</vt:lpstr>
      <vt:lpstr>Plan_Formacion</vt:lpstr>
      <vt:lpstr>NDA_Proveedores</vt:lpstr>
      <vt:lpstr>NDA_Empleados</vt:lpstr>
      <vt:lpstr>Comite_Seguridad</vt:lpstr>
      <vt:lpstr>CMDB</vt:lpstr>
      <vt:lpstr>Procedimiento_Hardening</vt:lpstr>
      <vt:lpstr>Plan_Director_Ciber</vt:lpstr>
      <vt:lpstr>DRP_Pruebas</vt:lpstr>
      <vt:lpstr>DRP_Informes</vt:lpstr>
      <vt:lpstr>DRP_Mantenimiento</vt:lpstr>
      <vt:lpstr>Dashboard</vt:lpstr>
      <vt:lpstr>Matriz_Riesgos</vt:lpstr>
      <vt:lpstr>Analisis_Riesgos</vt:lpstr>
      <vt:lpstr>Plan_Tratamiento</vt:lpstr>
      <vt:lpstr>Config_Categorias</vt:lpstr>
      <vt:lpstr>Config_Areas</vt:lpstr>
      <vt:lpstr>Config_Clases</vt:lpstr>
      <vt:lpstr>Controles_ISO27001</vt:lpstr>
      <vt:lpstr>Declaracion_Aplicabilidad</vt:lpstr>
      <vt:lpstr>Inventario_Amenazas</vt:lpstr>
      <vt:lpstr>Inventario_Vulnerabilidades</vt:lpstr>
      <vt:lpstr>Gestion_Incidentes</vt:lpstr>
      <vt:lpstr>Politicas_Seguridad</vt:lpstr>
      <vt:lpstr>Procedimientos</vt:lpstr>
      <vt:lpstr>Auditorias</vt:lpstr>
      <vt:lpstr>Registro_Formacion</vt:lpstr>
      <vt:lpstr>Clasificacion_Incidentes</vt:lpstr>
      <vt:lpstr>Registro_Eventos</vt:lpstr>
      <vt:lpstr>Instrucciones</vt:lpstr>
      <vt:lpstr>Plan_Contingencia</vt:lpstr>
      <vt:lpstr>Metricas_KPI</vt:lpstr>
      <vt:lpstr>Log_Acciones</vt:lpstr>
      <vt:lpstr>Activos!Títulos_a_imprimir</vt:lpstr>
      <vt:lpstr>Analisis_Riesgos!Títulos_a_imprimir</vt:lpstr>
      <vt:lpstr>Dashboard!Títulos_a_imprimir</vt:lpstr>
      <vt:lpstr>Datos_Organizacion!Títulos_a_imprimir</vt:lpstr>
      <vt:lpstr>Matriz_Riesgos!Títulos_a_imprimir</vt:lpstr>
      <vt:lpstr>Panel_Control!Títulos_a_imprimir</vt:lpstr>
      <vt:lpstr>Plan_Tratamiento!Títulos_a_imprimir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david ñanculeo</cp:lastModifiedBy>
  <cp:lastPrinted>2025-11-12T09:25:57Z</cp:lastPrinted>
  <dcterms:created xsi:type="dcterms:W3CDTF">2025-11-06T17:50:33Z</dcterms:created>
  <dcterms:modified xsi:type="dcterms:W3CDTF">2025-11-12T09:34:03Z</dcterms:modified>
</cp:coreProperties>
</file>